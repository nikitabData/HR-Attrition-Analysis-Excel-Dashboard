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drawings/drawing9.xml" ContentType="application/vnd.openxmlformats-officedocument.drawing+xml"/>
  <Override PartName="/xl/slicers/slicer2.xml" ContentType="application/vnd.ms-excel.slicer+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ml.chartshapes+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ml.chartshapes+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https://d.docs.live.net/4739d86a4d541eea/Documents/Excel/"/>
    </mc:Choice>
  </mc:AlternateContent>
  <xr:revisionPtr revIDLastSave="99" documentId="13_ncr:1_{2DCF955F-B0B7-4739-8B7A-8A9AF0A3982C}" xr6:coauthVersionLast="47" xr6:coauthVersionMax="47" xr10:uidLastSave="{B30AA23C-1FEE-4639-B2CC-89CD4B4FCFFA}"/>
  <bookViews>
    <workbookView showHorizontalScroll="0" showVerticalScroll="0" showSheetTabs="0" xWindow="-108" yWindow="-108" windowWidth="23256" windowHeight="13176" firstSheet="5" activeTab="9" xr2:uid="{00000000-000D-0000-FFFF-FFFF00000000}"/>
  </bookViews>
  <sheets>
    <sheet name="Attrition by Job Role" sheetId="6" r:id="rId1"/>
    <sheet name="Attrition Vs Overtime" sheetId="7" r:id="rId2"/>
    <sheet name="Attrition by Years At Company" sheetId="11" r:id="rId3"/>
    <sheet name="Attrition By Gender" sheetId="17" r:id="rId4"/>
    <sheet name="Attrition by Marital Status" sheetId="18" r:id="rId5"/>
    <sheet name="Attrition by Department" sheetId="19" r:id="rId6"/>
    <sheet name="KPI" sheetId="15" r:id="rId7"/>
    <sheet name="Job Satisfaction" sheetId="21" r:id="rId8"/>
    <sheet name="Slicer" sheetId="20" r:id="rId9"/>
    <sheet name="Dashboard" sheetId="16" r:id="rId10"/>
    <sheet name="Raw_Data" sheetId="1" r:id="rId11"/>
  </sheets>
  <definedNames>
    <definedName name="_xlchart.v1.0" hidden="1">'Attrition by Job Role'!$E$5:$E$13</definedName>
    <definedName name="_xlchart.v1.1" hidden="1">'Attrition by Job Role'!$F$5:$F$13</definedName>
    <definedName name="_xlchart.v1.4" hidden="1">'Attrition by Job Role'!$E$5:$E$13</definedName>
    <definedName name="_xlchart.v1.5" hidden="1">'Attrition by Job Role'!$F$5:$F$13</definedName>
    <definedName name="_xlchart.v2.2" hidden="1">'Attrition by Marital Status'!$E$5:$E$7</definedName>
    <definedName name="_xlchart.v2.3" hidden="1">'Attrition by Marital Status'!$F$5:$F$7</definedName>
    <definedName name="_xlchart.v2.6" hidden="1">'Attrition by Marital Status'!$E$5:$E$7</definedName>
    <definedName name="_xlchart.v2.7" hidden="1">'Attrition by Marital Status'!$F$5:$F$7</definedName>
    <definedName name="Slicer_Department">#N/A</definedName>
    <definedName name="Slicer_EducationField">#N/A</definedName>
    <definedName name="Slicer_Gender">#N/A</definedName>
    <definedName name="Slicer_JobLevel">#N/A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1" l="1"/>
  <c r="C6" i="21" s="1"/>
  <c r="F6" i="18"/>
  <c r="F7" i="18"/>
  <c r="F5" i="18"/>
  <c r="E6" i="18"/>
  <c r="E7" i="18"/>
  <c r="E5" i="18"/>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F5" i="11"/>
  <c r="E5" i="11"/>
  <c r="F6" i="6"/>
  <c r="F7" i="6"/>
  <c r="F8" i="6"/>
  <c r="F9" i="6"/>
  <c r="F10" i="6"/>
  <c r="F11" i="6"/>
  <c r="F12" i="6"/>
  <c r="F13" i="6"/>
  <c r="E6" i="6"/>
  <c r="E7" i="6"/>
  <c r="E8" i="6"/>
  <c r="E9" i="6"/>
  <c r="E10" i="6"/>
  <c r="E11" i="6"/>
  <c r="E12" i="6"/>
  <c r="E13" i="6"/>
  <c r="E5" i="6"/>
  <c r="F5" i="6"/>
  <c r="B7" i="15"/>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2" i="1"/>
  <c r="B8" i="17"/>
  <c r="E7" i="15"/>
  <c r="D7" i="15"/>
  <c r="B9" i="17"/>
  <c r="C6" i="17"/>
  <c r="A7" i="15"/>
  <c r="B7" i="21" l="1"/>
  <c r="C7" i="21" s="1"/>
  <c r="C8" i="17"/>
  <c r="C9" i="17"/>
  <c r="C7" i="15"/>
</calcChain>
</file>

<file path=xl/sharedStrings.xml><?xml version="1.0" encoding="utf-8"?>
<sst xmlns="http://schemas.openxmlformats.org/spreadsheetml/2006/main" count="13336" uniqueCount="81">
  <si>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</si>
  <si>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</si>
  <si>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</si>
  <si>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</si>
  <si>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</si>
  <si>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</si>
  <si>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</si>
  <si>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</si>
  <si>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</si>
  <si>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</si>
  <si>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</si>
  <si>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</si>
  <si>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</si>
  <si>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</si>
  <si>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</si>
  <si>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</si>
  <si>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</si>
  <si>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</si>
  <si>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</si>
  <si>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</si>
  <si>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</si>
  <si>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</si>
  <si>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</si>
  <si>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</si>
  <si>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</si>
  <si>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</si>
  <si>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</si>
  <si>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</si>
  <si>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</si>
  <si>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</si>
  <si>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</si>
  <si>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</si>
  <si>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</si>
  <si>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</si>
  <si>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</si>
  <si>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</si>
  <si>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</si>
  <si>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</si>
  <si>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</si>
  <si>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</si>
  <si>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</si>
  <si>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</si>
  <si>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</si>
  <si>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</si>
  <si>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</si>
  <si>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</si>
  <si>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</si>
  <si>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</si>
  <si>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</si>
  <si>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</si>
  <si>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</si>
  <si>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</si>
  <si>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</si>
  <si>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</si>
  <si>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</si>
  <si>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</si>
  <si>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</si>
  <si>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</si>
  <si>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</si>
  <si>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</si>
  <si>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</si>
  <si>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</si>
  <si>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Total Employees</t>
  </si>
  <si>
    <t>Attrition Rate</t>
  </si>
  <si>
    <t>Average Age</t>
  </si>
  <si>
    <t>Average Monthly Income</t>
  </si>
  <si>
    <t>Row Labels</t>
  </si>
  <si>
    <t>Grand Total</t>
  </si>
  <si>
    <t>Count of Attrition</t>
  </si>
  <si>
    <t>Column Labels</t>
  </si>
  <si>
    <t>Average of MonthlyIncome</t>
  </si>
  <si>
    <t>Count of EmployeeNumber</t>
  </si>
  <si>
    <t>Attrition_Yes</t>
  </si>
  <si>
    <t>Average of Age</t>
  </si>
  <si>
    <t>Attrition Count</t>
  </si>
  <si>
    <t>Sum of Attrition_Yes</t>
  </si>
  <si>
    <t>Job Role</t>
  </si>
  <si>
    <t>Years</t>
  </si>
  <si>
    <t>Average of JobSatisfaction</t>
  </si>
  <si>
    <t>Rating</t>
  </si>
  <si>
    <t>Balance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</si>
</sst>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 #,##0.00"/>
  </numFmts>
  <fonts count="3" x14ac:knownFonts="1">
    <font>
      <sz val="11"/>
      <color theme="1"/>
      <name val="Calibri"/>
      <family val="2"/>
      <scheme val="minor"/>
    </font>
    <font>
      <b/>
      <sz val="11"/>
      <name val="Calibri"/>
    </font>
    <font>
      <sz val="11"/>
      <color theme="1" tint="0.499984740745262"/>
      <name val="Calibri"/>
      <family val="2"/>
      <scheme val="minor"/>
    </font>
  </fonts>
  <fills count="2">
    <fill>
      <patternFill patternType="none"/>
    </fill>
    <fill>
      <patternFill patternType="gray125"/>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10" fontId="0" fillId="0" borderId="0" xfId="0" applyNumberFormat="1"/>
    <xf numFmtId="0" fontId="0" fillId="0" borderId="0" xfId="0" pivotButton="1"/>
    <xf numFmtId="0" fontId="0" fillId="0" borderId="0" xfId="0" applyAlignment="1">
      <alignment horizontal="left"/>
    </xf>
    <xf numFmtId="0" fontId="2" fillId="0" borderId="0" xfId="0" applyFont="1"/>
    <xf numFmtId="0" fontId="0" fillId="0" borderId="0" xfId="0" applyAlignment="1">
      <alignment horizontal="center"/>
    </xf>
    <xf numFmtId="9"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164" fontId="0" fillId="0" borderId="0" xfId="0" applyNumberFormat="1"/>
    <xf numFmtId="1" fontId="0" fillId="0" borderId="0" xfId="0" applyNumberFormat="1"/>
    <xf numFmtId="165" fontId="0" fillId="0" borderId="0" xfId="0" applyNumberFormat="1"/>
    <xf numFmtId="0" fontId="0" fillId="0" borderId="0" xfId="0" applyNumberFormat="1"/>
  </cellXfs>
  <cellStyles count="1">
    <cellStyle name="Normal" xfId="0" builtinId="0"/>
  </cellStyles>
  <dxfs count="28">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border diagonalUp="0" diagonalDown="0">
        <left style="thin">
          <color auto="1"/>
        </left>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border diagonalUp="0" diagonalDown="0" outline="0">
        <left style="thin">
          <color auto="1"/>
        </left>
        <right style="thin">
          <color auto="1"/>
        </right>
        <top/>
        <bottom/>
      </border>
    </dxf>
    <dxf>
      <font>
        <b/>
        <i val="0"/>
        <sz val="14"/>
        <color theme="0"/>
        <name val="Calibri"/>
        <family val="2"/>
        <scheme val="minor"/>
      </font>
    </dxf>
    <dxf>
      <font>
        <b/>
        <i val="0"/>
        <sz val="11"/>
        <color theme="0" tint="-0.14996795556505021"/>
        <name val="Calibri"/>
        <family val="2"/>
        <scheme val="minor"/>
      </font>
      <fill>
        <patternFill patternType="solid">
          <fgColor auto="1"/>
          <bgColor theme="4" tint="0.39994506668294322"/>
        </patternFill>
      </fill>
    </dxf>
    <dxf>
      <font>
        <b/>
        <i val="0"/>
        <sz val="14"/>
        <color theme="0"/>
        <name val="Calibri"/>
        <family val="2"/>
        <scheme val="minor"/>
      </font>
    </dxf>
    <dxf>
      <font>
        <b/>
        <i val="0"/>
        <sz val="11"/>
        <color theme="0" tint="-0.14996795556505021"/>
        <name val="Calibri"/>
        <family val="2"/>
        <scheme val="minor"/>
      </font>
      <fill>
        <patternFill>
          <bgColor theme="4" tint="-0.24994659260841701"/>
        </patternFill>
      </fill>
    </dxf>
  </dxfs>
  <tableStyles count="4" defaultTableStyle="TableStyleMedium9" defaultPivotStyle="PivotStyleLight16">
    <tableStyle name="Slicer Style 1" pivot="0" table="0" count="0" xr9:uid="{C1E8342E-E7F9-4E74-AF6F-6B2D358815B4}"/>
    <tableStyle name="Slicer Style 2" pivot="0" table="0" count="5" xr9:uid="{F99F5280-7175-404F-91F9-F757E63EF936}">
      <tableStyleElement type="wholeTable" dxfId="27"/>
      <tableStyleElement type="headerRow" dxfId="26"/>
    </tableStyle>
    <tableStyle name="Slicer Style 3" pivot="0" table="0" count="0" xr9:uid="{9BAD91BA-A181-40CC-B4A5-375BA9CA3D89}"/>
    <tableStyle name="Slicer Style 4" pivot="0" table="0" count="5" xr9:uid="{BFC58EB8-B5BC-4D6D-A730-9B2617214946}">
      <tableStyleElement type="wholeTable" dxfId="25"/>
      <tableStyleElement type="headerRow" dxfId="24"/>
    </tableStyle>
  </tableStyles>
  <colors>
    <mruColors>
      <color rgb="FFFF33CC"/>
      <color rgb="FF101E13"/>
      <color rgb="FF915245"/>
      <color rgb="FF523F69"/>
      <color rgb="FFFF6600"/>
      <color rgb="FFFF7C80"/>
      <color rgb="FF0C769E"/>
      <color rgb="FFA79E23"/>
      <color rgb="FFA52540"/>
      <color rgb="FFA9E1D5"/>
    </mruColors>
  </colors>
  <extLst>
    <ext xmlns:x14="http://schemas.microsoft.com/office/spreadsheetml/2009/9/main" uri="{46F421CA-312F-682f-3DD2-61675219B42D}">
      <x14:dxfs count="6">
        <dxf>
          <fill>
            <patternFill>
              <bgColor theme="4" tint="0.39994506668294322"/>
            </patternFill>
          </fill>
        </dxf>
        <dxf>
          <fill>
            <patternFill>
              <fgColor theme="4" tint="-0.499984740745262"/>
              <bgColor theme="4" tint="-0.499984740745262"/>
            </patternFill>
          </fill>
        </dxf>
        <dxf>
          <fill>
            <patternFill>
              <bgColor theme="4" tint="0.39994506668294322"/>
            </patternFill>
          </fill>
        </dxf>
        <dxf>
          <fill>
            <patternFill>
              <bgColor theme="4" tint="0.39994506668294322"/>
            </patternFill>
          </fill>
        </dxf>
        <dxf>
          <fill>
            <patternFill>
              <bgColor theme="3" tint="-0.24994659260841701"/>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5"/>
            <x14:slicerStyleElement type="selectedItemWithData" dxfId="4"/>
            <x14:slicerStyleElement type="selectedItemWithNoData" dxfId="3"/>
          </x14:slicerStyleElements>
        </x14:slicerStyle>
        <x14:slicerStyle name="Slicer Style 3"/>
        <x14:slicerStyle name="Slicer Style 4">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Excel Project.xlsx]Attrition Vs Overtime!PivotTable4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Vs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'Attrition Vs Overtime'!$B$3:$B$4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69-48A1-8218-CD5D4C5675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69-48A1-8218-CD5D4C5675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Vs Overtime'!$A$5:$A$7</c:f>
              <c:strCache>
                <c:ptCount val="2"/>
                <c:pt idx="0">
                  <c:v>No</c:v>
                </c:pt>
                <c:pt idx="1">
                  <c:v>Yes</c:v>
                </c:pt>
              </c:strCache>
            </c:strRef>
          </c:cat>
          <c:val>
            <c:numRef>
              <c:f>'Attrition Vs Overtime'!$B$5:$B$7</c:f>
              <c:numCache>
                <c:formatCode>General</c:formatCode>
                <c:ptCount val="2"/>
                <c:pt idx="0">
                  <c:v>110</c:v>
                </c:pt>
                <c:pt idx="1">
                  <c:v>127</c:v>
                </c:pt>
              </c:numCache>
            </c:numRef>
          </c:val>
          <c:extLst>
            <c:ext xmlns:c16="http://schemas.microsoft.com/office/drawing/2014/chart" uri="{C3380CC4-5D6E-409C-BE32-E72D297353CC}">
              <c16:uniqueId val="{00000000-01CC-4AA2-8B43-DC03FF7206C0}"/>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Excel Project.xlsx]Attrition by Years At Company!PivotTable1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Years At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17284698387058E-2"/>
          <c:y val="0.3221802878088515"/>
          <c:w val="0.8689043677232654"/>
          <c:h val="0.60809454852626177"/>
        </c:manualLayout>
      </c:layout>
      <c:barChart>
        <c:barDir val="col"/>
        <c:grouping val="clustered"/>
        <c:varyColors val="0"/>
        <c:ser>
          <c:idx val="0"/>
          <c:order val="0"/>
          <c:tx>
            <c:strRef>
              <c:f>'Attrition by Years At Company'!$B$3:$B$4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Years At Company'!$A$5:$A$33</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'Attrition by Years At Company'!$B$5:$B$33</c:f>
              <c:numCache>
                <c:formatCode>General</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extLst>
            <c:ext xmlns:c16="http://schemas.microsoft.com/office/drawing/2014/chart" uri="{C3380CC4-5D6E-409C-BE32-E72D297353CC}">
              <c16:uniqueId val="{00000000-1ECB-4313-B3C2-C3C8D19BA69A}"/>
            </c:ext>
          </c:extLst>
        </c:ser>
        <c:dLbls>
          <c:dLblPos val="outEnd"/>
          <c:showLegendKey val="0"/>
          <c:showVal val="1"/>
          <c:showCatName val="0"/>
          <c:showSerName val="0"/>
          <c:showPercent val="0"/>
          <c:showBubbleSize val="0"/>
        </c:dLbls>
        <c:gapWidth val="219"/>
        <c:axId val="766480704"/>
        <c:axId val="766473024"/>
      </c:barChart>
      <c:catAx>
        <c:axId val="76648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473024"/>
        <c:crosses val="autoZero"/>
        <c:auto val="1"/>
        <c:lblAlgn val="ctr"/>
        <c:lblOffset val="100"/>
        <c:noMultiLvlLbl val="0"/>
      </c:catAx>
      <c:valAx>
        <c:axId val="766473024"/>
        <c:scaling>
          <c:orientation val="minMax"/>
        </c:scaling>
        <c:delete val="1"/>
        <c:axPos val="l"/>
        <c:numFmt formatCode="General" sourceLinked="1"/>
        <c:majorTickMark val="out"/>
        <c:minorTickMark val="none"/>
        <c:tickLblPos val="nextTo"/>
        <c:crossAx val="76648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11111111111113"/>
          <c:y val="0"/>
          <c:w val="0.53888888888888886"/>
          <c:h val="0.8981481481481481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96-427F-A280-25060783A4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96-427F-A280-25060783A422}"/>
              </c:ext>
            </c:extLst>
          </c:dPt>
          <c:val>
            <c:numRef>
              <c:f>'Attrition By Gender'!$C$8:$C$9</c:f>
              <c:numCache>
                <c:formatCode>0%</c:formatCode>
                <c:ptCount val="2"/>
                <c:pt idx="0">
                  <c:v>0.4</c:v>
                </c:pt>
                <c:pt idx="1">
                  <c:v>0.6</c:v>
                </c:pt>
              </c:numCache>
            </c:numRef>
          </c:val>
          <c:extLst>
            <c:ext xmlns:c16="http://schemas.microsoft.com/office/drawing/2014/chart" uri="{C3380CC4-5D6E-409C-BE32-E72D297353CC}">
              <c16:uniqueId val="{00000000-A49D-40E0-BA75-066EBFDD71D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Excel Project.xlsx]Attrition by Department!PivotTable1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Department'!$B$3:$B$4</c:f>
              <c:strCache>
                <c:ptCount val="1"/>
                <c:pt idx="0">
                  <c:v>Yes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Department'!$A$5:$A$8</c:f>
              <c:strCache>
                <c:ptCount val="3"/>
                <c:pt idx="0">
                  <c:v>Research &amp; Development</c:v>
                </c:pt>
                <c:pt idx="1">
                  <c:v>Sales</c:v>
                </c:pt>
                <c:pt idx="2">
                  <c:v>Human Resources</c:v>
                </c:pt>
              </c:strCache>
            </c:strRef>
          </c:cat>
          <c:val>
            <c:numRef>
              <c:f>'Attrition by Department'!$B$5:$B$8</c:f>
              <c:numCache>
                <c:formatCode>General</c:formatCode>
                <c:ptCount val="3"/>
                <c:pt idx="0">
                  <c:v>133</c:v>
                </c:pt>
                <c:pt idx="1">
                  <c:v>92</c:v>
                </c:pt>
                <c:pt idx="2">
                  <c:v>12</c:v>
                </c:pt>
              </c:numCache>
            </c:numRef>
          </c:val>
          <c:extLst>
            <c:ext xmlns:c16="http://schemas.microsoft.com/office/drawing/2014/chart" uri="{C3380CC4-5D6E-409C-BE32-E72D297353CC}">
              <c16:uniqueId val="{00000000-109D-44EA-8C86-C57D1E475232}"/>
            </c:ext>
          </c:extLst>
        </c:ser>
        <c:dLbls>
          <c:dLblPos val="outEnd"/>
          <c:showLegendKey val="0"/>
          <c:showVal val="1"/>
          <c:showCatName val="0"/>
          <c:showSerName val="0"/>
          <c:showPercent val="0"/>
          <c:showBubbleSize val="0"/>
        </c:dLbls>
        <c:gapWidth val="219"/>
        <c:axId val="1983960880"/>
        <c:axId val="1983950320"/>
      </c:barChart>
      <c:catAx>
        <c:axId val="198396088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950320"/>
        <c:crosses val="autoZero"/>
        <c:auto val="1"/>
        <c:lblAlgn val="ctr"/>
        <c:lblOffset val="100"/>
        <c:noMultiLvlLbl val="0"/>
      </c:catAx>
      <c:valAx>
        <c:axId val="1983950320"/>
        <c:scaling>
          <c:orientation val="minMax"/>
        </c:scaling>
        <c:delete val="1"/>
        <c:axPos val="b"/>
        <c:numFmt formatCode="General" sourceLinked="1"/>
        <c:majorTickMark val="none"/>
        <c:minorTickMark val="none"/>
        <c:tickLblPos val="nextTo"/>
        <c:crossAx val="198396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185185185185185"/>
          <c:w val="0.93888888888888888"/>
          <c:h val="0.89814814814814814"/>
        </c:manualLayout>
      </c:layout>
      <c:barChart>
        <c:barDir val="bar"/>
        <c:grouping val="stacked"/>
        <c:varyColors val="0"/>
        <c:ser>
          <c:idx val="0"/>
          <c:order val="0"/>
          <c:spPr>
            <a:solidFill>
              <a:schemeClr val="accent1"/>
            </a:solidFill>
            <a:ln>
              <a:noFill/>
            </a:ln>
            <a:effectLst/>
          </c:spPr>
          <c:invertIfNegative val="0"/>
          <c:val>
            <c:numRef>
              <c:f>'Job Satisfaction'!$B$6</c:f>
              <c:numCache>
                <c:formatCode>0.0</c:formatCode>
                <c:ptCount val="1"/>
                <c:pt idx="0">
                  <c:v>2.7285714285714286</c:v>
                </c:pt>
              </c:numCache>
            </c:numRef>
          </c:val>
          <c:extLst>
            <c:ext xmlns:c16="http://schemas.microsoft.com/office/drawing/2014/chart" uri="{C3380CC4-5D6E-409C-BE32-E72D297353CC}">
              <c16:uniqueId val="{00000000-D46E-4101-A6F6-E172517A1720}"/>
            </c:ext>
          </c:extLst>
        </c:ser>
        <c:ser>
          <c:idx val="1"/>
          <c:order val="1"/>
          <c:spPr>
            <a:solidFill>
              <a:schemeClr val="accent2"/>
            </a:solidFill>
            <a:ln>
              <a:noFill/>
            </a:ln>
            <a:effectLst/>
          </c:spPr>
          <c:invertIfNegative val="0"/>
          <c:val>
            <c:numRef>
              <c:f>'Job Satisfaction'!$B$7</c:f>
              <c:numCache>
                <c:formatCode>0.0</c:formatCode>
                <c:ptCount val="1"/>
                <c:pt idx="0">
                  <c:v>1.2714285714285714</c:v>
                </c:pt>
              </c:numCache>
            </c:numRef>
          </c:val>
          <c:extLst>
            <c:ext xmlns:c16="http://schemas.microsoft.com/office/drawing/2014/chart" uri="{C3380CC4-5D6E-409C-BE32-E72D297353CC}">
              <c16:uniqueId val="{00000003-D46E-4101-A6F6-E172517A1720}"/>
            </c:ext>
          </c:extLst>
        </c:ser>
        <c:dLbls>
          <c:showLegendKey val="0"/>
          <c:showVal val="0"/>
          <c:showCatName val="0"/>
          <c:showSerName val="0"/>
          <c:showPercent val="0"/>
          <c:showBubbleSize val="0"/>
        </c:dLbls>
        <c:gapWidth val="182"/>
        <c:overlap val="100"/>
        <c:axId val="1823488992"/>
        <c:axId val="1823506272"/>
      </c:barChart>
      <c:catAx>
        <c:axId val="1823488992"/>
        <c:scaling>
          <c:orientation val="minMax"/>
        </c:scaling>
        <c:delete val="1"/>
        <c:axPos val="l"/>
        <c:majorTickMark val="out"/>
        <c:minorTickMark val="none"/>
        <c:tickLblPos val="nextTo"/>
        <c:crossAx val="1823506272"/>
        <c:crosses val="autoZero"/>
        <c:auto val="1"/>
        <c:lblAlgn val="ctr"/>
        <c:lblOffset val="100"/>
        <c:noMultiLvlLbl val="0"/>
      </c:catAx>
      <c:valAx>
        <c:axId val="1823506272"/>
        <c:scaling>
          <c:orientation val="minMax"/>
          <c:max val="4"/>
        </c:scaling>
        <c:delete val="1"/>
        <c:axPos val="b"/>
        <c:numFmt formatCode="0.0" sourceLinked="1"/>
        <c:majorTickMark val="out"/>
        <c:minorTickMark val="none"/>
        <c:tickLblPos val="nextTo"/>
        <c:crossAx val="182348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DA-447D-BEB7-061D7A4EC8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DA-447D-BEB7-061D7A4EC8C1}"/>
              </c:ext>
            </c:extLst>
          </c:dPt>
          <c:val>
            <c:numRef>
              <c:f>'Job Satisfaction'!$C$6:$C$7</c:f>
              <c:numCache>
                <c:formatCode>0%</c:formatCode>
                <c:ptCount val="2"/>
                <c:pt idx="0">
                  <c:v>0.68214285714285716</c:v>
                </c:pt>
                <c:pt idx="1">
                  <c:v>0.31785714285714284</c:v>
                </c:pt>
              </c:numCache>
            </c:numRef>
          </c:val>
          <c:extLst>
            <c:ext xmlns:c16="http://schemas.microsoft.com/office/drawing/2014/chart" uri="{C3380CC4-5D6E-409C-BE32-E72D297353CC}">
              <c16:uniqueId val="{00000000-F884-48FE-9431-7470F183F94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Excel Project.xlsx]Attrition Vs Overtime!PivotTable4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Attrition Vs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1000">
                <a:schemeClr val="accent3">
                  <a:lumMod val="60000"/>
                  <a:lumOff val="40000"/>
                </a:schemeClr>
              </a:gs>
              <a:gs pos="100000">
                <a:srgbClr val="C00000"/>
              </a:gs>
            </a:gsLst>
            <a:lin ang="2700000" scaled="1"/>
          </a:gradFill>
          <a:ln w="19050">
            <a:noFill/>
          </a:ln>
          <a:effectLst/>
        </c:spPr>
      </c:pivotFmt>
      <c:pivotFmt>
        <c:idx val="24"/>
        <c:spPr>
          <a:gradFill>
            <a:gsLst>
              <a:gs pos="1000">
                <a:schemeClr val="tx1"/>
              </a:gs>
              <a:gs pos="100000">
                <a:schemeClr val="accent4">
                  <a:lumMod val="60000"/>
                  <a:lumOff val="40000"/>
                </a:schemeClr>
              </a:gs>
            </a:gsLst>
            <a:lin ang="2700000" scaled="1"/>
          </a:gradFill>
          <a:ln w="19050">
            <a:no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'Attrition Vs Overtime'!$B$3:$B$4</c:f>
              <c:strCache>
                <c:ptCount val="1"/>
                <c:pt idx="0">
                  <c:v>Yes</c:v>
                </c:pt>
              </c:strCache>
            </c:strRef>
          </c:tx>
          <c:spPr>
            <a:ln>
              <a:noFill/>
            </a:ln>
          </c:spPr>
          <c:dPt>
            <c:idx val="0"/>
            <c:bubble3D val="0"/>
            <c:spPr>
              <a:gradFill>
                <a:gsLst>
                  <a:gs pos="1000">
                    <a:schemeClr val="accent3">
                      <a:lumMod val="60000"/>
                      <a:lumOff val="40000"/>
                    </a:schemeClr>
                  </a:gs>
                  <a:gs pos="100000">
                    <a:srgbClr val="C00000"/>
                  </a:gs>
                </a:gsLst>
                <a:lin ang="2700000" scaled="1"/>
              </a:gradFill>
              <a:ln w="19050">
                <a:noFill/>
              </a:ln>
              <a:effectLst/>
            </c:spPr>
            <c:extLst>
              <c:ext xmlns:c16="http://schemas.microsoft.com/office/drawing/2014/chart" uri="{C3380CC4-5D6E-409C-BE32-E72D297353CC}">
                <c16:uniqueId val="{00000001-905C-4222-BA24-19C70FA6FFBF}"/>
              </c:ext>
            </c:extLst>
          </c:dPt>
          <c:dPt>
            <c:idx val="1"/>
            <c:bubble3D val="0"/>
            <c:spPr>
              <a:gradFill>
                <a:gsLst>
                  <a:gs pos="1000">
                    <a:schemeClr val="tx1"/>
                  </a:gs>
                  <a:gs pos="100000">
                    <a:schemeClr val="accent4">
                      <a:lumMod val="60000"/>
                      <a:lumOff val="40000"/>
                    </a:schemeClr>
                  </a:gs>
                </a:gsLst>
                <a:lin ang="2700000" scaled="1"/>
              </a:gradFill>
              <a:ln w="19050">
                <a:noFill/>
              </a:ln>
              <a:effectLst/>
            </c:spPr>
            <c:extLst>
              <c:ext xmlns:c16="http://schemas.microsoft.com/office/drawing/2014/chart" uri="{C3380CC4-5D6E-409C-BE32-E72D297353CC}">
                <c16:uniqueId val="{00000003-905C-4222-BA24-19C70FA6FF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Vs Overtime'!$A$5:$A$7</c:f>
              <c:strCache>
                <c:ptCount val="2"/>
                <c:pt idx="0">
                  <c:v>No</c:v>
                </c:pt>
                <c:pt idx="1">
                  <c:v>Yes</c:v>
                </c:pt>
              </c:strCache>
            </c:strRef>
          </c:cat>
          <c:val>
            <c:numRef>
              <c:f>'Attrition Vs Overtime'!$B$5:$B$7</c:f>
              <c:numCache>
                <c:formatCode>General</c:formatCode>
                <c:ptCount val="2"/>
                <c:pt idx="0">
                  <c:v>110</c:v>
                </c:pt>
                <c:pt idx="1">
                  <c:v>127</c:v>
                </c:pt>
              </c:numCache>
            </c:numRef>
          </c:val>
          <c:extLst>
            <c:ext xmlns:c16="http://schemas.microsoft.com/office/drawing/2014/chart" uri="{C3380CC4-5D6E-409C-BE32-E72D297353CC}">
              <c16:uniqueId val="{00000004-905C-4222-BA24-19C70FA6FFBF}"/>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Excel Project.xlsx]Attrition by Years At Company!PivotTable1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Attrition by Years At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tx1">
                  <a:lumMod val="95000"/>
                  <a:lumOff val="5000"/>
                </a:schemeClr>
              </a:gs>
              <a:gs pos="100000">
                <a:srgbClr val="FF33CC"/>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002246800861951E-2"/>
          <c:y val="0.2801986023787329"/>
          <c:w val="0.8689043677232654"/>
          <c:h val="0.60809454852626177"/>
        </c:manualLayout>
      </c:layout>
      <c:barChart>
        <c:barDir val="col"/>
        <c:grouping val="clustered"/>
        <c:varyColors val="0"/>
        <c:ser>
          <c:idx val="0"/>
          <c:order val="0"/>
          <c:tx>
            <c:strRef>
              <c:f>'Attrition by Years At Company'!$B$3:$B$4</c:f>
              <c:strCache>
                <c:ptCount val="1"/>
                <c:pt idx="0">
                  <c:v>Yes</c:v>
                </c:pt>
              </c:strCache>
            </c:strRef>
          </c:tx>
          <c:spPr>
            <a:gradFill>
              <a:gsLst>
                <a:gs pos="0">
                  <a:schemeClr val="tx1">
                    <a:lumMod val="95000"/>
                    <a:lumOff val="5000"/>
                  </a:schemeClr>
                </a:gs>
                <a:gs pos="100000">
                  <a:srgbClr val="FF33CC"/>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Years At Company'!$A$5:$A$33</c:f>
              <c:strCache>
                <c:ptCount val="28"/>
                <c:pt idx="0">
                  <c:v>0</c:v>
                </c:pt>
                <c:pt idx="1">
                  <c:v>1</c:v>
                </c:pt>
                <c:pt idx="2">
                  <c:v>2</c:v>
                </c:pt>
                <c:pt idx="3">
                  <c:v>3</c:v>
                </c:pt>
                <c:pt idx="4">
                  <c:v>4</c:v>
                </c:pt>
                <c:pt idx="5">
                  <c:v>5</c:v>
                </c:pt>
                <c:pt idx="6">
                  <c:v>6</c:v>
                </c:pt>
                <c:pt idx="7">
                  <c:v>7</c:v>
                </c:pt>
                <c:pt idx="8">
                  <c:v>8</c:v>
                </c:pt>
                <c:pt idx="9">
                  <c:v>9</c:v>
                </c:pt>
                <c:pt idx="10">
                  <c:v>10</c:v>
                </c:pt>
                <c:pt idx="11">
                  <c:v>11</c:v>
                </c:pt>
                <c:pt idx="12">
                  <c:v>13</c:v>
                </c:pt>
                <c:pt idx="13">
                  <c:v>14</c:v>
                </c:pt>
                <c:pt idx="14">
                  <c:v>15</c:v>
                </c:pt>
                <c:pt idx="15">
                  <c:v>16</c:v>
                </c:pt>
                <c:pt idx="16">
                  <c:v>17</c:v>
                </c:pt>
                <c:pt idx="17">
                  <c:v>18</c:v>
                </c:pt>
                <c:pt idx="18">
                  <c:v>19</c:v>
                </c:pt>
                <c:pt idx="19">
                  <c:v>20</c:v>
                </c:pt>
                <c:pt idx="20">
                  <c:v>21</c:v>
                </c:pt>
                <c:pt idx="21">
                  <c:v>22</c:v>
                </c:pt>
                <c:pt idx="22">
                  <c:v>23</c:v>
                </c:pt>
                <c:pt idx="23">
                  <c:v>24</c:v>
                </c:pt>
                <c:pt idx="24">
                  <c:v>31</c:v>
                </c:pt>
                <c:pt idx="25">
                  <c:v>32</c:v>
                </c:pt>
                <c:pt idx="26">
                  <c:v>33</c:v>
                </c:pt>
                <c:pt idx="27">
                  <c:v>40</c:v>
                </c:pt>
              </c:strCache>
            </c:strRef>
          </c:cat>
          <c:val>
            <c:numRef>
              <c:f>'Attrition by Years At Company'!$B$5:$B$33</c:f>
              <c:numCache>
                <c:formatCode>General</c:formatCode>
                <c:ptCount val="28"/>
                <c:pt idx="0">
                  <c:v>16</c:v>
                </c:pt>
                <c:pt idx="1">
                  <c:v>59</c:v>
                </c:pt>
                <c:pt idx="2">
                  <c:v>27</c:v>
                </c:pt>
                <c:pt idx="3">
                  <c:v>20</c:v>
                </c:pt>
                <c:pt idx="4">
                  <c:v>19</c:v>
                </c:pt>
                <c:pt idx="5">
                  <c:v>21</c:v>
                </c:pt>
                <c:pt idx="6">
                  <c:v>9</c:v>
                </c:pt>
                <c:pt idx="7">
                  <c:v>11</c:v>
                </c:pt>
                <c:pt idx="8">
                  <c:v>9</c:v>
                </c:pt>
                <c:pt idx="9">
                  <c:v>8</c:v>
                </c:pt>
                <c:pt idx="10">
                  <c:v>18</c:v>
                </c:pt>
                <c:pt idx="11">
                  <c:v>2</c:v>
                </c:pt>
                <c:pt idx="12">
                  <c:v>2</c:v>
                </c:pt>
                <c:pt idx="13">
                  <c:v>2</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numCache>
            </c:numRef>
          </c:val>
          <c:extLst>
            <c:ext xmlns:c16="http://schemas.microsoft.com/office/drawing/2014/chart" uri="{C3380CC4-5D6E-409C-BE32-E72D297353CC}">
              <c16:uniqueId val="{00000000-45B6-4D2F-AB3D-EF6B51BDEA82}"/>
            </c:ext>
          </c:extLst>
        </c:ser>
        <c:dLbls>
          <c:dLblPos val="outEnd"/>
          <c:showLegendKey val="0"/>
          <c:showVal val="1"/>
          <c:showCatName val="0"/>
          <c:showSerName val="0"/>
          <c:showPercent val="0"/>
          <c:showBubbleSize val="0"/>
        </c:dLbls>
        <c:gapWidth val="42"/>
        <c:axId val="766480704"/>
        <c:axId val="766473024"/>
      </c:barChart>
      <c:catAx>
        <c:axId val="766480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766473024"/>
        <c:crosses val="autoZero"/>
        <c:auto val="1"/>
        <c:lblAlgn val="ctr"/>
        <c:lblOffset val="100"/>
        <c:noMultiLvlLbl val="0"/>
      </c:catAx>
      <c:valAx>
        <c:axId val="766473024"/>
        <c:scaling>
          <c:orientation val="minMax"/>
        </c:scaling>
        <c:delete val="1"/>
        <c:axPos val="l"/>
        <c:numFmt formatCode="General" sourceLinked="1"/>
        <c:majorTickMark val="out"/>
        <c:minorTickMark val="none"/>
        <c:tickLblPos val="nextTo"/>
        <c:crossAx val="76648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9415492471335822"/>
          <c:y val="0.30797695946689296"/>
          <c:w val="0.60506050605060502"/>
          <c:h val="0.83333333333333337"/>
        </c:manualLayout>
      </c:layout>
      <c:doughnutChart>
        <c:varyColors val="1"/>
        <c:ser>
          <c:idx val="0"/>
          <c:order val="0"/>
          <c:spPr>
            <a:ln>
              <a:noFill/>
            </a:ln>
          </c:spPr>
          <c:explosion val="1"/>
          <c:dPt>
            <c:idx val="0"/>
            <c:bubble3D val="0"/>
            <c:spPr>
              <a:solidFill>
                <a:schemeClr val="bg1">
                  <a:lumMod val="65000"/>
                </a:schemeClr>
              </a:solidFill>
              <a:ln w="19050">
                <a:noFill/>
              </a:ln>
              <a:effectLst/>
            </c:spPr>
            <c:extLst>
              <c:ext xmlns:c16="http://schemas.microsoft.com/office/drawing/2014/chart" uri="{C3380CC4-5D6E-409C-BE32-E72D297353CC}">
                <c16:uniqueId val="{00000001-FC3B-403B-A086-431EB5B7763E}"/>
              </c:ext>
            </c:extLst>
          </c:dPt>
          <c:dPt>
            <c:idx val="1"/>
            <c:bubble3D val="0"/>
            <c:spPr>
              <a:gradFill>
                <a:gsLst>
                  <a:gs pos="1000">
                    <a:srgbClr val="915245"/>
                  </a:gs>
                  <a:gs pos="100000">
                    <a:srgbClr val="101E13"/>
                  </a:gs>
                </a:gsLst>
                <a:lin ang="2700000" scaled="1"/>
              </a:gradFill>
              <a:ln w="19050">
                <a:noFill/>
              </a:ln>
              <a:effectLst/>
            </c:spPr>
            <c:extLst>
              <c:ext xmlns:c16="http://schemas.microsoft.com/office/drawing/2014/chart" uri="{C3380CC4-5D6E-409C-BE32-E72D297353CC}">
                <c16:uniqueId val="{00000003-FC3B-403B-A086-431EB5B7763E}"/>
              </c:ext>
            </c:extLst>
          </c:dPt>
          <c:val>
            <c:numRef>
              <c:f>'Attrition By Gender'!$C$8:$C$9</c:f>
              <c:numCache>
                <c:formatCode>0%</c:formatCode>
                <c:ptCount val="2"/>
                <c:pt idx="0">
                  <c:v>0.4</c:v>
                </c:pt>
                <c:pt idx="1">
                  <c:v>0.6</c:v>
                </c:pt>
              </c:numCache>
            </c:numRef>
          </c:val>
          <c:extLst>
            <c:ext xmlns:c16="http://schemas.microsoft.com/office/drawing/2014/chart" uri="{C3380CC4-5D6E-409C-BE32-E72D297353CC}">
              <c16:uniqueId val="{00000004-FC3B-403B-A086-431EB5B7763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Excel Project.xlsx]Attrition by Department!PivotTable1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2">
                    <a:lumMod val="50000"/>
                  </a:schemeClr>
                </a:solidFill>
              </a:rPr>
              <a:t>Attrition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75000"/>
                </a:schemeClr>
              </a:gs>
              <a:gs pos="100000">
                <a:schemeClr val="tx2">
                  <a:lumMod val="75000"/>
                </a:schemeClr>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Department'!$B$3:$B$4</c:f>
              <c:strCache>
                <c:ptCount val="1"/>
                <c:pt idx="0">
                  <c:v>Yes</c:v>
                </c:pt>
              </c:strCache>
            </c:strRef>
          </c:tx>
          <c:spPr>
            <a:gradFill>
              <a:gsLst>
                <a:gs pos="0">
                  <a:schemeClr val="accent2">
                    <a:lumMod val="75000"/>
                  </a:schemeClr>
                </a:gs>
                <a:gs pos="100000">
                  <a:schemeClr val="tx2">
                    <a:lumMod val="75000"/>
                  </a:schemeClr>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Department'!$A$5:$A$8</c:f>
              <c:strCache>
                <c:ptCount val="3"/>
                <c:pt idx="0">
                  <c:v>Research &amp; Development</c:v>
                </c:pt>
                <c:pt idx="1">
                  <c:v>Sales</c:v>
                </c:pt>
                <c:pt idx="2">
                  <c:v>Human Resources</c:v>
                </c:pt>
              </c:strCache>
            </c:strRef>
          </c:cat>
          <c:val>
            <c:numRef>
              <c:f>'Attrition by Department'!$B$5:$B$8</c:f>
              <c:numCache>
                <c:formatCode>General</c:formatCode>
                <c:ptCount val="3"/>
                <c:pt idx="0">
                  <c:v>133</c:v>
                </c:pt>
                <c:pt idx="1">
                  <c:v>92</c:v>
                </c:pt>
                <c:pt idx="2">
                  <c:v>12</c:v>
                </c:pt>
              </c:numCache>
            </c:numRef>
          </c:val>
          <c:extLst>
            <c:ext xmlns:c16="http://schemas.microsoft.com/office/drawing/2014/chart" uri="{C3380CC4-5D6E-409C-BE32-E72D297353CC}">
              <c16:uniqueId val="{00000000-B837-478A-9EEA-7A6F3320F96A}"/>
            </c:ext>
          </c:extLst>
        </c:ser>
        <c:dLbls>
          <c:dLblPos val="outEnd"/>
          <c:showLegendKey val="0"/>
          <c:showVal val="1"/>
          <c:showCatName val="0"/>
          <c:showSerName val="0"/>
          <c:showPercent val="0"/>
          <c:showBubbleSize val="0"/>
        </c:dLbls>
        <c:gapWidth val="35"/>
        <c:overlap val="-11"/>
        <c:axId val="1983960880"/>
        <c:axId val="1983950320"/>
      </c:barChart>
      <c:catAx>
        <c:axId val="198396088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crossAx val="1983950320"/>
        <c:crosses val="autoZero"/>
        <c:auto val="1"/>
        <c:lblAlgn val="ctr"/>
        <c:lblOffset val="100"/>
        <c:noMultiLvlLbl val="0"/>
      </c:catAx>
      <c:valAx>
        <c:axId val="1983950320"/>
        <c:scaling>
          <c:orientation val="minMax"/>
        </c:scaling>
        <c:delete val="1"/>
        <c:axPos val="b"/>
        <c:numFmt formatCode="General" sourceLinked="1"/>
        <c:majorTickMark val="none"/>
        <c:minorTickMark val="none"/>
        <c:tickLblPos val="nextTo"/>
        <c:crossAx val="198396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364250764107836E-2"/>
          <c:y val="0.25793856902566709"/>
          <c:w val="0.60506050605060502"/>
          <c:h val="0.83333333333333337"/>
        </c:manualLayout>
      </c:layout>
      <c:doughnutChart>
        <c:varyColors val="1"/>
        <c:ser>
          <c:idx val="0"/>
          <c:order val="0"/>
          <c:spPr>
            <a:ln>
              <a:noFill/>
            </a:ln>
          </c:spPr>
          <c:explosion val="1"/>
          <c:dPt>
            <c:idx val="0"/>
            <c:bubble3D val="0"/>
            <c:spPr>
              <a:gradFill>
                <a:gsLst>
                  <a:gs pos="1000">
                    <a:srgbClr val="FF33CC"/>
                  </a:gs>
                  <a:gs pos="100000">
                    <a:srgbClr val="523F69"/>
                  </a:gs>
                </a:gsLst>
                <a:lin ang="2700000" scaled="1"/>
              </a:gradFill>
              <a:ln w="19050">
                <a:noFill/>
              </a:ln>
              <a:effectLst/>
            </c:spPr>
            <c:extLst>
              <c:ext xmlns:c16="http://schemas.microsoft.com/office/drawing/2014/chart" uri="{C3380CC4-5D6E-409C-BE32-E72D297353CC}">
                <c16:uniqueId val="{00000001-3B6A-4350-8731-C52FE6649F2F}"/>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3B6A-4350-8731-C52FE6649F2F}"/>
              </c:ext>
            </c:extLst>
          </c:dPt>
          <c:val>
            <c:numRef>
              <c:f>'Attrition By Gender'!$C$8:$C$9</c:f>
              <c:numCache>
                <c:formatCode>0%</c:formatCode>
                <c:ptCount val="2"/>
                <c:pt idx="0">
                  <c:v>0.4</c:v>
                </c:pt>
                <c:pt idx="1">
                  <c:v>0.6</c:v>
                </c:pt>
              </c:numCache>
            </c:numRef>
          </c:val>
          <c:extLst>
            <c:ext xmlns:c16="http://schemas.microsoft.com/office/drawing/2014/chart" uri="{C3380CC4-5D6E-409C-BE32-E72D297353CC}">
              <c16:uniqueId val="{00000004-3B6A-4350-8731-C52FE6649F2F}"/>
            </c:ext>
          </c:extLst>
        </c:ser>
        <c:dLbls>
          <c:showLegendKey val="0"/>
          <c:showVal val="0"/>
          <c:showCatName val="0"/>
          <c:showSerName val="0"/>
          <c:showPercent val="0"/>
          <c:showBubbleSize val="0"/>
          <c:showLeaderLines val="1"/>
        </c:dLbls>
        <c:firstSliceAng val="198"/>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71794871794871"/>
          <c:y val="0.12587768634183885"/>
          <c:w val="0.58333333333333337"/>
          <c:h val="0.64052287581699341"/>
        </c:manualLayout>
      </c:layout>
      <c:doughnutChart>
        <c:varyColors val="1"/>
        <c:ser>
          <c:idx val="0"/>
          <c:order val="0"/>
          <c:spPr>
            <a:ln>
              <a:noFill/>
            </a:ln>
          </c:spPr>
          <c:dPt>
            <c:idx val="0"/>
            <c:bubble3D val="0"/>
            <c:spPr>
              <a:solidFill>
                <a:schemeClr val="accent6"/>
              </a:solidFill>
              <a:ln w="19050">
                <a:noFill/>
              </a:ln>
              <a:effectLst/>
            </c:spPr>
            <c:extLst>
              <c:ext xmlns:c16="http://schemas.microsoft.com/office/drawing/2014/chart" uri="{C3380CC4-5D6E-409C-BE32-E72D297353CC}">
                <c16:uniqueId val="{00000001-0F29-4D3B-840C-2B046007CDE4}"/>
              </c:ext>
            </c:extLst>
          </c:dPt>
          <c:dPt>
            <c:idx val="1"/>
            <c:bubble3D val="0"/>
            <c:spPr>
              <a:solidFill>
                <a:schemeClr val="bg1">
                  <a:lumMod val="50000"/>
                  <a:alpha val="95000"/>
                </a:schemeClr>
              </a:solidFill>
              <a:ln w="19050">
                <a:noFill/>
              </a:ln>
              <a:effectLst/>
            </c:spPr>
            <c:extLst>
              <c:ext xmlns:c16="http://schemas.microsoft.com/office/drawing/2014/chart" uri="{C3380CC4-5D6E-409C-BE32-E72D297353CC}">
                <c16:uniqueId val="{00000003-0F29-4D3B-840C-2B046007CDE4}"/>
              </c:ext>
            </c:extLst>
          </c:dPt>
          <c:val>
            <c:numRef>
              <c:f>'Job Satisfaction'!$C$6:$C$7</c:f>
              <c:numCache>
                <c:formatCode>0%</c:formatCode>
                <c:ptCount val="2"/>
                <c:pt idx="0">
                  <c:v>0.68214285714285716</c:v>
                </c:pt>
                <c:pt idx="1">
                  <c:v>0.31785714285714284</c:v>
                </c:pt>
              </c:numCache>
            </c:numRef>
          </c:val>
          <c:extLst>
            <c:ext xmlns:c16="http://schemas.microsoft.com/office/drawing/2014/chart" uri="{C3380CC4-5D6E-409C-BE32-E72D297353CC}">
              <c16:uniqueId val="{00000004-0F29-4D3B-840C-2B046007CDE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045045045045043E-2"/>
          <c:y val="0"/>
          <c:w val="0.63429179978700756"/>
          <c:h val="1"/>
        </c:manualLayout>
      </c:layout>
      <c:barChart>
        <c:barDir val="bar"/>
        <c:grouping val="stacked"/>
        <c:varyColors val="0"/>
        <c:ser>
          <c:idx val="0"/>
          <c:order val="0"/>
          <c:spPr>
            <a:solidFill>
              <a:srgbClr val="FFC000"/>
            </a:solidFill>
            <a:ln>
              <a:noFill/>
            </a:ln>
            <a:effectLst/>
          </c:spPr>
          <c:invertIfNegative val="0"/>
          <c:val>
            <c:numRef>
              <c:f>'Job Satisfaction'!$B$6</c:f>
              <c:numCache>
                <c:formatCode>0.0</c:formatCode>
                <c:ptCount val="1"/>
                <c:pt idx="0">
                  <c:v>2.7285714285714286</c:v>
                </c:pt>
              </c:numCache>
            </c:numRef>
          </c:val>
          <c:extLst>
            <c:ext xmlns:c16="http://schemas.microsoft.com/office/drawing/2014/chart" uri="{C3380CC4-5D6E-409C-BE32-E72D297353CC}">
              <c16:uniqueId val="{00000000-F57C-4F94-B659-940A8BBBA0CE}"/>
            </c:ext>
          </c:extLst>
        </c:ser>
        <c:ser>
          <c:idx val="1"/>
          <c:order val="1"/>
          <c:spPr>
            <a:solidFill>
              <a:schemeClr val="bg1">
                <a:lumMod val="50000"/>
              </a:schemeClr>
            </a:solidFill>
            <a:ln>
              <a:noFill/>
            </a:ln>
            <a:effectLst/>
          </c:spPr>
          <c:invertIfNegative val="0"/>
          <c:val>
            <c:numRef>
              <c:f>'Job Satisfaction'!$B$7</c:f>
              <c:numCache>
                <c:formatCode>0.0</c:formatCode>
                <c:ptCount val="1"/>
                <c:pt idx="0">
                  <c:v>1.2714285714285714</c:v>
                </c:pt>
              </c:numCache>
            </c:numRef>
          </c:val>
          <c:extLst>
            <c:ext xmlns:c16="http://schemas.microsoft.com/office/drawing/2014/chart" uri="{C3380CC4-5D6E-409C-BE32-E72D297353CC}">
              <c16:uniqueId val="{00000001-F57C-4F94-B659-940A8BBBA0CE}"/>
            </c:ext>
          </c:extLst>
        </c:ser>
        <c:dLbls>
          <c:showLegendKey val="0"/>
          <c:showVal val="0"/>
          <c:showCatName val="0"/>
          <c:showSerName val="0"/>
          <c:showPercent val="0"/>
          <c:showBubbleSize val="0"/>
        </c:dLbls>
        <c:gapWidth val="182"/>
        <c:overlap val="100"/>
        <c:axId val="1823488992"/>
        <c:axId val="1823506272"/>
      </c:barChart>
      <c:catAx>
        <c:axId val="1823488992"/>
        <c:scaling>
          <c:orientation val="minMax"/>
        </c:scaling>
        <c:delete val="1"/>
        <c:axPos val="l"/>
        <c:majorTickMark val="out"/>
        <c:minorTickMark val="none"/>
        <c:tickLblPos val="nextTo"/>
        <c:crossAx val="1823506272"/>
        <c:crosses val="autoZero"/>
        <c:auto val="1"/>
        <c:lblAlgn val="ctr"/>
        <c:lblOffset val="100"/>
        <c:noMultiLvlLbl val="0"/>
      </c:catAx>
      <c:valAx>
        <c:axId val="1823506272"/>
        <c:scaling>
          <c:orientation val="minMax"/>
          <c:max val="4"/>
        </c:scaling>
        <c:delete val="1"/>
        <c:axPos val="b"/>
        <c:numFmt formatCode="0.0" sourceLinked="1"/>
        <c:majorTickMark val="out"/>
        <c:minorTickMark val="none"/>
        <c:tickLblPos val="nextTo"/>
        <c:crossAx val="1823488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Attrition by Job Role</a:t>
          </a:r>
        </a:p>
      </cx:txPr>
    </cx:title>
    <cx:plotArea>
      <cx:plotAreaRegion>
        <cx:series layoutId="treemap" uniqueId="{29CF16F7-BA8A-4C85-BA72-E05EE233B75B}">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Attrition by Marital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Attrition by Marital Status</a:t>
          </a:r>
        </a:p>
      </cx:txPr>
    </cx:title>
    <cx:plotArea>
      <cx:plotAreaRegion>
        <cx:series layoutId="funnel" uniqueId="{7C49608B-0031-4770-8592-E93DFB0F3AB8}">
          <cx:dataLabels>
            <cx:visibility seriesName="0" categoryName="0" value="1"/>
          </cx:dataLabels>
          <cx:dataId val="0"/>
        </cx:series>
      </cx:plotAreaRegion>
      <cx:axis id="0">
        <cx:catScaling gapWidth="0.0599999987"/>
        <cx:tickLabels/>
        <cx:spPr>
          <a:ln>
            <a:noFill/>
          </a:ln>
        </cx:sp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2">
                  <a:lumMod val="50000"/>
                </a:schemeClr>
              </a:solidFill>
              <a:latin typeface="Calibri"/>
            </a:rPr>
            <a:t>Attrition by Job Role</a:t>
          </a:r>
        </a:p>
      </cx:txPr>
    </cx:title>
    <cx:plotArea>
      <cx:plotAreaRegion>
        <cx:series layoutId="treemap" uniqueId="{29CF16F7-BA8A-4C85-BA72-E05EE233B75B}">
          <cx:spPr>
            <a:ln>
              <a:noFill/>
            </a:ln>
          </cx:spPr>
          <cx:dataLabels pos="inEnd">
            <cx:txPr>
              <a:bodyPr spcFirstLastPara="1" vertOverflow="ellipsis" horzOverflow="overflow" wrap="square" lIns="0" tIns="0" rIns="0" bIns="0" anchor="ctr" anchorCtr="1"/>
              <a:lstStyle/>
              <a:p>
                <a:pPr algn="ctr" rtl="0">
                  <a:defRPr sz="900" b="1">
                    <a:solidFill>
                      <a:schemeClr val="accent1">
                        <a:lumMod val="50000"/>
                      </a:schemeClr>
                    </a:solidFill>
                  </a:defRPr>
                </a:pPr>
                <a:endParaRPr lang="en-US" sz="900" b="1" i="0" u="none" strike="noStrike" baseline="0">
                  <a:solidFill>
                    <a:schemeClr val="accent1">
                      <a:lumMod val="50000"/>
                    </a:schemeClr>
                  </a:solidFill>
                  <a:latin typeface="Calibri"/>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Attrition by Marital Status</cx:v>
        </cx:txData>
      </cx:tx>
      <cx:txPr>
        <a:bodyPr spcFirstLastPara="1" vertOverflow="ellipsis" horzOverflow="overflow" wrap="square" lIns="0" tIns="0" rIns="0" bIns="0" anchor="ctr" anchorCtr="1"/>
        <a:lstStyle/>
        <a:p>
          <a:pPr algn="ctr" rtl="0">
            <a:defRPr>
              <a:latin typeface="+mn-lt"/>
            </a:defRPr>
          </a:pPr>
          <a:r>
            <a:rPr lang="en-US" sz="1400" b="1" i="0" u="none" strike="noStrike" baseline="0">
              <a:solidFill>
                <a:schemeClr val="tx2">
                  <a:lumMod val="50000"/>
                </a:schemeClr>
              </a:solidFill>
              <a:latin typeface="+mn-lt"/>
            </a:rPr>
            <a:t>Attrition by Marital Status</a:t>
          </a:r>
        </a:p>
      </cx:txPr>
    </cx:title>
    <cx:plotArea>
      <cx:plotAreaRegion>
        <cx:plotSurface>
          <cx:spPr>
            <a:noFill/>
            <a:ln>
              <a:noFill/>
            </a:ln>
          </cx:spPr>
        </cx:plotSurface>
        <cx:series layoutId="funnel" uniqueId="{7C49608B-0031-4770-8592-E93DFB0F3AB8}">
          <cx:spPr>
            <a:gradFill>
              <a:gsLst>
                <a:gs pos="0">
                  <a:srgbClr val="A79E23"/>
                </a:gs>
                <a:gs pos="100000">
                  <a:schemeClr val="tx1">
                    <a:lumMod val="85000"/>
                    <a:lumOff val="15000"/>
                  </a:schemeClr>
                </a:gs>
              </a:gsLst>
              <a:lin ang="2700000" scaled="1"/>
            </a:gradFill>
          </cx:spPr>
          <cx:dataLabels>
            <cx:txPr>
              <a:bodyPr spcFirstLastPara="1" vertOverflow="ellipsis" horzOverflow="overflow" wrap="square" lIns="0" tIns="0" rIns="0" bIns="0" anchor="ctr" anchorCtr="1"/>
              <a:lstStyle/>
              <a:p>
                <a:pPr algn="ctr" rtl="0">
                  <a:defRPr sz="900" b="1">
                    <a:solidFill>
                      <a:schemeClr val="accent1">
                        <a:lumMod val="50000"/>
                      </a:schemeClr>
                    </a:solidFill>
                  </a:defRPr>
                </a:pPr>
                <a:endParaRPr lang="en-US" sz="900" b="1" i="0" u="none" strike="noStrike" baseline="0">
                  <a:solidFill>
                    <a:schemeClr val="accent1">
                      <a:lumMod val="50000"/>
                    </a:schemeClr>
                  </a:solidFill>
                  <a:latin typeface="Calibri"/>
                </a:endParaRPr>
              </a:p>
            </cx:txPr>
            <cx:visibility seriesName="0" categoryName="0" value="1"/>
          </cx:dataLabels>
          <cx:dataId val="0"/>
        </cx:series>
      </cx:plotAreaRegion>
      <cx:axis id="0">
        <cx:catScaling gapWidth="0.100000001"/>
        <cx:tickLabels/>
        <cx:spPr>
          <a:ln>
            <a:noFill/>
          </a:ln>
        </cx:spPr>
        <cx:txPr>
          <a:bodyPr spcFirstLastPara="1" vertOverflow="ellipsis" horzOverflow="overflow" wrap="square" lIns="0" tIns="0" rIns="0" bIns="0" anchor="ctr" anchorCtr="1"/>
          <a:lstStyle/>
          <a:p>
            <a:pPr algn="ctr" rtl="0">
              <a:defRPr b="1">
                <a:solidFill>
                  <a:schemeClr val="accent1">
                    <a:lumMod val="50000"/>
                  </a:schemeClr>
                </a:solidFill>
              </a:defRPr>
            </a:pPr>
            <a:endParaRPr lang="en-US" sz="900" b="1" i="0" u="none" strike="noStrike" baseline="0">
              <a:solidFill>
                <a:schemeClr val="accent1">
                  <a:lumMod val="50000"/>
                </a:schemeClr>
              </a:solidFill>
              <a:latin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8" Type="http://schemas.microsoft.com/office/2007/relationships/hdphoto" Target="../media/hdphoto1.wdp"/><Relationship Id="rId13" Type="http://schemas.openxmlformats.org/officeDocument/2006/relationships/image" Target="../media/image4.png"/><Relationship Id="rId18" Type="http://schemas.microsoft.com/office/2007/relationships/hdphoto" Target="../media/hdphoto6.wdp"/><Relationship Id="rId26" Type="http://schemas.openxmlformats.org/officeDocument/2006/relationships/image" Target="../media/image9.png"/><Relationship Id="rId3" Type="http://schemas.openxmlformats.org/officeDocument/2006/relationships/chart" Target="../charts/chart8.xml"/><Relationship Id="rId21" Type="http://schemas.openxmlformats.org/officeDocument/2006/relationships/image" Target="../media/image7.png"/><Relationship Id="rId7" Type="http://schemas.openxmlformats.org/officeDocument/2006/relationships/image" Target="../media/image1.png"/><Relationship Id="rId12" Type="http://schemas.microsoft.com/office/2007/relationships/hdphoto" Target="../media/hdphoto3.wdp"/><Relationship Id="rId17" Type="http://schemas.openxmlformats.org/officeDocument/2006/relationships/image" Target="../media/image6.png"/><Relationship Id="rId25" Type="http://schemas.openxmlformats.org/officeDocument/2006/relationships/chart" Target="../charts/chart13.xml"/><Relationship Id="rId2" Type="http://schemas.openxmlformats.org/officeDocument/2006/relationships/chart" Target="../charts/chart7.xml"/><Relationship Id="rId16" Type="http://schemas.microsoft.com/office/2007/relationships/hdphoto" Target="../media/hdphoto5.wdp"/><Relationship Id="rId20" Type="http://schemas.openxmlformats.org/officeDocument/2006/relationships/chart" Target="../charts/chart12.xml"/><Relationship Id="rId1" Type="http://schemas.microsoft.com/office/2014/relationships/chartEx" Target="../charts/chartEx3.xml"/><Relationship Id="rId6" Type="http://schemas.openxmlformats.org/officeDocument/2006/relationships/chart" Target="../charts/chart10.xml"/><Relationship Id="rId11" Type="http://schemas.openxmlformats.org/officeDocument/2006/relationships/image" Target="../media/image3.png"/><Relationship Id="rId24" Type="http://schemas.microsoft.com/office/2007/relationships/hdphoto" Target="../media/hdphoto8.wdp"/><Relationship Id="rId5" Type="http://schemas.microsoft.com/office/2014/relationships/chartEx" Target="../charts/chartEx4.xml"/><Relationship Id="rId15" Type="http://schemas.openxmlformats.org/officeDocument/2006/relationships/image" Target="../media/image5.png"/><Relationship Id="rId23" Type="http://schemas.openxmlformats.org/officeDocument/2006/relationships/image" Target="../media/image8.png"/><Relationship Id="rId10" Type="http://schemas.microsoft.com/office/2007/relationships/hdphoto" Target="../media/hdphoto2.wdp"/><Relationship Id="rId19" Type="http://schemas.openxmlformats.org/officeDocument/2006/relationships/chart" Target="../charts/chart11.xml"/><Relationship Id="rId4" Type="http://schemas.openxmlformats.org/officeDocument/2006/relationships/chart" Target="../charts/chart9.xml"/><Relationship Id="rId9" Type="http://schemas.openxmlformats.org/officeDocument/2006/relationships/image" Target="../media/image2.png"/><Relationship Id="rId14" Type="http://schemas.microsoft.com/office/2007/relationships/hdphoto" Target="../media/hdphoto4.wdp"/><Relationship Id="rId22" Type="http://schemas.microsoft.com/office/2007/relationships/hdphoto" Target="../media/hdphoto7.wdp"/><Relationship Id="rId27" Type="http://schemas.microsoft.com/office/2007/relationships/hdphoto" Target="../media/hdphoto9.wdp"/></Relationships>
</file>

<file path=xl/drawings/drawing1.xml><?xml version="1.0" encoding="utf-8"?>
<xdr:wsDr xmlns:xdr="http://schemas.openxmlformats.org/drawingml/2006/spreadsheetDrawing" xmlns:a="http://schemas.openxmlformats.org/drawingml/2006/main">
  <xdr:twoCellAnchor>
    <xdr:from>
      <xdr:col>7</xdr:col>
      <xdr:colOff>91440</xdr:colOff>
      <xdr:row>2</xdr:row>
      <xdr:rowOff>38100</xdr:rowOff>
    </xdr:from>
    <xdr:to>
      <xdr:col>15</xdr:col>
      <xdr:colOff>68580</xdr:colOff>
      <xdr:row>23</xdr:row>
      <xdr:rowOff>167640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8F09168-D5E0-48AD-A1FA-1A1AAA1FE9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947660" y="403860"/>
              <a:ext cx="4853940" cy="3970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259080</xdr:colOff>
      <xdr:row>4</xdr:row>
      <xdr:rowOff>7620</xdr:rowOff>
    </xdr:from>
    <xdr:to>
      <xdr:col>14</xdr:col>
      <xdr:colOff>563880</xdr:colOff>
      <xdr:row>19</xdr:row>
      <xdr:rowOff>7620</xdr:rowOff>
    </xdr:to>
    <xdr:graphicFrame macro="">
      <xdr:nvGraphicFramePr>
        <xdr:cNvPr id="2" name="Chart 1">
          <a:extLst>
            <a:ext uri="{FF2B5EF4-FFF2-40B4-BE49-F238E27FC236}">
              <a16:creationId xmlns:a16="http://schemas.microsoft.com/office/drawing/2014/main" id="{90B9F198-CB6E-2B31-28EB-E033B3E6C8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1432560</xdr:colOff>
      <xdr:row>3</xdr:row>
      <xdr:rowOff>106680</xdr:rowOff>
    </xdr:from>
    <xdr:to>
      <xdr:col>13</xdr:col>
      <xdr:colOff>152400</xdr:colOff>
      <xdr:row>21</xdr:row>
      <xdr:rowOff>129540</xdr:rowOff>
    </xdr:to>
    <xdr:graphicFrame macro="">
      <xdr:nvGraphicFramePr>
        <xdr:cNvPr id="2" name="Chart 1">
          <a:extLst>
            <a:ext uri="{FF2B5EF4-FFF2-40B4-BE49-F238E27FC236}">
              <a16:creationId xmlns:a16="http://schemas.microsoft.com/office/drawing/2014/main" id="{EB169204-F993-B9D5-21C4-4755AEF5D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9</xdr:row>
      <xdr:rowOff>38100</xdr:rowOff>
    </xdr:from>
    <xdr:to>
      <xdr:col>7</xdr:col>
      <xdr:colOff>236220</xdr:colOff>
      <xdr:row>19</xdr:row>
      <xdr:rowOff>110490</xdr:rowOff>
    </xdr:to>
    <xdr:graphicFrame macro="">
      <xdr:nvGraphicFramePr>
        <xdr:cNvPr id="5" name="Chart 4">
          <a:extLst>
            <a:ext uri="{FF2B5EF4-FFF2-40B4-BE49-F238E27FC236}">
              <a16:creationId xmlns:a16="http://schemas.microsoft.com/office/drawing/2014/main" id="{B29AD884-2ADC-286E-C128-3C2B46614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533400</xdr:colOff>
      <xdr:row>4</xdr:row>
      <xdr:rowOff>148590</xdr:rowOff>
    </xdr:from>
    <xdr:to>
      <xdr:col>17</xdr:col>
      <xdr:colOff>228600</xdr:colOff>
      <xdr:row>19</xdr:row>
      <xdr:rowOff>148590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485FA0B7-8DFA-39B5-B057-ADF4AC2A87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16140" y="8801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388620</xdr:colOff>
      <xdr:row>3</xdr:row>
      <xdr:rowOff>45720</xdr:rowOff>
    </xdr:from>
    <xdr:to>
      <xdr:col>16</xdr:col>
      <xdr:colOff>83820</xdr:colOff>
      <xdr:row>18</xdr:row>
      <xdr:rowOff>45720</xdr:rowOff>
    </xdr:to>
    <xdr:graphicFrame macro="">
      <xdr:nvGraphicFramePr>
        <xdr:cNvPr id="2" name="Chart 1">
          <a:extLst>
            <a:ext uri="{FF2B5EF4-FFF2-40B4-BE49-F238E27FC236}">
              <a16:creationId xmlns:a16="http://schemas.microsoft.com/office/drawing/2014/main" id="{C202A832-8068-DA0F-161A-5E8E7003D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556260</xdr:colOff>
      <xdr:row>11</xdr:row>
      <xdr:rowOff>34290</xdr:rowOff>
    </xdr:from>
    <xdr:to>
      <xdr:col>13</xdr:col>
      <xdr:colOff>251460</xdr:colOff>
      <xdr:row>26</xdr:row>
      <xdr:rowOff>34290</xdr:rowOff>
    </xdr:to>
    <xdr:graphicFrame macro="">
      <xdr:nvGraphicFramePr>
        <xdr:cNvPr id="3" name="Chart 2">
          <a:extLst>
            <a:ext uri="{FF2B5EF4-FFF2-40B4-BE49-F238E27FC236}">
              <a16:creationId xmlns:a16="http://schemas.microsoft.com/office/drawing/2014/main" id="{0EDA9E0A-BB73-238C-E822-F069AF734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441960</xdr:colOff>
      <xdr:row>2</xdr:row>
      <xdr:rowOff>19050</xdr:rowOff>
    </xdr:from>
    <xdr:to>
      <xdr:col>10</xdr:col>
      <xdr:colOff>236220</xdr:colOff>
      <xdr:row>9</xdr:row>
      <xdr:rowOff>38100</xdr:rowOff>
    </xdr:to>
    <xdr:graphicFrame macro="">
      <xdr:nvGraphicFramePr>
        <xdr:cNvPr id="2" name="Chart 1">
          <a:extLst>
            <a:ext uri="{FF2B5EF4-FFF2-40B4-BE49-F238E27FC236}">
              <a16:creationId xmlns:a16="http://schemas.microsoft.com/office/drawing/2014/main" id="{A98971F6-A468-83BE-507B-CDCFEE549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350520</xdr:colOff>
      <xdr:row>1</xdr:row>
      <xdr:rowOff>129540</xdr:rowOff>
    </xdr:from>
    <xdr:to>
      <xdr:col>12</xdr:col>
      <xdr:colOff>350520</xdr:colOff>
      <xdr:row>15</xdr:row>
      <xdr:rowOff>36195</xdr:rowOff>
    </xdr:to>
    <mc:AlternateContent xmlns:mc="http://schemas.openxmlformats.org/markup-compatibility/2006" xmlns:a14="http://schemas.microsoft.com/office/drawing/2010/main">
      <mc:Choice Requires="a14">
        <xdr:graphicFrame macro="">
          <xdr:nvGraphicFramePr>
            <xdr:cNvPr id="2" name="EducationField">
              <a:extLst>
                <a:ext uri="{FF2B5EF4-FFF2-40B4-BE49-F238E27FC236}">
                  <a16:creationId xmlns:a16="http://schemas.microsoft.com/office/drawing/2014/main" id="{D4A4120E-A5BB-4AFB-696B-7F5EE687BA5D}"/>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608838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144780</xdr:colOff>
      <xdr:row>2</xdr:row>
      <xdr:rowOff>121921</xdr:rowOff>
    </xdr:from>
    <xdr:to>
      <xdr:col>9</xdr:col>
      <xdr:colOff>144780</xdr:colOff>
      <xdr:row>10</xdr:row>
      <xdr:rowOff>45721</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2875749E-79A5-C0A1-FAFD-AB77F441268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053840" y="48768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1</xdr:row>
      <xdr:rowOff>106680</xdr:rowOff>
    </xdr:from>
    <xdr:to>
      <xdr:col>15</xdr:col>
      <xdr:colOff>533400</xdr:colOff>
      <xdr:row>15</xdr:row>
      <xdr:rowOff>13335</xdr:rowOff>
    </xdr:to>
    <mc:AlternateContent xmlns:mc="http://schemas.openxmlformats.org/markup-compatibility/2006" xmlns:a14="http://schemas.microsoft.com/office/drawing/2010/main">
      <mc:Choice Requires="a14">
        <xdr:graphicFrame macro="">
          <xdr:nvGraphicFramePr>
            <xdr:cNvPr id="7" name="JobLevel">
              <a:extLst>
                <a:ext uri="{FF2B5EF4-FFF2-40B4-BE49-F238E27FC236}">
                  <a16:creationId xmlns:a16="http://schemas.microsoft.com/office/drawing/2014/main" id="{012BDE6F-5D30-CC72-9CE9-010AD0F5BAE2}"/>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8100060" y="28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48</xdr:row>
      <xdr:rowOff>14729</xdr:rowOff>
    </xdr:to>
    <xdr:sp macro="" textlink="">
      <xdr:nvSpPr>
        <xdr:cNvPr id="3" name="Rectangle: Rounded Corners 2">
          <a:extLst>
            <a:ext uri="{FF2B5EF4-FFF2-40B4-BE49-F238E27FC236}">
              <a16:creationId xmlns:a16="http://schemas.microsoft.com/office/drawing/2014/main" id="{099938E0-127E-5C3E-0A9A-1BD212D63281}"/>
            </a:ext>
          </a:extLst>
        </xdr:cNvPr>
        <xdr:cNvSpPr/>
      </xdr:nvSpPr>
      <xdr:spPr>
        <a:xfrm>
          <a:off x="0" y="0"/>
          <a:ext cx="18377647" cy="8620847"/>
        </a:xfrm>
        <a:prstGeom prst="roundRect">
          <a:avLst>
            <a:gd name="adj" fmla="val 0"/>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ln>
                <a:noFill/>
              </a:ln>
            </a:rPr>
            <a:t>\</a:t>
          </a:r>
        </a:p>
      </xdr:txBody>
    </xdr:sp>
    <xdr:clientData/>
  </xdr:twoCellAnchor>
  <xdr:twoCellAnchor>
    <xdr:from>
      <xdr:col>0</xdr:col>
      <xdr:colOff>106680</xdr:colOff>
      <xdr:row>0</xdr:row>
      <xdr:rowOff>83820</xdr:rowOff>
    </xdr:from>
    <xdr:to>
      <xdr:col>1</xdr:col>
      <xdr:colOff>571500</xdr:colOff>
      <xdr:row>4</xdr:row>
      <xdr:rowOff>76200</xdr:rowOff>
    </xdr:to>
    <xdr:sp macro="" textlink="">
      <xdr:nvSpPr>
        <xdr:cNvPr id="2" name="Rectangle: Rounded Corners 1">
          <a:extLst>
            <a:ext uri="{FF2B5EF4-FFF2-40B4-BE49-F238E27FC236}">
              <a16:creationId xmlns:a16="http://schemas.microsoft.com/office/drawing/2014/main" id="{DDC402D9-88CE-816E-9720-ED244468568E}"/>
            </a:ext>
          </a:extLst>
        </xdr:cNvPr>
        <xdr:cNvSpPr/>
      </xdr:nvSpPr>
      <xdr:spPr>
        <a:xfrm>
          <a:off x="106680" y="83820"/>
          <a:ext cx="1074420" cy="723900"/>
        </a:xfrm>
        <a:prstGeom prst="roundRect">
          <a:avLst/>
        </a:prstGeom>
        <a:solidFill>
          <a:schemeClr val="accent1">
            <a:lumMod val="75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xdr:colOff>
      <xdr:row>0</xdr:row>
      <xdr:rowOff>83820</xdr:rowOff>
    </xdr:from>
    <xdr:to>
      <xdr:col>15</xdr:col>
      <xdr:colOff>228600</xdr:colOff>
      <xdr:row>4</xdr:row>
      <xdr:rowOff>76200</xdr:rowOff>
    </xdr:to>
    <xdr:sp macro="" textlink="">
      <xdr:nvSpPr>
        <xdr:cNvPr id="4" name="Rectangle: Rounded Corners 3">
          <a:extLst>
            <a:ext uri="{FF2B5EF4-FFF2-40B4-BE49-F238E27FC236}">
              <a16:creationId xmlns:a16="http://schemas.microsoft.com/office/drawing/2014/main" id="{E42CC144-0E47-4AD2-AA4A-612E1D2D4183}"/>
            </a:ext>
          </a:extLst>
        </xdr:cNvPr>
        <xdr:cNvSpPr/>
      </xdr:nvSpPr>
      <xdr:spPr>
        <a:xfrm>
          <a:off x="1242060" y="83820"/>
          <a:ext cx="8130540" cy="723900"/>
        </a:xfrm>
        <a:prstGeom prst="roundRect">
          <a:avLst/>
        </a:prstGeom>
        <a:solidFill>
          <a:schemeClr val="accent1">
            <a:lumMod val="75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297180</xdr:colOff>
      <xdr:row>0</xdr:row>
      <xdr:rowOff>83820</xdr:rowOff>
    </xdr:from>
    <xdr:to>
      <xdr:col>23</xdr:col>
      <xdr:colOff>74706</xdr:colOff>
      <xdr:row>4</xdr:row>
      <xdr:rowOff>76200</xdr:rowOff>
    </xdr:to>
    <xdr:sp macro="" textlink="">
      <xdr:nvSpPr>
        <xdr:cNvPr id="5" name="Rectangle: Rounded Corners 4">
          <a:extLst>
            <a:ext uri="{FF2B5EF4-FFF2-40B4-BE49-F238E27FC236}">
              <a16:creationId xmlns:a16="http://schemas.microsoft.com/office/drawing/2014/main" id="{DEE4C6CD-31CD-493F-BCBA-5C49DF7B16DC}"/>
            </a:ext>
          </a:extLst>
        </xdr:cNvPr>
        <xdr:cNvSpPr/>
      </xdr:nvSpPr>
      <xdr:spPr>
        <a:xfrm>
          <a:off x="9486004" y="83820"/>
          <a:ext cx="4678231" cy="709556"/>
        </a:xfrm>
        <a:prstGeom prst="roundRect">
          <a:avLst/>
        </a:prstGeom>
        <a:solidFill>
          <a:schemeClr val="accent1">
            <a:lumMod val="75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312420</xdr:colOff>
      <xdr:row>4</xdr:row>
      <xdr:rowOff>137160</xdr:rowOff>
    </xdr:from>
    <xdr:to>
      <xdr:col>7</xdr:col>
      <xdr:colOff>214020</xdr:colOff>
      <xdr:row>10</xdr:row>
      <xdr:rowOff>11880</xdr:rowOff>
    </xdr:to>
    <xdr:sp macro="" textlink="">
      <xdr:nvSpPr>
        <xdr:cNvPr id="9" name="Rectangle: Rounded Corners 8">
          <a:extLst>
            <a:ext uri="{FF2B5EF4-FFF2-40B4-BE49-F238E27FC236}">
              <a16:creationId xmlns:a16="http://schemas.microsoft.com/office/drawing/2014/main" id="{9F090113-059A-4EA8-ABE5-80C832392EC9}"/>
            </a:ext>
          </a:extLst>
        </xdr:cNvPr>
        <xdr:cNvSpPr/>
      </xdr:nvSpPr>
      <xdr:spPr>
        <a:xfrm>
          <a:off x="2141220" y="868680"/>
          <a:ext cx="2340000" cy="972000"/>
        </a:xfrm>
        <a:prstGeom prst="roundRect">
          <a:avLst/>
        </a:prstGeom>
        <a:gradFill flip="none" rotWithShape="1">
          <a:gsLst>
            <a:gs pos="1000">
              <a:schemeClr val="accent1">
                <a:lumMod val="40000"/>
                <a:lumOff val="60000"/>
              </a:schemeClr>
            </a:gs>
            <a:gs pos="100000">
              <a:schemeClr val="tx2">
                <a:lumMod val="60000"/>
                <a:lumOff val="4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4</xdr:row>
      <xdr:rowOff>129540</xdr:rowOff>
    </xdr:from>
    <xdr:to>
      <xdr:col>3</xdr:col>
      <xdr:colOff>251460</xdr:colOff>
      <xdr:row>36</xdr:row>
      <xdr:rowOff>60960</xdr:rowOff>
    </xdr:to>
    <xdr:sp macro="" textlink="">
      <xdr:nvSpPr>
        <xdr:cNvPr id="11" name="Rectangle: Rounded Corners 10">
          <a:extLst>
            <a:ext uri="{FF2B5EF4-FFF2-40B4-BE49-F238E27FC236}">
              <a16:creationId xmlns:a16="http://schemas.microsoft.com/office/drawing/2014/main" id="{27136552-656B-4F1E-8E21-3D7629BF016B}"/>
            </a:ext>
          </a:extLst>
        </xdr:cNvPr>
        <xdr:cNvSpPr/>
      </xdr:nvSpPr>
      <xdr:spPr>
        <a:xfrm>
          <a:off x="76200" y="861060"/>
          <a:ext cx="2004060" cy="5783580"/>
        </a:xfrm>
        <a:prstGeom prst="roundRect">
          <a:avLst>
            <a:gd name="adj" fmla="val 9823"/>
          </a:avLst>
        </a:prstGeom>
        <a:solidFill>
          <a:schemeClr val="accent1">
            <a:lumMod val="75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320040</xdr:colOff>
      <xdr:row>10</xdr:row>
      <xdr:rowOff>76200</xdr:rowOff>
    </xdr:from>
    <xdr:to>
      <xdr:col>9</xdr:col>
      <xdr:colOff>586740</xdr:colOff>
      <xdr:row>23</xdr:row>
      <xdr:rowOff>38760</xdr:rowOff>
    </xdr:to>
    <xdr:sp macro="" textlink="">
      <xdr:nvSpPr>
        <xdr:cNvPr id="12" name="Rectangle: Rounded Corners 11">
          <a:extLst>
            <a:ext uri="{FF2B5EF4-FFF2-40B4-BE49-F238E27FC236}">
              <a16:creationId xmlns:a16="http://schemas.microsoft.com/office/drawing/2014/main" id="{E5559B9B-70D7-4EE3-AF98-81EB5B529A0F}"/>
            </a:ext>
          </a:extLst>
        </xdr:cNvPr>
        <xdr:cNvSpPr/>
      </xdr:nvSpPr>
      <xdr:spPr>
        <a:xfrm>
          <a:off x="2157805" y="1869141"/>
          <a:ext cx="3942229" cy="2293384"/>
        </a:xfrm>
        <a:prstGeom prst="roundRect">
          <a:avLst>
            <a:gd name="adj" fmla="val 8017"/>
          </a:avLst>
        </a:prstGeom>
        <a:gradFill flip="none" rotWithShape="1">
          <a:gsLst>
            <a:gs pos="1000">
              <a:schemeClr val="accent1">
                <a:lumMod val="40000"/>
                <a:lumOff val="60000"/>
              </a:schemeClr>
            </a:gs>
            <a:gs pos="100000">
              <a:schemeClr val="tx2">
                <a:lumMod val="60000"/>
                <a:lumOff val="4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35052</xdr:colOff>
      <xdr:row>10</xdr:row>
      <xdr:rowOff>77724</xdr:rowOff>
    </xdr:from>
    <xdr:to>
      <xdr:col>16</xdr:col>
      <xdr:colOff>301752</xdr:colOff>
      <xdr:row>23</xdr:row>
      <xdr:rowOff>40284</xdr:rowOff>
    </xdr:to>
    <xdr:sp macro="" textlink="">
      <xdr:nvSpPr>
        <xdr:cNvPr id="21" name="Rectangle: Rounded Corners 20">
          <a:extLst>
            <a:ext uri="{FF2B5EF4-FFF2-40B4-BE49-F238E27FC236}">
              <a16:creationId xmlns:a16="http://schemas.microsoft.com/office/drawing/2014/main" id="{D62016DF-F509-453C-9247-99171ECC19B4}"/>
            </a:ext>
          </a:extLst>
        </xdr:cNvPr>
        <xdr:cNvSpPr/>
      </xdr:nvSpPr>
      <xdr:spPr>
        <a:xfrm>
          <a:off x="6131052" y="1906524"/>
          <a:ext cx="3924300" cy="2340000"/>
        </a:xfrm>
        <a:prstGeom prst="roundRect">
          <a:avLst>
            <a:gd name="adj" fmla="val 8017"/>
          </a:avLst>
        </a:prstGeom>
        <a:gradFill flip="none" rotWithShape="1">
          <a:gsLst>
            <a:gs pos="1000">
              <a:schemeClr val="accent1">
                <a:lumMod val="40000"/>
                <a:lumOff val="60000"/>
              </a:schemeClr>
            </a:gs>
            <a:gs pos="100000">
              <a:schemeClr val="tx2">
                <a:lumMod val="60000"/>
                <a:lumOff val="4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365760</xdr:colOff>
      <xdr:row>10</xdr:row>
      <xdr:rowOff>56388</xdr:rowOff>
    </xdr:from>
    <xdr:to>
      <xdr:col>23</xdr:col>
      <xdr:colOff>68580</xdr:colOff>
      <xdr:row>23</xdr:row>
      <xdr:rowOff>18948</xdr:rowOff>
    </xdr:to>
    <xdr:sp macro="" textlink="">
      <xdr:nvSpPr>
        <xdr:cNvPr id="23" name="Rectangle: Rounded Corners 22">
          <a:extLst>
            <a:ext uri="{FF2B5EF4-FFF2-40B4-BE49-F238E27FC236}">
              <a16:creationId xmlns:a16="http://schemas.microsoft.com/office/drawing/2014/main" id="{33F2B82F-D8F3-4E19-A0C8-65A5BA8B7CA2}"/>
            </a:ext>
          </a:extLst>
        </xdr:cNvPr>
        <xdr:cNvSpPr/>
      </xdr:nvSpPr>
      <xdr:spPr>
        <a:xfrm>
          <a:off x="10119360" y="1885188"/>
          <a:ext cx="3970020" cy="2340000"/>
        </a:xfrm>
        <a:prstGeom prst="roundRect">
          <a:avLst>
            <a:gd name="adj" fmla="val 8017"/>
          </a:avLst>
        </a:prstGeom>
        <a:gradFill flip="none" rotWithShape="1">
          <a:gsLst>
            <a:gs pos="1000">
              <a:schemeClr val="accent1">
                <a:lumMod val="40000"/>
                <a:lumOff val="60000"/>
              </a:schemeClr>
            </a:gs>
            <a:gs pos="100000">
              <a:schemeClr val="tx2">
                <a:lumMod val="60000"/>
                <a:lumOff val="4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321564</xdr:colOff>
      <xdr:row>23</xdr:row>
      <xdr:rowOff>91440</xdr:rowOff>
    </xdr:from>
    <xdr:to>
      <xdr:col>9</xdr:col>
      <xdr:colOff>600456</xdr:colOff>
      <xdr:row>36</xdr:row>
      <xdr:rowOff>54000</xdr:rowOff>
    </xdr:to>
    <xdr:sp macro="" textlink="">
      <xdr:nvSpPr>
        <xdr:cNvPr id="28" name="Rectangle: Rounded Corners 27">
          <a:extLst>
            <a:ext uri="{FF2B5EF4-FFF2-40B4-BE49-F238E27FC236}">
              <a16:creationId xmlns:a16="http://schemas.microsoft.com/office/drawing/2014/main" id="{D28A5033-12A7-45FA-A218-1848D73A6285}"/>
            </a:ext>
          </a:extLst>
        </xdr:cNvPr>
        <xdr:cNvSpPr/>
      </xdr:nvSpPr>
      <xdr:spPr>
        <a:xfrm>
          <a:off x="2150364" y="4297680"/>
          <a:ext cx="3936492" cy="2340000"/>
        </a:xfrm>
        <a:prstGeom prst="roundRect">
          <a:avLst>
            <a:gd name="adj" fmla="val 8017"/>
          </a:avLst>
        </a:prstGeom>
        <a:gradFill flip="none" rotWithShape="1">
          <a:gsLst>
            <a:gs pos="1000">
              <a:schemeClr val="accent1">
                <a:lumMod val="40000"/>
                <a:lumOff val="60000"/>
              </a:schemeClr>
            </a:gs>
            <a:gs pos="100000">
              <a:schemeClr val="tx2">
                <a:lumMod val="60000"/>
                <a:lumOff val="4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274320</xdr:colOff>
      <xdr:row>4</xdr:row>
      <xdr:rowOff>137160</xdr:rowOff>
    </xdr:from>
    <xdr:to>
      <xdr:col>11</xdr:col>
      <xdr:colOff>175920</xdr:colOff>
      <xdr:row>10</xdr:row>
      <xdr:rowOff>11880</xdr:rowOff>
    </xdr:to>
    <xdr:sp macro="" textlink="">
      <xdr:nvSpPr>
        <xdr:cNvPr id="31" name="Rectangle: Rounded Corners 30">
          <a:extLst>
            <a:ext uri="{FF2B5EF4-FFF2-40B4-BE49-F238E27FC236}">
              <a16:creationId xmlns:a16="http://schemas.microsoft.com/office/drawing/2014/main" id="{8F0E51AE-D949-4BD3-8BAB-CEE7E2F786E0}"/>
            </a:ext>
          </a:extLst>
        </xdr:cNvPr>
        <xdr:cNvSpPr/>
      </xdr:nvSpPr>
      <xdr:spPr>
        <a:xfrm>
          <a:off x="4541520" y="868680"/>
          <a:ext cx="2340000" cy="972000"/>
        </a:xfrm>
        <a:prstGeom prst="roundRect">
          <a:avLst/>
        </a:prstGeom>
        <a:gradFill flip="none" rotWithShape="1">
          <a:gsLst>
            <a:gs pos="1000">
              <a:schemeClr val="accent1">
                <a:lumMod val="40000"/>
                <a:lumOff val="60000"/>
              </a:schemeClr>
            </a:gs>
            <a:gs pos="100000">
              <a:schemeClr val="tx2">
                <a:lumMod val="60000"/>
                <a:lumOff val="4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228600</xdr:colOff>
      <xdr:row>4</xdr:row>
      <xdr:rowOff>137160</xdr:rowOff>
    </xdr:from>
    <xdr:to>
      <xdr:col>15</xdr:col>
      <xdr:colOff>130200</xdr:colOff>
      <xdr:row>10</xdr:row>
      <xdr:rowOff>11880</xdr:rowOff>
    </xdr:to>
    <xdr:sp macro="" textlink="">
      <xdr:nvSpPr>
        <xdr:cNvPr id="32" name="Rectangle: Rounded Corners 31">
          <a:extLst>
            <a:ext uri="{FF2B5EF4-FFF2-40B4-BE49-F238E27FC236}">
              <a16:creationId xmlns:a16="http://schemas.microsoft.com/office/drawing/2014/main" id="{5E56B602-EABC-4291-B8DD-80D21259AC11}"/>
            </a:ext>
          </a:extLst>
        </xdr:cNvPr>
        <xdr:cNvSpPr/>
      </xdr:nvSpPr>
      <xdr:spPr>
        <a:xfrm>
          <a:off x="6934200" y="868680"/>
          <a:ext cx="2340000" cy="972000"/>
        </a:xfrm>
        <a:prstGeom prst="roundRect">
          <a:avLst/>
        </a:prstGeom>
        <a:gradFill flip="none" rotWithShape="1">
          <a:gsLst>
            <a:gs pos="1000">
              <a:schemeClr val="accent1">
                <a:lumMod val="40000"/>
                <a:lumOff val="60000"/>
              </a:schemeClr>
            </a:gs>
            <a:gs pos="100000">
              <a:schemeClr val="tx2">
                <a:lumMod val="60000"/>
                <a:lumOff val="4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198120</xdr:colOff>
      <xdr:row>4</xdr:row>
      <xdr:rowOff>129540</xdr:rowOff>
    </xdr:from>
    <xdr:to>
      <xdr:col>19</xdr:col>
      <xdr:colOff>99720</xdr:colOff>
      <xdr:row>10</xdr:row>
      <xdr:rowOff>4260</xdr:rowOff>
    </xdr:to>
    <xdr:sp macro="" textlink="">
      <xdr:nvSpPr>
        <xdr:cNvPr id="33" name="Rectangle: Rounded Corners 32">
          <a:extLst>
            <a:ext uri="{FF2B5EF4-FFF2-40B4-BE49-F238E27FC236}">
              <a16:creationId xmlns:a16="http://schemas.microsoft.com/office/drawing/2014/main" id="{49A82009-2B4E-490B-94A0-0F46B5C5766E}"/>
            </a:ext>
          </a:extLst>
        </xdr:cNvPr>
        <xdr:cNvSpPr/>
      </xdr:nvSpPr>
      <xdr:spPr>
        <a:xfrm>
          <a:off x="9342120" y="861060"/>
          <a:ext cx="2340000" cy="972000"/>
        </a:xfrm>
        <a:prstGeom prst="roundRect">
          <a:avLst/>
        </a:prstGeom>
        <a:gradFill flip="none" rotWithShape="1">
          <a:gsLst>
            <a:gs pos="1000">
              <a:schemeClr val="accent1">
                <a:lumMod val="40000"/>
                <a:lumOff val="60000"/>
              </a:schemeClr>
            </a:gs>
            <a:gs pos="100000">
              <a:schemeClr val="tx2">
                <a:lumMod val="60000"/>
                <a:lumOff val="4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152400</xdr:colOff>
      <xdr:row>4</xdr:row>
      <xdr:rowOff>129540</xdr:rowOff>
    </xdr:from>
    <xdr:to>
      <xdr:col>23</xdr:col>
      <xdr:colOff>45720</xdr:colOff>
      <xdr:row>10</xdr:row>
      <xdr:rowOff>4260</xdr:rowOff>
    </xdr:to>
    <xdr:sp macro="" textlink="">
      <xdr:nvSpPr>
        <xdr:cNvPr id="34" name="Rectangle: Rounded Corners 33">
          <a:extLst>
            <a:ext uri="{FF2B5EF4-FFF2-40B4-BE49-F238E27FC236}">
              <a16:creationId xmlns:a16="http://schemas.microsoft.com/office/drawing/2014/main" id="{3AE42BEC-B0C1-40F8-8049-0DB0932352BD}"/>
            </a:ext>
          </a:extLst>
        </xdr:cNvPr>
        <xdr:cNvSpPr/>
      </xdr:nvSpPr>
      <xdr:spPr>
        <a:xfrm>
          <a:off x="11734800" y="861060"/>
          <a:ext cx="2331720" cy="972000"/>
        </a:xfrm>
        <a:prstGeom prst="roundRect">
          <a:avLst/>
        </a:prstGeom>
        <a:gradFill flip="none" rotWithShape="1">
          <a:gsLst>
            <a:gs pos="1000">
              <a:schemeClr val="accent1">
                <a:lumMod val="40000"/>
                <a:lumOff val="60000"/>
              </a:schemeClr>
            </a:gs>
            <a:gs pos="100000">
              <a:schemeClr val="tx2">
                <a:lumMod val="60000"/>
                <a:lumOff val="4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60960</xdr:colOff>
      <xdr:row>23</xdr:row>
      <xdr:rowOff>91440</xdr:rowOff>
    </xdr:from>
    <xdr:to>
      <xdr:col>16</xdr:col>
      <xdr:colOff>327660</xdr:colOff>
      <xdr:row>36</xdr:row>
      <xdr:rowOff>54000</xdr:rowOff>
    </xdr:to>
    <xdr:sp macro="" textlink="">
      <xdr:nvSpPr>
        <xdr:cNvPr id="78" name="Rectangle: Rounded Corners 77">
          <a:extLst>
            <a:ext uri="{FF2B5EF4-FFF2-40B4-BE49-F238E27FC236}">
              <a16:creationId xmlns:a16="http://schemas.microsoft.com/office/drawing/2014/main" id="{95CB1DDC-B27E-4B42-A0CC-5C79EDE8B882}"/>
            </a:ext>
          </a:extLst>
        </xdr:cNvPr>
        <xdr:cNvSpPr/>
      </xdr:nvSpPr>
      <xdr:spPr>
        <a:xfrm>
          <a:off x="6156960" y="4297680"/>
          <a:ext cx="3924300" cy="2340000"/>
        </a:xfrm>
        <a:prstGeom prst="roundRect">
          <a:avLst>
            <a:gd name="adj" fmla="val 8017"/>
          </a:avLst>
        </a:prstGeom>
        <a:gradFill flip="none" rotWithShape="1">
          <a:gsLst>
            <a:gs pos="1000">
              <a:schemeClr val="accent1">
                <a:lumMod val="40000"/>
                <a:lumOff val="60000"/>
              </a:schemeClr>
            </a:gs>
            <a:gs pos="100000">
              <a:schemeClr val="tx2">
                <a:lumMod val="60000"/>
                <a:lumOff val="4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403860</xdr:colOff>
      <xdr:row>23</xdr:row>
      <xdr:rowOff>91440</xdr:rowOff>
    </xdr:from>
    <xdr:to>
      <xdr:col>23</xdr:col>
      <xdr:colOff>91440</xdr:colOff>
      <xdr:row>36</xdr:row>
      <xdr:rowOff>54000</xdr:rowOff>
    </xdr:to>
    <xdr:sp macro="" textlink="">
      <xdr:nvSpPr>
        <xdr:cNvPr id="79" name="Rectangle: Rounded Corners 78">
          <a:extLst>
            <a:ext uri="{FF2B5EF4-FFF2-40B4-BE49-F238E27FC236}">
              <a16:creationId xmlns:a16="http://schemas.microsoft.com/office/drawing/2014/main" id="{26FDA6D5-C175-4C65-A3F3-89C07E5B4BB5}"/>
            </a:ext>
          </a:extLst>
        </xdr:cNvPr>
        <xdr:cNvSpPr/>
      </xdr:nvSpPr>
      <xdr:spPr>
        <a:xfrm>
          <a:off x="10157460" y="4297680"/>
          <a:ext cx="3954780" cy="2340000"/>
        </a:xfrm>
        <a:prstGeom prst="roundRect">
          <a:avLst>
            <a:gd name="adj" fmla="val 8017"/>
          </a:avLst>
        </a:prstGeom>
        <a:gradFill flip="none" rotWithShape="1">
          <a:gsLst>
            <a:gs pos="1000">
              <a:schemeClr val="accent1">
                <a:lumMod val="40000"/>
                <a:lumOff val="60000"/>
              </a:schemeClr>
            </a:gs>
            <a:gs pos="100000">
              <a:schemeClr val="tx2">
                <a:lumMod val="60000"/>
                <a:lumOff val="40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411480</xdr:colOff>
      <xdr:row>10</xdr:row>
      <xdr:rowOff>22860</xdr:rowOff>
    </xdr:from>
    <xdr:to>
      <xdr:col>22</xdr:col>
      <xdr:colOff>601980</xdr:colOff>
      <xdr:row>22</xdr:row>
      <xdr:rowOff>167640</xdr:rowOff>
    </xdr:to>
    <mc:AlternateContent xmlns:mc="http://schemas.openxmlformats.org/markup-compatibility/2006">
      <mc:Choice xmlns:cx1="http://schemas.microsoft.com/office/drawing/2015/9/8/chartex" Requires="cx1">
        <xdr:graphicFrame macro="">
          <xdr:nvGraphicFramePr>
            <xdr:cNvPr id="81" name="Chart 80">
              <a:extLst>
                <a:ext uri="{FF2B5EF4-FFF2-40B4-BE49-F238E27FC236}">
                  <a16:creationId xmlns:a16="http://schemas.microsoft.com/office/drawing/2014/main" id="{E14D8CC5-0E79-47CA-B8CD-FF7A84F47E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165080" y="1851660"/>
              <a:ext cx="3848100" cy="2339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91440</xdr:colOff>
      <xdr:row>10</xdr:row>
      <xdr:rowOff>76200</xdr:rowOff>
    </xdr:from>
    <xdr:to>
      <xdr:col>16</xdr:col>
      <xdr:colOff>281940</xdr:colOff>
      <xdr:row>22</xdr:row>
      <xdr:rowOff>160020</xdr:rowOff>
    </xdr:to>
    <xdr:graphicFrame macro="">
      <xdr:nvGraphicFramePr>
        <xdr:cNvPr id="82" name="Chart 81">
          <a:extLst>
            <a:ext uri="{FF2B5EF4-FFF2-40B4-BE49-F238E27FC236}">
              <a16:creationId xmlns:a16="http://schemas.microsoft.com/office/drawing/2014/main" id="{F2028004-90E8-4594-9DE7-C725E09A5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487680</xdr:colOff>
      <xdr:row>23</xdr:row>
      <xdr:rowOff>129540</xdr:rowOff>
    </xdr:from>
    <xdr:to>
      <xdr:col>23</xdr:col>
      <xdr:colOff>137160</xdr:colOff>
      <xdr:row>35</xdr:row>
      <xdr:rowOff>137160</xdr:rowOff>
    </xdr:to>
    <xdr:graphicFrame macro="">
      <xdr:nvGraphicFramePr>
        <xdr:cNvPr id="83" name="Chart 82">
          <a:extLst>
            <a:ext uri="{FF2B5EF4-FFF2-40B4-BE49-F238E27FC236}">
              <a16:creationId xmlns:a16="http://schemas.microsoft.com/office/drawing/2014/main" id="{8F2F1E88-8905-4599-A42A-AB420A92E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28688</xdr:colOff>
      <xdr:row>10</xdr:row>
      <xdr:rowOff>81504</xdr:rowOff>
    </xdr:from>
    <xdr:to>
      <xdr:col>8</xdr:col>
      <xdr:colOff>186765</xdr:colOff>
      <xdr:row>18</xdr:row>
      <xdr:rowOff>77694</xdr:rowOff>
    </xdr:to>
    <xdr:graphicFrame macro="">
      <xdr:nvGraphicFramePr>
        <xdr:cNvPr id="84" name="Chart 83">
          <a:extLst>
            <a:ext uri="{FF2B5EF4-FFF2-40B4-BE49-F238E27FC236}">
              <a16:creationId xmlns:a16="http://schemas.microsoft.com/office/drawing/2014/main" id="{7E468B73-34AD-4AF9-8A4E-A2080A603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365760</xdr:colOff>
      <xdr:row>23</xdr:row>
      <xdr:rowOff>99060</xdr:rowOff>
    </xdr:from>
    <xdr:to>
      <xdr:col>9</xdr:col>
      <xdr:colOff>594360</xdr:colOff>
      <xdr:row>36</xdr:row>
      <xdr:rowOff>76200</xdr:rowOff>
    </xdr:to>
    <mc:AlternateContent xmlns:mc="http://schemas.openxmlformats.org/markup-compatibility/2006">
      <mc:Choice xmlns:cx2="http://schemas.microsoft.com/office/drawing/2015/10/21/chartex" Requires="cx2">
        <xdr:graphicFrame macro="">
          <xdr:nvGraphicFramePr>
            <xdr:cNvPr id="87" name="Chart 86">
              <a:extLst>
                <a:ext uri="{FF2B5EF4-FFF2-40B4-BE49-F238E27FC236}">
                  <a16:creationId xmlns:a16="http://schemas.microsoft.com/office/drawing/2014/main" id="{47581BAA-E0CB-4E84-91CD-B8B9A69E6D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194560" y="4305300"/>
              <a:ext cx="3886200" cy="2354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60960</xdr:colOff>
      <xdr:row>23</xdr:row>
      <xdr:rowOff>91440</xdr:rowOff>
    </xdr:from>
    <xdr:to>
      <xdr:col>16</xdr:col>
      <xdr:colOff>274320</xdr:colOff>
      <xdr:row>35</xdr:row>
      <xdr:rowOff>160020</xdr:rowOff>
    </xdr:to>
    <xdr:graphicFrame macro="">
      <xdr:nvGraphicFramePr>
        <xdr:cNvPr id="88" name="Chart 87">
          <a:extLst>
            <a:ext uri="{FF2B5EF4-FFF2-40B4-BE49-F238E27FC236}">
              <a16:creationId xmlns:a16="http://schemas.microsoft.com/office/drawing/2014/main" id="{20FAA4F0-19BB-4FF4-86EA-91BF91102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30480</xdr:colOff>
      <xdr:row>5</xdr:row>
      <xdr:rowOff>83820</xdr:rowOff>
    </xdr:from>
    <xdr:to>
      <xdr:col>6</xdr:col>
      <xdr:colOff>388620</xdr:colOff>
      <xdr:row>7</xdr:row>
      <xdr:rowOff>53340</xdr:rowOff>
    </xdr:to>
    <xdr:sp macro="" textlink="">
      <xdr:nvSpPr>
        <xdr:cNvPr id="89" name="TextBox 88">
          <a:extLst>
            <a:ext uri="{FF2B5EF4-FFF2-40B4-BE49-F238E27FC236}">
              <a16:creationId xmlns:a16="http://schemas.microsoft.com/office/drawing/2014/main" id="{466ED3EC-8BAC-73DF-8367-BF14F6DCA262}"/>
            </a:ext>
          </a:extLst>
        </xdr:cNvPr>
        <xdr:cNvSpPr txBox="1"/>
      </xdr:nvSpPr>
      <xdr:spPr>
        <a:xfrm>
          <a:off x="2457043" y="1008577"/>
          <a:ext cx="1571422" cy="3394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2">
                  <a:lumMod val="50000"/>
                </a:schemeClr>
              </a:solidFill>
            </a:rPr>
            <a:t>Total Employees</a:t>
          </a:r>
        </a:p>
      </xdr:txBody>
    </xdr:sp>
    <xdr:clientData/>
  </xdr:twoCellAnchor>
  <xdr:twoCellAnchor>
    <xdr:from>
      <xdr:col>4</xdr:col>
      <xdr:colOff>449580</xdr:colOff>
      <xdr:row>7</xdr:row>
      <xdr:rowOff>83820</xdr:rowOff>
    </xdr:from>
    <xdr:to>
      <xdr:col>6</xdr:col>
      <xdr:colOff>388620</xdr:colOff>
      <xdr:row>9</xdr:row>
      <xdr:rowOff>99060</xdr:rowOff>
    </xdr:to>
    <xdr:sp macro="" textlink="KPI!A7">
      <xdr:nvSpPr>
        <xdr:cNvPr id="90" name="TextBox 89">
          <a:extLst>
            <a:ext uri="{FF2B5EF4-FFF2-40B4-BE49-F238E27FC236}">
              <a16:creationId xmlns:a16="http://schemas.microsoft.com/office/drawing/2014/main" id="{58C3DE54-2CC2-C60B-4C98-48B841580544}"/>
            </a:ext>
          </a:extLst>
        </xdr:cNvPr>
        <xdr:cNvSpPr txBox="1"/>
      </xdr:nvSpPr>
      <xdr:spPr>
        <a:xfrm>
          <a:off x="2887980" y="1363980"/>
          <a:ext cx="11582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6F72D6-81A3-4FF5-87C1-AF7CFF557DE0}" type="TxLink">
            <a:rPr lang="en-US" sz="1800" b="1" i="0" u="none" strike="noStrike">
              <a:solidFill>
                <a:schemeClr val="tx2">
                  <a:lumMod val="50000"/>
                </a:schemeClr>
              </a:solidFill>
              <a:latin typeface="Calibri"/>
              <a:ea typeface="Calibri"/>
              <a:cs typeface="Calibri"/>
            </a:rPr>
            <a:pPr/>
            <a:t>1470</a:t>
          </a:fld>
          <a:endParaRPr lang="en-IN" sz="2400" b="1">
            <a:solidFill>
              <a:schemeClr val="tx2">
                <a:lumMod val="50000"/>
              </a:schemeClr>
            </a:solidFill>
          </a:endParaRPr>
        </a:p>
      </xdr:txBody>
    </xdr:sp>
    <xdr:clientData/>
  </xdr:twoCellAnchor>
  <xdr:twoCellAnchor>
    <xdr:from>
      <xdr:col>7</xdr:col>
      <xdr:colOff>548640</xdr:colOff>
      <xdr:row>5</xdr:row>
      <xdr:rowOff>60960</xdr:rowOff>
    </xdr:from>
    <xdr:to>
      <xdr:col>10</xdr:col>
      <xdr:colOff>182880</xdr:colOff>
      <xdr:row>7</xdr:row>
      <xdr:rowOff>30480</xdr:rowOff>
    </xdr:to>
    <xdr:sp macro="" textlink="">
      <xdr:nvSpPr>
        <xdr:cNvPr id="91" name="TextBox 90">
          <a:extLst>
            <a:ext uri="{FF2B5EF4-FFF2-40B4-BE49-F238E27FC236}">
              <a16:creationId xmlns:a16="http://schemas.microsoft.com/office/drawing/2014/main" id="{94A18841-A7E4-46B5-A6CD-3D99EE91CD3B}"/>
            </a:ext>
          </a:extLst>
        </xdr:cNvPr>
        <xdr:cNvSpPr txBox="1"/>
      </xdr:nvSpPr>
      <xdr:spPr>
        <a:xfrm>
          <a:off x="4815840" y="97536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2">
                  <a:lumMod val="50000"/>
                </a:schemeClr>
              </a:solidFill>
            </a:rPr>
            <a:t>Attrition Count</a:t>
          </a:r>
        </a:p>
        <a:p>
          <a:pPr algn="ctr"/>
          <a:endParaRPr lang="en-IN" sz="1600" b="1">
            <a:solidFill>
              <a:schemeClr val="tx2">
                <a:lumMod val="50000"/>
              </a:schemeClr>
            </a:solidFill>
          </a:endParaRPr>
        </a:p>
      </xdr:txBody>
    </xdr:sp>
    <xdr:clientData/>
  </xdr:twoCellAnchor>
  <xdr:twoCellAnchor>
    <xdr:from>
      <xdr:col>8</xdr:col>
      <xdr:colOff>274320</xdr:colOff>
      <xdr:row>7</xdr:row>
      <xdr:rowOff>38100</xdr:rowOff>
    </xdr:from>
    <xdr:to>
      <xdr:col>10</xdr:col>
      <xdr:colOff>213360</xdr:colOff>
      <xdr:row>9</xdr:row>
      <xdr:rowOff>53340</xdr:rowOff>
    </xdr:to>
    <xdr:sp macro="" textlink="KPI!B7">
      <xdr:nvSpPr>
        <xdr:cNvPr id="92" name="TextBox 91">
          <a:extLst>
            <a:ext uri="{FF2B5EF4-FFF2-40B4-BE49-F238E27FC236}">
              <a16:creationId xmlns:a16="http://schemas.microsoft.com/office/drawing/2014/main" id="{6B8A967E-03B3-41BC-8321-0AFAA029C71D}"/>
            </a:ext>
          </a:extLst>
        </xdr:cNvPr>
        <xdr:cNvSpPr txBox="1"/>
      </xdr:nvSpPr>
      <xdr:spPr>
        <a:xfrm>
          <a:off x="5151120" y="1318260"/>
          <a:ext cx="11582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6F17FC-18D0-4C10-9FD0-6E2D1EFA57B8}" type="TxLink">
            <a:rPr lang="en-US" sz="1800" b="1" i="0" u="none" strike="noStrike">
              <a:solidFill>
                <a:schemeClr val="tx2">
                  <a:lumMod val="50000"/>
                </a:schemeClr>
              </a:solidFill>
              <a:latin typeface="Calibri"/>
              <a:ea typeface="Calibri"/>
              <a:cs typeface="Calibri"/>
            </a:rPr>
            <a:pPr algn="ctr"/>
            <a:t>237</a:t>
          </a:fld>
          <a:endParaRPr lang="en-IN" sz="4000" b="1">
            <a:solidFill>
              <a:schemeClr val="tx2">
                <a:lumMod val="50000"/>
              </a:schemeClr>
            </a:solidFill>
          </a:endParaRPr>
        </a:p>
      </xdr:txBody>
    </xdr:sp>
    <xdr:clientData/>
  </xdr:twoCellAnchor>
  <xdr:twoCellAnchor>
    <xdr:from>
      <xdr:col>11</xdr:col>
      <xdr:colOff>518160</xdr:colOff>
      <xdr:row>5</xdr:row>
      <xdr:rowOff>30480</xdr:rowOff>
    </xdr:from>
    <xdr:to>
      <xdr:col>14</xdr:col>
      <xdr:colOff>76200</xdr:colOff>
      <xdr:row>7</xdr:row>
      <xdr:rowOff>0</xdr:rowOff>
    </xdr:to>
    <xdr:sp macro="" textlink="">
      <xdr:nvSpPr>
        <xdr:cNvPr id="93" name="TextBox 92">
          <a:extLst>
            <a:ext uri="{FF2B5EF4-FFF2-40B4-BE49-F238E27FC236}">
              <a16:creationId xmlns:a16="http://schemas.microsoft.com/office/drawing/2014/main" id="{E5F7871F-2F46-4496-854F-FF5F610EA591}"/>
            </a:ext>
          </a:extLst>
        </xdr:cNvPr>
        <xdr:cNvSpPr txBox="1"/>
      </xdr:nvSpPr>
      <xdr:spPr>
        <a:xfrm>
          <a:off x="7223760" y="944880"/>
          <a:ext cx="13868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2">
                  <a:lumMod val="50000"/>
                </a:schemeClr>
              </a:solidFill>
            </a:rPr>
            <a:t>Attrition Rate</a:t>
          </a:r>
        </a:p>
      </xdr:txBody>
    </xdr:sp>
    <xdr:clientData/>
  </xdr:twoCellAnchor>
  <xdr:twoCellAnchor>
    <xdr:from>
      <xdr:col>12</xdr:col>
      <xdr:colOff>91440</xdr:colOff>
      <xdr:row>7</xdr:row>
      <xdr:rowOff>22860</xdr:rowOff>
    </xdr:from>
    <xdr:to>
      <xdr:col>14</xdr:col>
      <xdr:colOff>30480</xdr:colOff>
      <xdr:row>9</xdr:row>
      <xdr:rowOff>38100</xdr:rowOff>
    </xdr:to>
    <xdr:sp macro="" textlink="KPI!C7">
      <xdr:nvSpPr>
        <xdr:cNvPr id="94" name="TextBox 93">
          <a:extLst>
            <a:ext uri="{FF2B5EF4-FFF2-40B4-BE49-F238E27FC236}">
              <a16:creationId xmlns:a16="http://schemas.microsoft.com/office/drawing/2014/main" id="{89A3B3B8-5C94-48F1-8BB1-95D6F18170BF}"/>
            </a:ext>
          </a:extLst>
        </xdr:cNvPr>
        <xdr:cNvSpPr txBox="1"/>
      </xdr:nvSpPr>
      <xdr:spPr>
        <a:xfrm>
          <a:off x="7406640" y="1303020"/>
          <a:ext cx="11582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03F178-DAAA-484B-8C84-B8D27B5A2A80}" type="TxLink">
            <a:rPr lang="en-US" sz="1800" b="1" i="0" u="none" strike="noStrike">
              <a:solidFill>
                <a:schemeClr val="tx2">
                  <a:lumMod val="50000"/>
                </a:schemeClr>
              </a:solidFill>
              <a:latin typeface="Calibri"/>
              <a:ea typeface="Calibri"/>
              <a:cs typeface="Calibri"/>
            </a:rPr>
            <a:pPr algn="ctr"/>
            <a:t>16.12%</a:t>
          </a:fld>
          <a:endParaRPr lang="en-IN" sz="4000" b="1">
            <a:solidFill>
              <a:schemeClr val="tx2">
                <a:lumMod val="50000"/>
              </a:schemeClr>
            </a:solidFill>
          </a:endParaRPr>
        </a:p>
      </xdr:txBody>
    </xdr:sp>
    <xdr:clientData/>
  </xdr:twoCellAnchor>
  <xdr:twoCellAnchor>
    <xdr:from>
      <xdr:col>15</xdr:col>
      <xdr:colOff>388620</xdr:colOff>
      <xdr:row>5</xdr:row>
      <xdr:rowOff>30480</xdr:rowOff>
    </xdr:from>
    <xdr:to>
      <xdr:col>18</xdr:col>
      <xdr:colOff>502920</xdr:colOff>
      <xdr:row>7</xdr:row>
      <xdr:rowOff>0</xdr:rowOff>
    </xdr:to>
    <xdr:sp macro="" textlink="">
      <xdr:nvSpPr>
        <xdr:cNvPr id="95" name="TextBox 94">
          <a:extLst>
            <a:ext uri="{FF2B5EF4-FFF2-40B4-BE49-F238E27FC236}">
              <a16:creationId xmlns:a16="http://schemas.microsoft.com/office/drawing/2014/main" id="{77F279D5-09BF-46E8-98AC-CD2C2944DFF8}"/>
            </a:ext>
          </a:extLst>
        </xdr:cNvPr>
        <xdr:cNvSpPr txBox="1"/>
      </xdr:nvSpPr>
      <xdr:spPr>
        <a:xfrm>
          <a:off x="9532620" y="944880"/>
          <a:ext cx="19431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2">
                  <a:lumMod val="50000"/>
                </a:schemeClr>
              </a:solidFill>
            </a:rPr>
            <a:t>Avg Monthly Income</a:t>
          </a:r>
        </a:p>
      </xdr:txBody>
    </xdr:sp>
    <xdr:clientData/>
  </xdr:twoCellAnchor>
  <xdr:twoCellAnchor>
    <xdr:from>
      <xdr:col>16</xdr:col>
      <xdr:colOff>114300</xdr:colOff>
      <xdr:row>7</xdr:row>
      <xdr:rowOff>38100</xdr:rowOff>
    </xdr:from>
    <xdr:to>
      <xdr:col>18</xdr:col>
      <xdr:colOff>121920</xdr:colOff>
      <xdr:row>9</xdr:row>
      <xdr:rowOff>53340</xdr:rowOff>
    </xdr:to>
    <xdr:sp macro="" textlink="KPI!D7">
      <xdr:nvSpPr>
        <xdr:cNvPr id="96" name="TextBox 95">
          <a:extLst>
            <a:ext uri="{FF2B5EF4-FFF2-40B4-BE49-F238E27FC236}">
              <a16:creationId xmlns:a16="http://schemas.microsoft.com/office/drawing/2014/main" id="{3B211B11-1311-446C-B58B-67B4812F4B2D}"/>
            </a:ext>
          </a:extLst>
        </xdr:cNvPr>
        <xdr:cNvSpPr txBox="1"/>
      </xdr:nvSpPr>
      <xdr:spPr>
        <a:xfrm>
          <a:off x="9867900" y="1318260"/>
          <a:ext cx="12268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0680D5A2-C63F-46AB-9BD9-A11C3D6D87AD}" type="TxLink">
            <a:rPr lang="en-US" sz="1800" b="1" i="0" u="none" strike="noStrike">
              <a:solidFill>
                <a:schemeClr val="tx2">
                  <a:lumMod val="50000"/>
                </a:schemeClr>
              </a:solidFill>
              <a:latin typeface="Calibri"/>
              <a:ea typeface="Calibri"/>
              <a:cs typeface="Calibri"/>
            </a:rPr>
            <a:pPr algn="ctr"/>
            <a:t>₹ 6,502.93</a:t>
          </a:fld>
          <a:endParaRPr lang="en-IN" sz="4000" b="1">
            <a:solidFill>
              <a:schemeClr val="tx2">
                <a:lumMod val="50000"/>
              </a:schemeClr>
            </a:solidFill>
          </a:endParaRPr>
        </a:p>
      </xdr:txBody>
    </xdr:sp>
    <xdr:clientData/>
  </xdr:twoCellAnchor>
  <xdr:twoCellAnchor>
    <xdr:from>
      <xdr:col>19</xdr:col>
      <xdr:colOff>441960</xdr:colOff>
      <xdr:row>5</xdr:row>
      <xdr:rowOff>7620</xdr:rowOff>
    </xdr:from>
    <xdr:to>
      <xdr:col>21</xdr:col>
      <xdr:colOff>472440</xdr:colOff>
      <xdr:row>6</xdr:row>
      <xdr:rowOff>160020</xdr:rowOff>
    </xdr:to>
    <xdr:sp macro="" textlink="">
      <xdr:nvSpPr>
        <xdr:cNvPr id="97" name="TextBox 96">
          <a:extLst>
            <a:ext uri="{FF2B5EF4-FFF2-40B4-BE49-F238E27FC236}">
              <a16:creationId xmlns:a16="http://schemas.microsoft.com/office/drawing/2014/main" id="{8100DD16-4044-48B9-B2BF-1B884538F1BF}"/>
            </a:ext>
          </a:extLst>
        </xdr:cNvPr>
        <xdr:cNvSpPr txBox="1"/>
      </xdr:nvSpPr>
      <xdr:spPr>
        <a:xfrm>
          <a:off x="12024360" y="922020"/>
          <a:ext cx="12496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tx2">
                  <a:lumMod val="50000"/>
                </a:schemeClr>
              </a:solidFill>
            </a:rPr>
            <a:t>Average Age</a:t>
          </a:r>
        </a:p>
      </xdr:txBody>
    </xdr:sp>
    <xdr:clientData/>
  </xdr:twoCellAnchor>
  <xdr:twoCellAnchor>
    <xdr:from>
      <xdr:col>20</xdr:col>
      <xdr:colOff>7620</xdr:colOff>
      <xdr:row>7</xdr:row>
      <xdr:rowOff>15240</xdr:rowOff>
    </xdr:from>
    <xdr:to>
      <xdr:col>21</xdr:col>
      <xdr:colOff>556260</xdr:colOff>
      <xdr:row>9</xdr:row>
      <xdr:rowOff>30480</xdr:rowOff>
    </xdr:to>
    <xdr:sp macro="" textlink="KPI!E7">
      <xdr:nvSpPr>
        <xdr:cNvPr id="98" name="TextBox 97">
          <a:extLst>
            <a:ext uri="{FF2B5EF4-FFF2-40B4-BE49-F238E27FC236}">
              <a16:creationId xmlns:a16="http://schemas.microsoft.com/office/drawing/2014/main" id="{E34442D7-629F-452C-9B31-B7ADAC24B234}"/>
            </a:ext>
          </a:extLst>
        </xdr:cNvPr>
        <xdr:cNvSpPr txBox="1"/>
      </xdr:nvSpPr>
      <xdr:spPr>
        <a:xfrm>
          <a:off x="12199620" y="1295400"/>
          <a:ext cx="11582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4C6611-5867-4089-AD4D-9936A9475F48}" type="TxLink">
            <a:rPr lang="en-US" sz="1800" b="1" i="0" u="none" strike="noStrike">
              <a:solidFill>
                <a:schemeClr val="tx2">
                  <a:lumMod val="50000"/>
                </a:schemeClr>
              </a:solidFill>
              <a:latin typeface="Calibri"/>
              <a:ea typeface="Calibri"/>
              <a:cs typeface="Calibri"/>
            </a:rPr>
            <a:pPr algn="ctr"/>
            <a:t>37</a:t>
          </a:fld>
          <a:endParaRPr lang="en-IN" sz="4000" b="1">
            <a:solidFill>
              <a:schemeClr val="tx2">
                <a:lumMod val="50000"/>
              </a:schemeClr>
            </a:solidFill>
          </a:endParaRPr>
        </a:p>
      </xdr:txBody>
    </xdr:sp>
    <xdr:clientData/>
  </xdr:twoCellAnchor>
  <xdr:twoCellAnchor editAs="oneCell">
    <xdr:from>
      <xdr:col>15</xdr:col>
      <xdr:colOff>571500</xdr:colOff>
      <xdr:row>0</xdr:row>
      <xdr:rowOff>152400</xdr:rowOff>
    </xdr:from>
    <xdr:to>
      <xdr:col>16</xdr:col>
      <xdr:colOff>419100</xdr:colOff>
      <xdr:row>3</xdr:row>
      <xdr:rowOff>99060</xdr:rowOff>
    </xdr:to>
    <xdr:pic>
      <xdr:nvPicPr>
        <xdr:cNvPr id="99" name="Picture 98">
          <a:extLst>
            <a:ext uri="{FF2B5EF4-FFF2-40B4-BE49-F238E27FC236}">
              <a16:creationId xmlns:a16="http://schemas.microsoft.com/office/drawing/2014/main" id="{2507D8EB-E789-3D5C-6342-C325284F4AEC}"/>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2344" b="96875" l="0" r="97461">
                      <a14:foregroundMark x1="81055" y1="23242" x2="81055" y2="23242"/>
                      <a14:foregroundMark x1="77539" y1="2539" x2="77539" y2="2539"/>
                      <a14:foregroundMark x1="97461" y1="16602" x2="97461" y2="16602"/>
                      <a14:foregroundMark x1="96680" y1="18750" x2="96680" y2="18750"/>
                      <a14:foregroundMark x1="14453" y1="60742" x2="14453" y2="60742"/>
                      <a14:foregroundMark x1="11523" y1="60742" x2="11523" y2="60742"/>
                      <a14:foregroundMark x1="8398" y1="53711" x2="8398" y2="53711"/>
                      <a14:foregroundMark x1="8398" y1="53711" x2="8398" y2="53711"/>
                      <a14:foregroundMark x1="8398" y1="53711" x2="8398" y2="53711"/>
                      <a14:foregroundMark x1="8398" y1="65039" x2="8398" y2="65039"/>
                      <a14:foregroundMark x1="8398" y1="65039" x2="8398" y2="65039"/>
                      <a14:foregroundMark x1="7617" y1="57617" x2="8594" y2="75391"/>
                      <a14:foregroundMark x1="3516" y1="50781" x2="195" y2="80859"/>
                      <a14:foregroundMark x1="16406" y1="51953" x2="19727" y2="82031"/>
                      <a14:foregroundMark x1="9180" y1="96484" x2="14988" y2="96590"/>
                      <a14:foregroundMark x1="43945" y1="96875" x2="52539" y2="96875"/>
                      <a14:foregroundMark x1="52539" y1="96875" x2="52539" y2="96875"/>
                      <a14:foregroundMark x1="70313" y1="22070" x2="77148" y2="27539"/>
                      <a14:foregroundMark x1="65234" y1="17383" x2="87695" y2="45313"/>
                      <a14:foregroundMark x1="94531" y1="22656" x2="91016" y2="28516"/>
                      <a14:backgroundMark x1="21094" y1="96680" x2="21094" y2="96680"/>
                      <a14:backgroundMark x1="20703" y1="96680" x2="20703" y2="96680"/>
                      <a14:backgroundMark x1="19922" y1="96680" x2="19922" y2="96680"/>
                      <a14:backgroundMark x1="19922" y1="96680" x2="19922" y2="96680"/>
                      <a14:backgroundMark x1="19922" y1="96289" x2="19922" y2="96289"/>
                      <a14:backgroundMark x1="19141" y1="96094" x2="19141" y2="98438"/>
                    </a14:backgroundRemoval>
                  </a14:imgEffect>
                </a14:imgLayer>
              </a14:imgProps>
            </a:ext>
            <a:ext uri="{28A0092B-C50C-407E-A947-70E740481C1C}">
              <a14:useLocalDpi xmlns:a14="http://schemas.microsoft.com/office/drawing/2010/main" val="0"/>
            </a:ext>
          </a:extLst>
        </a:blip>
        <a:stretch>
          <a:fillRect/>
        </a:stretch>
      </xdr:blipFill>
      <xdr:spPr>
        <a:xfrm>
          <a:off x="9715500" y="152400"/>
          <a:ext cx="457200" cy="495300"/>
        </a:xfrm>
        <a:prstGeom prst="rect">
          <a:avLst/>
        </a:prstGeom>
      </xdr:spPr>
    </xdr:pic>
    <xdr:clientData/>
  </xdr:twoCellAnchor>
  <xdr:twoCellAnchor editAs="oneCell">
    <xdr:from>
      <xdr:col>14</xdr:col>
      <xdr:colOff>76201</xdr:colOff>
      <xdr:row>5</xdr:row>
      <xdr:rowOff>144780</xdr:rowOff>
    </xdr:from>
    <xdr:to>
      <xdr:col>15</xdr:col>
      <xdr:colOff>22861</xdr:colOff>
      <xdr:row>8</xdr:row>
      <xdr:rowOff>121920</xdr:rowOff>
    </xdr:to>
    <xdr:pic>
      <xdr:nvPicPr>
        <xdr:cNvPr id="107" name="Picture 106">
          <a:extLst>
            <a:ext uri="{FF2B5EF4-FFF2-40B4-BE49-F238E27FC236}">
              <a16:creationId xmlns:a16="http://schemas.microsoft.com/office/drawing/2014/main" id="{5E886F37-8A94-CF6F-4980-0D516A098DDA}"/>
            </a:ext>
          </a:extLst>
        </xdr:cNvPr>
        <xdr:cNvPicPr>
          <a:picLocks noChangeAspect="1"/>
        </xdr:cNvPicPr>
      </xdr:nvPicPr>
      <xdr:blipFill>
        <a:blip xmlns:r="http://schemas.openxmlformats.org/officeDocument/2006/relationships" r:embed="rId9" cstate="print">
          <a:extLst>
            <a:ext uri="{BEBA8EAE-BF5A-486C-A8C5-ECC9F3942E4B}">
              <a14:imgProps xmlns:a14="http://schemas.microsoft.com/office/drawing/2010/main">
                <a14:imgLayer r:embed="rId10">
                  <a14:imgEffect>
                    <a14:backgroundRemoval t="3516" b="96094" l="5469" r="98047">
                      <a14:foregroundMark x1="10547" y1="72852" x2="12305" y2="82031"/>
                      <a14:foregroundMark x1="53125" y1="72461" x2="54883" y2="91992"/>
                      <a14:foregroundMark x1="88672" y1="74219" x2="89844" y2="88867"/>
                      <a14:foregroundMark x1="89844" y1="88867" x2="89844" y2="88867"/>
                      <a14:foregroundMark x1="89844" y1="94336" x2="90820" y2="82813"/>
                      <a14:foregroundMark x1="5469" y1="73828" x2="5469" y2="80469"/>
                      <a14:foregroundMark x1="70313" y1="95703" x2="69336" y2="82422"/>
                      <a14:foregroundMark x1="97070" y1="73828" x2="97091" y2="73615"/>
                      <a14:foregroundMark x1="96126" y1="74880" x2="96310" y2="75679"/>
                      <a14:foregroundMark x1="97006" y1="75530" x2="96094" y2="72461"/>
                      <a14:foregroundMark x1="87109" y1="61719" x2="87695" y2="60547"/>
                      <a14:foregroundMark x1="73633" y1="68750" x2="72266" y2="79102"/>
                      <a14:foregroundMark x1="51367" y1="63281" x2="51367" y2="60156"/>
                      <a14:foregroundMark x1="73242" y1="61523" x2="66406" y2="61523"/>
                      <a14:foregroundMark x1="11914" y1="62695" x2="11914" y2="68164"/>
                      <a14:foregroundMark x1="22266" y1="96094" x2="22266" y2="96094"/>
                      <a14:foregroundMark x1="28516" y1="95898" x2="28516" y2="95898"/>
                      <a14:foregroundMark x1="35938" y1="95898" x2="35938" y2="95898"/>
                      <a14:foregroundMark x1="16992" y1="38867" x2="16992" y2="38867"/>
                      <a14:foregroundMark x1="14063" y1="37695" x2="22070" y2="39063"/>
                      <a14:foregroundMark x1="12695" y1="34766" x2="17578" y2="43359"/>
                      <a14:foregroundMark x1="68750" y1="11133" x2="82422" y2="10547"/>
                      <a14:foregroundMark x1="82422" y1="10547" x2="84180" y2="26172"/>
                      <a14:foregroundMark x1="84180" y1="26172" x2="73438" y2="31055"/>
                      <a14:foregroundMark x1="73438" y1="31055" x2="73438" y2="31055"/>
                      <a14:foregroundMark x1="74414" y1="3516" x2="74609" y2="13672"/>
                      <a14:foregroundMark x1="16211" y1="31250" x2="16211" y2="38672"/>
                      <a14:foregroundMark x1="16016" y1="46094" x2="16016" y2="39453"/>
                      <a14:foregroundMark x1="16406" y1="47070" x2="16406" y2="47461"/>
                      <a14:backgroundMark x1="99023" y1="79883" x2="96680" y2="83594"/>
                      <a14:backgroundMark x1="98438" y1="80273" x2="98633" y2="75977"/>
                      <a14:backgroundMark x1="97656" y1="79688" x2="97656" y2="75391"/>
                      <a14:backgroundMark x1="97656" y1="75391" x2="98633" y2="79883"/>
                      <a14:backgroundMark x1="98633" y1="76172" x2="98633" y2="71680"/>
                    </a14:backgroundRemoval>
                  </a14:imgEffect>
                </a14:imgLayer>
              </a14:imgProps>
            </a:ext>
            <a:ext uri="{28A0092B-C50C-407E-A947-70E740481C1C}">
              <a14:useLocalDpi xmlns:a14="http://schemas.microsoft.com/office/drawing/2010/main" val="0"/>
            </a:ext>
          </a:extLst>
        </a:blip>
        <a:stretch>
          <a:fillRect/>
        </a:stretch>
      </xdr:blipFill>
      <xdr:spPr>
        <a:xfrm>
          <a:off x="8610601" y="1059180"/>
          <a:ext cx="556260" cy="525780"/>
        </a:xfrm>
        <a:prstGeom prst="rect">
          <a:avLst/>
        </a:prstGeom>
      </xdr:spPr>
    </xdr:pic>
    <xdr:clientData/>
  </xdr:twoCellAnchor>
  <xdr:twoCellAnchor editAs="oneCell">
    <xdr:from>
      <xdr:col>18</xdr:col>
      <xdr:colOff>205740</xdr:colOff>
      <xdr:row>6</xdr:row>
      <xdr:rowOff>144780</xdr:rowOff>
    </xdr:from>
    <xdr:to>
      <xdr:col>18</xdr:col>
      <xdr:colOff>571500</xdr:colOff>
      <xdr:row>9</xdr:row>
      <xdr:rowOff>15240</xdr:rowOff>
    </xdr:to>
    <xdr:pic>
      <xdr:nvPicPr>
        <xdr:cNvPr id="110" name="Picture 109">
          <a:extLst>
            <a:ext uri="{FF2B5EF4-FFF2-40B4-BE49-F238E27FC236}">
              <a16:creationId xmlns:a16="http://schemas.microsoft.com/office/drawing/2014/main" id="{ED1D7634-0627-33A0-ABAE-CC8DDDE0AABA}"/>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ackgroundRemoval t="5469" b="95508" l="2344" r="96875">
                      <a14:foregroundMark x1="89844" y1="15430" x2="97070" y2="41211"/>
                      <a14:foregroundMark x1="97070" y1="41211" x2="97070" y2="41797"/>
                      <a14:foregroundMark x1="87695" y1="10742" x2="87695" y2="10742"/>
                      <a14:foregroundMark x1="87695" y1="7031" x2="87695" y2="5859"/>
                      <a14:foregroundMark x1="87695" y1="5859" x2="87695" y2="5859"/>
                      <a14:foregroundMark x1="68750" y1="7031" x2="69922" y2="20117"/>
                      <a14:foregroundMark x1="37305" y1="14648" x2="37500" y2="20117"/>
                      <a14:foregroundMark x1="28711" y1="83398" x2="18359" y2="79297"/>
                      <a14:foregroundMark x1="18359" y1="79297" x2="16992" y2="79102"/>
                      <a14:foregroundMark x1="8008" y1="77148" x2="9766" y2="85742"/>
                      <a14:foregroundMark x1="8008" y1="78906" x2="2539" y2="74609"/>
                      <a14:foregroundMark x1="10156" y1="95508" x2="10156" y2="95508"/>
                    </a14:backgroundRemoval>
                  </a14:imgEffect>
                </a14:imgLayer>
              </a14:imgProps>
            </a:ext>
            <a:ext uri="{28A0092B-C50C-407E-A947-70E740481C1C}">
              <a14:useLocalDpi xmlns:a14="http://schemas.microsoft.com/office/drawing/2010/main" val="0"/>
            </a:ext>
          </a:extLst>
        </a:blip>
        <a:stretch>
          <a:fillRect/>
        </a:stretch>
      </xdr:blipFill>
      <xdr:spPr>
        <a:xfrm>
          <a:off x="11178540" y="1242060"/>
          <a:ext cx="365760" cy="419100"/>
        </a:xfrm>
        <a:prstGeom prst="rect">
          <a:avLst/>
        </a:prstGeom>
      </xdr:spPr>
    </xdr:pic>
    <xdr:clientData/>
  </xdr:twoCellAnchor>
  <xdr:twoCellAnchor editAs="oneCell">
    <xdr:from>
      <xdr:col>10</xdr:col>
      <xdr:colOff>106680</xdr:colOff>
      <xdr:row>6</xdr:row>
      <xdr:rowOff>121920</xdr:rowOff>
    </xdr:from>
    <xdr:to>
      <xdr:col>11</xdr:col>
      <xdr:colOff>7620</xdr:colOff>
      <xdr:row>8</xdr:row>
      <xdr:rowOff>144780</xdr:rowOff>
    </xdr:to>
    <xdr:pic>
      <xdr:nvPicPr>
        <xdr:cNvPr id="111" name="Picture 110">
          <a:extLst>
            <a:ext uri="{FF2B5EF4-FFF2-40B4-BE49-F238E27FC236}">
              <a16:creationId xmlns:a16="http://schemas.microsoft.com/office/drawing/2014/main" id="{AFDF4982-9EA2-DA90-4860-9111BED95FFE}"/>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5469" b="95117" l="9961" r="89844">
                      <a14:foregroundMark x1="47070" y1="5664" x2="60352" y2="5664"/>
                      <a14:foregroundMark x1="30859" y1="95508" x2="50000" y2="93750"/>
                      <a14:foregroundMark x1="50000" y1="93750" x2="75586" y2="95117"/>
                    </a14:backgroundRemoval>
                  </a14:imgEffect>
                </a14:imgLayer>
              </a14:imgProps>
            </a:ext>
            <a:ext uri="{28A0092B-C50C-407E-A947-70E740481C1C}">
              <a14:useLocalDpi xmlns:a14="http://schemas.microsoft.com/office/drawing/2010/main" val="0"/>
            </a:ext>
          </a:extLst>
        </a:blip>
        <a:stretch>
          <a:fillRect/>
        </a:stretch>
      </xdr:blipFill>
      <xdr:spPr>
        <a:xfrm>
          <a:off x="6202680" y="1219200"/>
          <a:ext cx="510540" cy="388620"/>
        </a:xfrm>
        <a:prstGeom prst="rect">
          <a:avLst/>
        </a:prstGeom>
      </xdr:spPr>
    </xdr:pic>
    <xdr:clientData/>
  </xdr:twoCellAnchor>
  <xdr:twoCellAnchor editAs="oneCell">
    <xdr:from>
      <xdr:col>6</xdr:col>
      <xdr:colOff>228601</xdr:colOff>
      <xdr:row>7</xdr:row>
      <xdr:rowOff>22861</xdr:rowOff>
    </xdr:from>
    <xdr:to>
      <xdr:col>6</xdr:col>
      <xdr:colOff>586740</xdr:colOff>
      <xdr:row>8</xdr:row>
      <xdr:rowOff>129540</xdr:rowOff>
    </xdr:to>
    <xdr:pic>
      <xdr:nvPicPr>
        <xdr:cNvPr id="112" name="Picture 111">
          <a:extLst>
            <a:ext uri="{FF2B5EF4-FFF2-40B4-BE49-F238E27FC236}">
              <a16:creationId xmlns:a16="http://schemas.microsoft.com/office/drawing/2014/main" id="{D973D5BA-C824-85EF-6B24-B99B636A174F}"/>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6836" b="95508" l="1172" r="96875">
                      <a14:foregroundMark x1="20117" y1="33203" x2="28516" y2="58203"/>
                      <a14:foregroundMark x1="28516" y1="58203" x2="28711" y2="73242"/>
                      <a14:foregroundMark x1="28711" y1="70508" x2="39648" y2="79883"/>
                      <a14:foregroundMark x1="39648" y1="79883" x2="53516" y2="82617"/>
                      <a14:foregroundMark x1="53516" y1="82617" x2="65625" y2="79297"/>
                      <a14:foregroundMark x1="65625" y1="79297" x2="69531" y2="76758"/>
                      <a14:foregroundMark x1="35742" y1="53125" x2="46484" y2="87109"/>
                      <a14:foregroundMark x1="46484" y1="87109" x2="46484" y2="87500"/>
                      <a14:foregroundMark x1="12695" y1="63086" x2="12305" y2="87500"/>
                      <a14:foregroundMark x1="5859" y1="81641" x2="49609" y2="85156"/>
                      <a14:foregroundMark x1="57227" y1="48633" x2="84961" y2="94531"/>
                      <a14:foregroundMark x1="86914" y1="76953" x2="34570" y2="77734"/>
                      <a14:foregroundMark x1="46680" y1="7031" x2="47461" y2="37109"/>
                      <a14:foregroundMark x1="43164" y1="47070" x2="59375" y2="76758"/>
                      <a14:foregroundMark x1="13477" y1="65039" x2="45703" y2="95703"/>
                      <a14:foregroundMark x1="1367" y1="69336" x2="7617" y2="78320"/>
                      <a14:foregroundMark x1="7617" y1="78320" x2="10742" y2="91016"/>
                      <a14:foregroundMark x1="6836" y1="91016" x2="22461" y2="90430"/>
                      <a14:foregroundMark x1="22461" y1="90430" x2="22852" y2="90430"/>
                      <a14:foregroundMark x1="50195" y1="93555" x2="90039" y2="88867"/>
                      <a14:foregroundMark x1="82031" y1="66016" x2="92383" y2="85938"/>
                      <a14:foregroundMark x1="95117" y1="79102" x2="96875" y2="90625"/>
                      <a14:foregroundMark x1="96875" y1="90625" x2="96875" y2="90625"/>
                    </a14:backgroundRemoval>
                  </a14:imgEffect>
                </a14:imgLayer>
              </a14:imgProps>
            </a:ext>
            <a:ext uri="{28A0092B-C50C-407E-A947-70E740481C1C}">
              <a14:useLocalDpi xmlns:a14="http://schemas.microsoft.com/office/drawing/2010/main" val="0"/>
            </a:ext>
          </a:extLst>
        </a:blip>
        <a:stretch>
          <a:fillRect/>
        </a:stretch>
      </xdr:blipFill>
      <xdr:spPr>
        <a:xfrm>
          <a:off x="3886201" y="1303021"/>
          <a:ext cx="358139" cy="289559"/>
        </a:xfrm>
        <a:prstGeom prst="rect">
          <a:avLst/>
        </a:prstGeom>
      </xdr:spPr>
    </xdr:pic>
    <xdr:clientData/>
  </xdr:twoCellAnchor>
  <xdr:twoCellAnchor editAs="oneCell">
    <xdr:from>
      <xdr:col>4</xdr:col>
      <xdr:colOff>503219</xdr:colOff>
      <xdr:row>18</xdr:row>
      <xdr:rowOff>31674</xdr:rowOff>
    </xdr:from>
    <xdr:to>
      <xdr:col>6</xdr:col>
      <xdr:colOff>112058</xdr:colOff>
      <xdr:row>22</xdr:row>
      <xdr:rowOff>119528</xdr:rowOff>
    </xdr:to>
    <xdr:pic>
      <xdr:nvPicPr>
        <xdr:cNvPr id="113" name="Picture 112">
          <a:extLst>
            <a:ext uri="{FF2B5EF4-FFF2-40B4-BE49-F238E27FC236}">
              <a16:creationId xmlns:a16="http://schemas.microsoft.com/office/drawing/2014/main" id="{748D274E-58CB-AE56-2C5A-DFE31A006073}"/>
            </a:ext>
          </a:extLst>
        </xdr:cNvPr>
        <xdr:cNvPicPr>
          <a:picLocks noChangeAspect="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backgroundRemoval t="3711" b="96875" l="9961" r="89844">
                      <a14:foregroundMark x1="56250" y1="65430" x2="66797" y2="77344"/>
                      <a14:foregroundMark x1="66797" y1="77344" x2="66797" y2="77734"/>
                      <a14:foregroundMark x1="54883" y1="64063" x2="66797" y2="76563"/>
                      <a14:foregroundMark x1="66797" y1="76563" x2="66797" y2="76563"/>
                      <a14:foregroundMark x1="42383" y1="3906" x2="57422" y2="7422"/>
                      <a14:foregroundMark x1="51563" y1="77734" x2="58984" y2="86133"/>
                      <a14:foregroundMark x1="52148" y1="73438" x2="58203" y2="86719"/>
                      <a14:foregroundMark x1="54102" y1="84570" x2="54102" y2="94141"/>
                      <a14:foregroundMark x1="25391" y1="86133" x2="66211" y2="89453"/>
                      <a14:foregroundMark x1="37305" y1="69531" x2="19336" y2="94727"/>
                      <a14:foregroundMark x1="19336" y1="94727" x2="19336" y2="94727"/>
                      <a14:foregroundMark x1="51563" y1="96875" x2="60352" y2="96875"/>
                    </a14:backgroundRemoval>
                  </a14:imgEffect>
                </a14:imgLayer>
              </a14:imgProps>
            </a:ext>
            <a:ext uri="{28A0092B-C50C-407E-A947-70E740481C1C}">
              <a14:useLocalDpi xmlns:a14="http://schemas.microsoft.com/office/drawing/2010/main" val="0"/>
            </a:ext>
          </a:extLst>
        </a:blip>
        <a:stretch>
          <a:fillRect/>
        </a:stretch>
      </xdr:blipFill>
      <xdr:spPr>
        <a:xfrm>
          <a:off x="2953572" y="3258968"/>
          <a:ext cx="834015" cy="805031"/>
        </a:xfrm>
        <a:prstGeom prst="rect">
          <a:avLst/>
        </a:prstGeom>
      </xdr:spPr>
    </xdr:pic>
    <xdr:clientData/>
  </xdr:twoCellAnchor>
  <xdr:twoCellAnchor>
    <xdr:from>
      <xdr:col>6</xdr:col>
      <xdr:colOff>500531</xdr:colOff>
      <xdr:row>16</xdr:row>
      <xdr:rowOff>44823</xdr:rowOff>
    </xdr:from>
    <xdr:to>
      <xdr:col>9</xdr:col>
      <xdr:colOff>37353</xdr:colOff>
      <xdr:row>23</xdr:row>
      <xdr:rowOff>81653</xdr:rowOff>
    </xdr:to>
    <xdr:graphicFrame macro="">
      <xdr:nvGraphicFramePr>
        <xdr:cNvPr id="117" name="Chart 116">
          <a:extLst>
            <a:ext uri="{FF2B5EF4-FFF2-40B4-BE49-F238E27FC236}">
              <a16:creationId xmlns:a16="http://schemas.microsoft.com/office/drawing/2014/main" id="{1769F15A-E21F-47C1-9573-7C14284651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350520</xdr:colOff>
      <xdr:row>0</xdr:row>
      <xdr:rowOff>106680</xdr:rowOff>
    </xdr:from>
    <xdr:to>
      <xdr:col>15</xdr:col>
      <xdr:colOff>579120</xdr:colOff>
      <xdr:row>3</xdr:row>
      <xdr:rowOff>152400</xdr:rowOff>
    </xdr:to>
    <xdr:sp macro="" textlink="">
      <xdr:nvSpPr>
        <xdr:cNvPr id="118" name="TextBox 117">
          <a:extLst>
            <a:ext uri="{FF2B5EF4-FFF2-40B4-BE49-F238E27FC236}">
              <a16:creationId xmlns:a16="http://schemas.microsoft.com/office/drawing/2014/main" id="{AFF10F5F-24CC-D197-F9E2-D49295E2DB54}"/>
            </a:ext>
          </a:extLst>
        </xdr:cNvPr>
        <xdr:cNvSpPr txBox="1"/>
      </xdr:nvSpPr>
      <xdr:spPr>
        <a:xfrm>
          <a:off x="1569720" y="106680"/>
          <a:ext cx="815340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lumMod val="85000"/>
                </a:schemeClr>
              </a:solidFill>
            </a:rPr>
            <a:t>HR</a:t>
          </a:r>
          <a:r>
            <a:rPr lang="en-IN" sz="3600" b="1" baseline="0">
              <a:solidFill>
                <a:schemeClr val="bg1">
                  <a:lumMod val="85000"/>
                </a:schemeClr>
              </a:solidFill>
            </a:rPr>
            <a:t> ATTRITION ANALYSIS DASHBOARD</a:t>
          </a:r>
          <a:endParaRPr lang="en-IN" sz="3600" b="1">
            <a:solidFill>
              <a:schemeClr val="bg1">
                <a:lumMod val="85000"/>
              </a:schemeClr>
            </a:solidFill>
          </a:endParaRPr>
        </a:p>
      </xdr:txBody>
    </xdr:sp>
    <xdr:clientData/>
  </xdr:twoCellAnchor>
  <xdr:twoCellAnchor editAs="oneCell">
    <xdr:from>
      <xdr:col>0</xdr:col>
      <xdr:colOff>163830</xdr:colOff>
      <xdr:row>4</xdr:row>
      <xdr:rowOff>174663</xdr:rowOff>
    </xdr:from>
    <xdr:to>
      <xdr:col>3</xdr:col>
      <xdr:colOff>163830</xdr:colOff>
      <xdr:row>12</xdr:row>
      <xdr:rowOff>151155</xdr:rowOff>
    </xdr:to>
    <mc:AlternateContent xmlns:mc="http://schemas.openxmlformats.org/markup-compatibility/2006" xmlns:a14="http://schemas.microsoft.com/office/drawing/2010/main">
      <mc:Choice Requires="a14">
        <xdr:graphicFrame macro="">
          <xdr:nvGraphicFramePr>
            <xdr:cNvPr id="119" name="Department 1">
              <a:extLst>
                <a:ext uri="{FF2B5EF4-FFF2-40B4-BE49-F238E27FC236}">
                  <a16:creationId xmlns:a16="http://schemas.microsoft.com/office/drawing/2014/main" id="{4C5EEA15-4DBA-466F-8F3A-9922A3EBE62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3830" y="906183"/>
              <a:ext cx="1828800" cy="1439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163830</xdr:colOff>
      <xdr:row>11</xdr:row>
      <xdr:rowOff>159938</xdr:rowOff>
    </xdr:from>
    <xdr:to>
      <xdr:col>3</xdr:col>
      <xdr:colOff>163830</xdr:colOff>
      <xdr:row>23</xdr:row>
      <xdr:rowOff>159936</xdr:rowOff>
    </xdr:to>
    <mc:AlternateContent xmlns:mc="http://schemas.openxmlformats.org/markup-compatibility/2006" xmlns:a14="http://schemas.microsoft.com/office/drawing/2010/main">
      <mc:Choice Requires="a14">
        <xdr:graphicFrame macro="">
          <xdr:nvGraphicFramePr>
            <xdr:cNvPr id="120" name="EducationField 1">
              <a:extLst>
                <a:ext uri="{FF2B5EF4-FFF2-40B4-BE49-F238E27FC236}">
                  <a16:creationId xmlns:a16="http://schemas.microsoft.com/office/drawing/2014/main" id="{B378FA24-3FA3-44DD-851F-D94917F2D9F0}"/>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63830" y="2171618"/>
              <a:ext cx="1828800" cy="2194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163830</xdr:colOff>
      <xdr:row>22</xdr:row>
      <xdr:rowOff>168719</xdr:rowOff>
    </xdr:from>
    <xdr:to>
      <xdr:col>3</xdr:col>
      <xdr:colOff>163830</xdr:colOff>
      <xdr:row>33</xdr:row>
      <xdr:rowOff>1078</xdr:rowOff>
    </xdr:to>
    <mc:AlternateContent xmlns:mc="http://schemas.openxmlformats.org/markup-compatibility/2006" xmlns:a14="http://schemas.microsoft.com/office/drawing/2010/main">
      <mc:Choice Requires="a14">
        <xdr:graphicFrame macro="">
          <xdr:nvGraphicFramePr>
            <xdr:cNvPr id="122" name="JobLevel 1">
              <a:extLst>
                <a:ext uri="{FF2B5EF4-FFF2-40B4-BE49-F238E27FC236}">
                  <a16:creationId xmlns:a16="http://schemas.microsoft.com/office/drawing/2014/main" id="{893D90FF-687C-440A-929C-51E3268D64E7}"/>
                </a:ext>
              </a:extLst>
            </xdr:cNvPr>
            <xdr:cNvGraphicFramePr/>
          </xdr:nvGraphicFramePr>
          <xdr:xfrm>
            <a:off x="0" y="0"/>
            <a:ext cx="0" cy="0"/>
          </xdr:xfrm>
          <a:graphic>
            <a:graphicData uri="http://schemas.microsoft.com/office/drawing/2010/slicer">
              <sle:slicer xmlns:sle="http://schemas.microsoft.com/office/drawing/2010/slicer" name="JobLevel 1"/>
            </a:graphicData>
          </a:graphic>
        </xdr:graphicFrame>
      </mc:Choice>
      <mc:Fallback xmlns="">
        <xdr:sp macro="" textlink="">
          <xdr:nvSpPr>
            <xdr:cNvPr id="0" name=""/>
            <xdr:cNvSpPr>
              <a:spLocks noTextEdit="1"/>
            </xdr:cNvSpPr>
          </xdr:nvSpPr>
          <xdr:spPr>
            <a:xfrm>
              <a:off x="163830" y="4192079"/>
              <a:ext cx="1828800" cy="1844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441960</xdr:colOff>
      <xdr:row>10</xdr:row>
      <xdr:rowOff>121920</xdr:rowOff>
    </xdr:from>
    <xdr:to>
      <xdr:col>8</xdr:col>
      <xdr:colOff>320040</xdr:colOff>
      <xdr:row>12</xdr:row>
      <xdr:rowOff>160020</xdr:rowOff>
    </xdr:to>
    <xdr:sp macro="" textlink="">
      <xdr:nvSpPr>
        <xdr:cNvPr id="125" name="TextBox 124">
          <a:extLst>
            <a:ext uri="{FF2B5EF4-FFF2-40B4-BE49-F238E27FC236}">
              <a16:creationId xmlns:a16="http://schemas.microsoft.com/office/drawing/2014/main" id="{9DA33D20-020F-16F0-A088-CC051A5BFC87}"/>
            </a:ext>
          </a:extLst>
        </xdr:cNvPr>
        <xdr:cNvSpPr txBox="1"/>
      </xdr:nvSpPr>
      <xdr:spPr>
        <a:xfrm>
          <a:off x="2880360" y="1950720"/>
          <a:ext cx="23164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50000"/>
                </a:schemeClr>
              </a:solidFill>
            </a:rPr>
            <a:t>Total Employees by</a:t>
          </a:r>
          <a:r>
            <a:rPr lang="en-IN" sz="1400" b="1" baseline="0">
              <a:solidFill>
                <a:schemeClr val="tx2">
                  <a:lumMod val="50000"/>
                </a:schemeClr>
              </a:solidFill>
            </a:rPr>
            <a:t> Gender</a:t>
          </a:r>
          <a:endParaRPr lang="en-IN" sz="1400" b="1">
            <a:solidFill>
              <a:schemeClr val="tx2">
                <a:lumMod val="50000"/>
              </a:schemeClr>
            </a:solidFill>
          </a:endParaRPr>
        </a:p>
      </xdr:txBody>
    </xdr:sp>
    <xdr:clientData/>
  </xdr:twoCellAnchor>
  <xdr:twoCellAnchor>
    <xdr:from>
      <xdr:col>18</xdr:col>
      <xdr:colOff>297180</xdr:colOff>
      <xdr:row>0</xdr:row>
      <xdr:rowOff>0</xdr:rowOff>
    </xdr:from>
    <xdr:to>
      <xdr:col>20</xdr:col>
      <xdr:colOff>68580</xdr:colOff>
      <xdr:row>5</xdr:row>
      <xdr:rowOff>99060</xdr:rowOff>
    </xdr:to>
    <xdr:graphicFrame macro="">
      <xdr:nvGraphicFramePr>
        <xdr:cNvPr id="127" name="Chart 126">
          <a:extLst>
            <a:ext uri="{FF2B5EF4-FFF2-40B4-BE49-F238E27FC236}">
              <a16:creationId xmlns:a16="http://schemas.microsoft.com/office/drawing/2014/main" id="{42C68D6E-698D-4080-948F-322B80587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16</xdr:col>
      <xdr:colOff>487680</xdr:colOff>
      <xdr:row>0</xdr:row>
      <xdr:rowOff>76200</xdr:rowOff>
    </xdr:from>
    <xdr:to>
      <xdr:col>18</xdr:col>
      <xdr:colOff>365760</xdr:colOff>
      <xdr:row>5</xdr:row>
      <xdr:rowOff>0</xdr:rowOff>
    </xdr:to>
    <xdr:sp macro="" textlink="">
      <xdr:nvSpPr>
        <xdr:cNvPr id="128" name="TextBox 127">
          <a:extLst>
            <a:ext uri="{FF2B5EF4-FFF2-40B4-BE49-F238E27FC236}">
              <a16:creationId xmlns:a16="http://schemas.microsoft.com/office/drawing/2014/main" id="{6C8E7A73-F70D-1AA4-D229-77BE9C300D94}"/>
            </a:ext>
          </a:extLst>
        </xdr:cNvPr>
        <xdr:cNvSpPr txBox="1"/>
      </xdr:nvSpPr>
      <xdr:spPr>
        <a:xfrm>
          <a:off x="10241280" y="76200"/>
          <a:ext cx="109728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lumMod val="85000"/>
                </a:schemeClr>
              </a:solidFill>
            </a:rPr>
            <a:t>Job </a:t>
          </a:r>
        </a:p>
        <a:p>
          <a:pPr algn="ctr"/>
          <a:r>
            <a:rPr lang="en-IN" sz="1400" b="1">
              <a:solidFill>
                <a:schemeClr val="bg1">
                  <a:lumMod val="85000"/>
                </a:schemeClr>
              </a:solidFill>
            </a:rPr>
            <a:t>Satisfaction</a:t>
          </a:r>
        </a:p>
        <a:p>
          <a:pPr algn="ctr"/>
          <a:r>
            <a:rPr lang="en-IN" sz="1400" b="1">
              <a:solidFill>
                <a:schemeClr val="bg1">
                  <a:lumMod val="85000"/>
                </a:schemeClr>
              </a:solidFill>
            </a:rPr>
            <a:t>Rating</a:t>
          </a:r>
        </a:p>
      </xdr:txBody>
    </xdr:sp>
    <xdr:clientData/>
  </xdr:twoCellAnchor>
  <xdr:twoCellAnchor editAs="oneCell">
    <xdr:from>
      <xdr:col>21</xdr:col>
      <xdr:colOff>502920</xdr:colOff>
      <xdr:row>6</xdr:row>
      <xdr:rowOff>121920</xdr:rowOff>
    </xdr:from>
    <xdr:to>
      <xdr:col>22</xdr:col>
      <xdr:colOff>335280</xdr:colOff>
      <xdr:row>8</xdr:row>
      <xdr:rowOff>160020</xdr:rowOff>
    </xdr:to>
    <xdr:pic>
      <xdr:nvPicPr>
        <xdr:cNvPr id="129" name="Picture 128">
          <a:extLst>
            <a:ext uri="{FF2B5EF4-FFF2-40B4-BE49-F238E27FC236}">
              <a16:creationId xmlns:a16="http://schemas.microsoft.com/office/drawing/2014/main" id="{53B03B92-765A-FCCD-C08A-803778A77DF8}"/>
            </a:ext>
          </a:extLst>
        </xdr:cNvPr>
        <xdr:cNvPicPr>
          <a:picLocks noChangeAspect="1"/>
        </xdr:cNvPicPr>
      </xdr:nvPicPr>
      <xdr:blipFill>
        <a:blip xmlns:r="http://schemas.openxmlformats.org/officeDocument/2006/relationships" r:embed="rId21" cstate="print">
          <a:extLst>
            <a:ext uri="{BEBA8EAE-BF5A-486C-A8C5-ECC9F3942E4B}">
              <a14:imgProps xmlns:a14="http://schemas.microsoft.com/office/drawing/2010/main">
                <a14:imgLayer r:embed="rId22">
                  <a14:imgEffect>
                    <a14:backgroundRemoval t="3125" b="97461" l="2344" r="97266">
                      <a14:foregroundMark x1="22070" y1="45508" x2="20508" y2="58203"/>
                      <a14:foregroundMark x1="76563" y1="39844" x2="76367" y2="56250"/>
                      <a14:foregroundMark x1="23438" y1="10938" x2="42383" y2="4492"/>
                      <a14:foregroundMark x1="23438" y1="10156" x2="8984" y2="29688"/>
                      <a14:foregroundMark x1="6445" y1="33398" x2="2734" y2="53125"/>
                      <a14:foregroundMark x1="2734" y1="55859" x2="9766" y2="75195"/>
                      <a14:foregroundMark x1="9766" y1="75195" x2="18359" y2="83789"/>
                      <a14:foregroundMark x1="25195" y1="88477" x2="41992" y2="95508"/>
                      <a14:foregroundMark x1="44531" y1="96875" x2="58008" y2="97656"/>
                      <a14:foregroundMark x1="58008" y1="97656" x2="64453" y2="96875"/>
                      <a14:foregroundMark x1="64648" y1="96094" x2="75195" y2="91602"/>
                      <a14:foregroundMark x1="75195" y1="91602" x2="75195" y2="91602"/>
                      <a14:foregroundMark x1="75586" y1="89844" x2="83984" y2="81641"/>
                      <a14:foregroundMark x1="83984" y1="81641" x2="88281" y2="75977"/>
                      <a14:foregroundMark x1="88281" y1="75977" x2="94922" y2="66016"/>
                      <a14:foregroundMark x1="94922" y1="66016" x2="95898" y2="62500"/>
                      <a14:foregroundMark x1="51563" y1="3125" x2="67969" y2="6445"/>
                      <a14:foregroundMark x1="67969" y1="6445" x2="81445" y2="12500"/>
                      <a14:foregroundMark x1="82031" y1="8203" x2="83203" y2="15234"/>
                      <a14:foregroundMark x1="95703" y1="50977" x2="95703" y2="58008"/>
                      <a14:foregroundMark x1="97266" y1="51758" x2="97266" y2="56250"/>
                    </a14:backgroundRemoval>
                  </a14:imgEffect>
                </a14:imgLayer>
              </a14:imgProps>
            </a:ext>
            <a:ext uri="{28A0092B-C50C-407E-A947-70E740481C1C}">
              <a14:useLocalDpi xmlns:a14="http://schemas.microsoft.com/office/drawing/2010/main" val="0"/>
            </a:ext>
          </a:extLst>
        </a:blip>
        <a:stretch>
          <a:fillRect/>
        </a:stretch>
      </xdr:blipFill>
      <xdr:spPr>
        <a:xfrm>
          <a:off x="13304520" y="1219200"/>
          <a:ext cx="441960" cy="403860"/>
        </a:xfrm>
        <a:prstGeom prst="rect">
          <a:avLst/>
        </a:prstGeom>
      </xdr:spPr>
    </xdr:pic>
    <xdr:clientData/>
  </xdr:twoCellAnchor>
  <xdr:twoCellAnchor editAs="oneCell">
    <xdr:from>
      <xdr:col>4</xdr:col>
      <xdr:colOff>480957</xdr:colOff>
      <xdr:row>12</xdr:row>
      <xdr:rowOff>143437</xdr:rowOff>
    </xdr:from>
    <xdr:to>
      <xdr:col>6</xdr:col>
      <xdr:colOff>115198</xdr:colOff>
      <xdr:row>17</xdr:row>
      <xdr:rowOff>25464</xdr:rowOff>
    </xdr:to>
    <xdr:pic>
      <xdr:nvPicPr>
        <xdr:cNvPr id="130" name="Picture 129">
          <a:extLst>
            <a:ext uri="{FF2B5EF4-FFF2-40B4-BE49-F238E27FC236}">
              <a16:creationId xmlns:a16="http://schemas.microsoft.com/office/drawing/2014/main" id="{B2F83574-CF96-5632-09F7-C8AF62A804B2}"/>
            </a:ext>
          </a:extLst>
        </xdr:cNvPr>
        <xdr:cNvPicPr>
          <a:picLocks noChangeAspect="1"/>
        </xdr:cNvPicPr>
      </xdr:nvPicPr>
      <xdr:blipFill>
        <a:blip xmlns:r="http://schemas.openxmlformats.org/officeDocument/2006/relationships" r:embed="rId23" cstate="print">
          <a:extLst>
            <a:ext uri="{BEBA8EAE-BF5A-486C-A8C5-ECC9F3942E4B}">
              <a14:imgProps xmlns:a14="http://schemas.microsoft.com/office/drawing/2010/main">
                <a14:imgLayer r:embed="rId24">
                  <a14:imgEffect>
                    <a14:backgroundRemoval t="3125" b="96094" l="4297" r="95508">
                      <a14:foregroundMark x1="41406" y1="9375" x2="56250" y2="8008"/>
                      <a14:foregroundMark x1="45898" y1="3320" x2="56250" y2="3125"/>
                      <a14:foregroundMark x1="20898" y1="74414" x2="8984" y2="80859"/>
                      <a14:foregroundMark x1="14453" y1="83008" x2="26758" y2="93359"/>
                      <a14:foregroundMark x1="5273" y1="87109" x2="4492" y2="96289"/>
                      <a14:foregroundMark x1="95117" y1="85742" x2="95508" y2="91797"/>
                      <a14:foregroundMark x1="38867" y1="33398" x2="44531" y2="33398"/>
                      <a14:foregroundMark x1="56055" y1="32031" x2="64258" y2="32813"/>
                      <a14:foregroundMark x1="33594" y1="30859" x2="35742" y2="31836"/>
                      <a14:foregroundMark x1="36719" y1="36914" x2="40625" y2="37500"/>
                      <a14:foregroundMark x1="50000" y1="31250" x2="52539" y2="31250"/>
                      <a14:foregroundMark x1="41602" y1="29883" x2="43555" y2="30273"/>
                    </a14:backgroundRemoval>
                  </a14:imgEffect>
                </a14:imgLayer>
              </a14:imgProps>
            </a:ext>
            <a:ext uri="{28A0092B-C50C-407E-A947-70E740481C1C}">
              <a14:useLocalDpi xmlns:a14="http://schemas.microsoft.com/office/drawing/2010/main" val="0"/>
            </a:ext>
          </a:extLst>
        </a:blip>
        <a:stretch>
          <a:fillRect/>
        </a:stretch>
      </xdr:blipFill>
      <xdr:spPr>
        <a:xfrm>
          <a:off x="2931310" y="2294966"/>
          <a:ext cx="859417" cy="778498"/>
        </a:xfrm>
        <a:prstGeom prst="rect">
          <a:avLst/>
        </a:prstGeom>
      </xdr:spPr>
    </xdr:pic>
    <xdr:clientData/>
  </xdr:twoCellAnchor>
  <xdr:twoCellAnchor>
    <xdr:from>
      <xdr:col>7</xdr:col>
      <xdr:colOff>167641</xdr:colOff>
      <xdr:row>19</xdr:row>
      <xdr:rowOff>153297</xdr:rowOff>
    </xdr:from>
    <xdr:to>
      <xdr:col>8</xdr:col>
      <xdr:colOff>75603</xdr:colOff>
      <xdr:row>21</xdr:row>
      <xdr:rowOff>115197</xdr:rowOff>
    </xdr:to>
    <xdr:sp macro="" textlink="'Attrition By Gender'!C8">
      <xdr:nvSpPr>
        <xdr:cNvPr id="132" name="TextBox 131">
          <a:extLst>
            <a:ext uri="{FF2B5EF4-FFF2-40B4-BE49-F238E27FC236}">
              <a16:creationId xmlns:a16="http://schemas.microsoft.com/office/drawing/2014/main" id="{0C5FF032-F62F-C361-B9B5-A66D1D484116}"/>
            </a:ext>
          </a:extLst>
        </xdr:cNvPr>
        <xdr:cNvSpPr txBox="1"/>
      </xdr:nvSpPr>
      <xdr:spPr>
        <a:xfrm>
          <a:off x="4434841" y="3628017"/>
          <a:ext cx="517562"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E93F59-4168-46DE-AD0F-7BA947AC18DF}" type="TxLink">
            <a:rPr lang="en-US" sz="1100" b="1" i="0" u="none" strike="noStrike">
              <a:solidFill>
                <a:schemeClr val="tx2">
                  <a:lumMod val="50000"/>
                </a:schemeClr>
              </a:solidFill>
              <a:latin typeface="+mn-lt"/>
              <a:ea typeface="Calibri"/>
              <a:cs typeface="Calibri"/>
            </a:rPr>
            <a:pPr/>
            <a:t>40%</a:t>
          </a:fld>
          <a:endParaRPr lang="en-IN" sz="1100" b="1">
            <a:solidFill>
              <a:schemeClr val="tx2">
                <a:lumMod val="50000"/>
              </a:schemeClr>
            </a:solidFill>
            <a:latin typeface="+mn-lt"/>
          </a:endParaRPr>
        </a:p>
      </xdr:txBody>
    </xdr:sp>
    <xdr:clientData/>
  </xdr:twoCellAnchor>
  <xdr:twoCellAnchor editAs="oneCell">
    <xdr:from>
      <xdr:col>0</xdr:col>
      <xdr:colOff>278130</xdr:colOff>
      <xdr:row>32</xdr:row>
      <xdr:rowOff>9861</xdr:rowOff>
    </xdr:from>
    <xdr:to>
      <xdr:col>3</xdr:col>
      <xdr:colOff>49530</xdr:colOff>
      <xdr:row>36</xdr:row>
      <xdr:rowOff>32722</xdr:rowOff>
    </xdr:to>
    <mc:AlternateContent xmlns:mc="http://schemas.openxmlformats.org/markup-compatibility/2006" xmlns:a14="http://schemas.microsoft.com/office/drawing/2010/main">
      <mc:Choice Requires="a14">
        <xdr:graphicFrame macro="">
          <xdr:nvGraphicFramePr>
            <xdr:cNvPr id="133" name="Gender 1">
              <a:extLst>
                <a:ext uri="{FF2B5EF4-FFF2-40B4-BE49-F238E27FC236}">
                  <a16:creationId xmlns:a16="http://schemas.microsoft.com/office/drawing/2014/main" id="{7678DFA8-CE63-4E47-800B-6A76D37A9F9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78130" y="5862021"/>
              <a:ext cx="1600200" cy="754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571500</xdr:colOff>
      <xdr:row>0</xdr:row>
      <xdr:rowOff>0</xdr:rowOff>
    </xdr:from>
    <xdr:to>
      <xdr:col>24</xdr:col>
      <xdr:colOff>60960</xdr:colOff>
      <xdr:row>4</xdr:row>
      <xdr:rowOff>152400</xdr:rowOff>
    </xdr:to>
    <xdr:graphicFrame macro="">
      <xdr:nvGraphicFramePr>
        <xdr:cNvPr id="6" name="Chart 5">
          <a:extLst>
            <a:ext uri="{FF2B5EF4-FFF2-40B4-BE49-F238E27FC236}">
              <a16:creationId xmlns:a16="http://schemas.microsoft.com/office/drawing/2014/main" id="{E6BACB5F-BD9B-4DBF-BFAE-42505A409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editAs="oneCell">
    <xdr:from>
      <xdr:col>0</xdr:col>
      <xdr:colOff>266701</xdr:colOff>
      <xdr:row>0</xdr:row>
      <xdr:rowOff>129540</xdr:rowOff>
    </xdr:from>
    <xdr:to>
      <xdr:col>1</xdr:col>
      <xdr:colOff>411480</xdr:colOff>
      <xdr:row>4</xdr:row>
      <xdr:rowOff>45720</xdr:rowOff>
    </xdr:to>
    <xdr:pic>
      <xdr:nvPicPr>
        <xdr:cNvPr id="8" name="Picture 7">
          <a:extLst>
            <a:ext uri="{FF2B5EF4-FFF2-40B4-BE49-F238E27FC236}">
              <a16:creationId xmlns:a16="http://schemas.microsoft.com/office/drawing/2014/main" id="{318A1083-BD82-DD03-4276-205B611FBAD1}"/>
            </a:ext>
          </a:extLst>
        </xdr:cNvPr>
        <xdr:cNvPicPr>
          <a:picLocks noChangeAspect="1"/>
        </xdr:cNvPicPr>
      </xdr:nvPicPr>
      <xdr:blipFill>
        <a:blip xmlns:r="http://schemas.openxmlformats.org/officeDocument/2006/relationships" r:embed="rId26" cstate="print">
          <a:extLst>
            <a:ext uri="{BEBA8EAE-BF5A-486C-A8C5-ECC9F3942E4B}">
              <a14:imgProps xmlns:a14="http://schemas.microsoft.com/office/drawing/2010/main">
                <a14:imgLayer r:embed="rId27">
                  <a14:imgEffect>
                    <a14:backgroundRemoval t="2344" b="98047" l="1758" r="99219">
                      <a14:foregroundMark x1="24219" y1="9180" x2="33594" y2="14063"/>
                      <a14:foregroundMark x1="33594" y1="14063" x2="33594" y2="14063"/>
                      <a14:foregroundMark x1="25000" y1="2539" x2="32227" y2="3516"/>
                      <a14:foregroundMark x1="3711" y1="44336" x2="5273" y2="66016"/>
                      <a14:foregroundMark x1="59180" y1="42383" x2="75977" y2="59375"/>
                      <a14:foregroundMark x1="75000" y1="55078" x2="91211" y2="66406"/>
                      <a14:foregroundMark x1="91211" y1="66406" x2="91797" y2="67188"/>
                      <a14:foregroundMark x1="59961" y1="73047" x2="94922" y2="73828"/>
                      <a14:foregroundMark x1="46289" y1="58789" x2="21875" y2="57617"/>
                      <a14:foregroundMark x1="11133" y1="42188" x2="9180" y2="68750"/>
                      <a14:foregroundMark x1="12891" y1="48438" x2="66406" y2="48633"/>
                      <a14:foregroundMark x1="34180" y1="28125" x2="38281" y2="32422"/>
                      <a14:foregroundMark x1="17188" y1="26563" x2="17188" y2="35156"/>
                      <a14:foregroundMark x1="21680" y1="26563" x2="43555" y2="41992"/>
                      <a14:foregroundMark x1="3125" y1="45508" x2="79492" y2="62891"/>
                      <a14:foregroundMark x1="76953" y1="45313" x2="95313" y2="46680"/>
                      <a14:foregroundMark x1="84961" y1="46680" x2="87891" y2="81445"/>
                      <a14:foregroundMark x1="62109" y1="65234" x2="82617" y2="69336"/>
                      <a14:foregroundMark x1="63086" y1="79883" x2="88477" y2="82227"/>
                      <a14:foregroundMark x1="70508" y1="44727" x2="93945" y2="54102"/>
                      <a14:foregroundMark x1="74023" y1="24023" x2="80469" y2="45313"/>
                      <a14:foregroundMark x1="79102" y1="31836" x2="80664" y2="62500"/>
                      <a14:foregroundMark x1="72852" y1="23242" x2="60938" y2="66992"/>
                      <a14:foregroundMark x1="51758" y1="44922" x2="84375" y2="52539"/>
                      <a14:foregroundMark x1="92188" y1="44531" x2="92578" y2="84180"/>
                      <a14:foregroundMark x1="92578" y1="84180" x2="92578" y2="84180"/>
                      <a14:foregroundMark x1="45703" y1="73047" x2="98047" y2="76563"/>
                      <a14:foregroundMark x1="42188" y1="81445" x2="83398" y2="82031"/>
                      <a14:foregroundMark x1="56250" y1="84766" x2="85547" y2="87891"/>
                      <a14:foregroundMark x1="97656" y1="49805" x2="98193" y2="87745"/>
                      <a14:foregroundMark x1="89063" y1="43750" x2="98438" y2="43945"/>
                      <a14:foregroundMark x1="13086" y1="42188" x2="49219" y2="57422"/>
                      <a14:foregroundMark x1="27734" y1="44727" x2="67383" y2="47266"/>
                      <a14:foregroundMark x1="8984" y1="75195" x2="84180" y2="66406"/>
                      <a14:foregroundMark x1="7617" y1="79883" x2="99609" y2="78125"/>
                      <a14:foregroundMark x1="11523" y1="52930" x2="23242" y2="69141"/>
                      <a14:foregroundMark x1="15234" y1="54297" x2="35938" y2="69531"/>
                      <a14:foregroundMark x1="3320" y1="59375" x2="1953" y2="81055"/>
                      <a14:foregroundMark x1="15234" y1="91211" x2="15820" y2="96680"/>
                      <a14:foregroundMark x1="87305" y1="92578" x2="88281" y2="98047"/>
                      <a14:foregroundMark x1="86719" y1="92578" x2="88086" y2="97461"/>
                      <a14:backgroundMark x1="46680" y1="14063" x2="77734" y2="8203"/>
                      <a14:backgroundMark x1="77734" y1="8203" x2="77734" y2="8203"/>
                      <a14:backgroundMark x1="59570" y1="6641" x2="88086" y2="10547"/>
                      <a14:backgroundMark x1="98438" y1="92383" x2="98438" y2="88281"/>
                      <a14:backgroundMark x1="96484" y1="90430" x2="99609" y2="90430"/>
                      <a14:backgroundMark x1="6641" y1="2148" x2="6641" y2="2148"/>
                      <a14:backgroundMark x1="6055" y1="36914" x2="4883" y2="33203"/>
                      <a14:backgroundMark x1="5859" y1="38867" x2="4688" y2="24414"/>
                    </a14:backgroundRemoval>
                  </a14:imgEffect>
                </a14:imgLayer>
              </a14:imgProps>
            </a:ext>
            <a:ext uri="{28A0092B-C50C-407E-A947-70E740481C1C}">
              <a14:useLocalDpi xmlns:a14="http://schemas.microsoft.com/office/drawing/2010/main" val="0"/>
            </a:ext>
          </a:extLst>
        </a:blip>
        <a:stretch>
          <a:fillRect/>
        </a:stretch>
      </xdr:blipFill>
      <xdr:spPr>
        <a:xfrm>
          <a:off x="266701" y="129540"/>
          <a:ext cx="754379" cy="647700"/>
        </a:xfrm>
        <a:prstGeom prst="rect">
          <a:avLst/>
        </a:prstGeom>
      </xdr:spPr>
    </xdr:pic>
    <xdr:clientData/>
  </xdr:twoCellAnchor>
</xdr:wsDr>
</file>

<file path=xl/drawings/drawing10.xml><?xml version="1.0" encoding="utf-8"?>
<c:userShapes xmlns:c="http://schemas.openxmlformats.org/drawingml/2006/chart">
  <cdr:relSizeAnchor xmlns:cdr="http://schemas.openxmlformats.org/drawingml/2006/chartDrawing">
    <cdr:from>
      <cdr:x>0.54394</cdr:x>
      <cdr:y>0.51001</cdr:y>
    </cdr:from>
    <cdr:to>
      <cdr:x>0.95085</cdr:x>
      <cdr:y>0.73455</cdr:y>
    </cdr:to>
    <cdr:sp macro="" textlink="'Attrition By Gender'!$C$9">
      <cdr:nvSpPr>
        <cdr:cNvPr id="2" name="TextBox 131">
          <a:extLst xmlns:a="http://schemas.openxmlformats.org/drawingml/2006/main">
            <a:ext uri="{FF2B5EF4-FFF2-40B4-BE49-F238E27FC236}">
              <a16:creationId xmlns:a16="http://schemas.microsoft.com/office/drawing/2014/main" id="{0C5FF032-F62F-C361-B9B5-A66D1D484116}"/>
            </a:ext>
          </a:extLst>
        </cdr:cNvPr>
        <cdr:cNvSpPr txBox="1"/>
      </cdr:nvSpPr>
      <cdr:spPr>
        <a:xfrm xmlns:a="http://schemas.openxmlformats.org/drawingml/2006/main">
          <a:off x="749158" y="744222"/>
          <a:ext cx="560428" cy="32765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595AB4E8-D589-4419-8BF6-FB7F33D65AA4}" type="TxLink">
            <a:rPr lang="en-US" sz="1100" b="1" i="0" u="none" strike="noStrike">
              <a:solidFill>
                <a:srgbClr val="000000"/>
              </a:solidFill>
              <a:latin typeface="Calibri"/>
              <a:ea typeface="Calibri"/>
              <a:cs typeface="Calibri"/>
            </a:rPr>
            <a:pPr/>
            <a:t>60%</a:t>
          </a:fld>
          <a:endParaRPr lang="en-IN" sz="1100" b="1">
            <a:solidFill>
              <a:schemeClr val="tx2">
                <a:lumMod val="50000"/>
              </a:schemeClr>
            </a:solidFill>
            <a:latin typeface="+mn-lt"/>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0.3</cdr:x>
      <cdr:y>0.30075</cdr:y>
    </cdr:from>
    <cdr:to>
      <cdr:x>0.7</cdr:x>
      <cdr:y>0.57895</cdr:y>
    </cdr:to>
    <cdr:sp macro="" textlink="'Job Satisfaction'!$B$6">
      <cdr:nvSpPr>
        <cdr:cNvPr id="4" name="TextBox 3">
          <a:extLst xmlns:a="http://schemas.openxmlformats.org/drawingml/2006/main">
            <a:ext uri="{FF2B5EF4-FFF2-40B4-BE49-F238E27FC236}">
              <a16:creationId xmlns:a16="http://schemas.microsoft.com/office/drawing/2014/main" id="{BF25A027-19B0-8AF8-8C67-FBB8E6C32652}"/>
            </a:ext>
          </a:extLst>
        </cdr:cNvPr>
        <cdr:cNvSpPr txBox="1"/>
      </cdr:nvSpPr>
      <cdr:spPr>
        <a:xfrm xmlns:a="http://schemas.openxmlformats.org/drawingml/2006/main">
          <a:off x="297180" y="304800"/>
          <a:ext cx="396240" cy="2819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742D3563-B61F-4074-9899-D4C9BAD71A07}" type="TxLink">
            <a:rPr lang="en-US" sz="1100" b="1" i="0" u="none" strike="noStrike">
              <a:solidFill>
                <a:schemeClr val="bg1">
                  <a:lumMod val="85000"/>
                </a:schemeClr>
              </a:solidFill>
              <a:latin typeface="Calibri"/>
              <a:ea typeface="Calibri"/>
              <a:cs typeface="Calibri"/>
            </a:rPr>
            <a:pPr/>
            <a:t>2.7</a:t>
          </a:fld>
          <a:endParaRPr lang="en-IN" sz="1100" b="1">
            <a:solidFill>
              <a:schemeClr val="bg1">
                <a:lumMod val="85000"/>
              </a:schemeClr>
            </a:solidFill>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cdr:x>
      <cdr:y>0.26724</cdr:y>
    </cdr:from>
    <cdr:to>
      <cdr:x>0.72673</cdr:x>
      <cdr:y>0.75</cdr:y>
    </cdr:to>
    <cdr:sp macro="" textlink="">
      <cdr:nvSpPr>
        <cdr:cNvPr id="5" name="Freeform: Shape 4">
          <a:extLst xmlns:a="http://schemas.openxmlformats.org/drawingml/2006/main">
            <a:ext uri="{FF2B5EF4-FFF2-40B4-BE49-F238E27FC236}">
              <a16:creationId xmlns:a16="http://schemas.microsoft.com/office/drawing/2014/main" id="{8A7CFDBF-0B14-FFE1-9EA3-3F30D54EA19B}"/>
            </a:ext>
          </a:extLst>
        </cdr:cNvPr>
        <cdr:cNvSpPr/>
      </cdr:nvSpPr>
      <cdr:spPr>
        <a:xfrm xmlns:a="http://schemas.openxmlformats.org/drawingml/2006/main">
          <a:off x="0" y="236220"/>
          <a:ext cx="1844040" cy="426720"/>
        </a:xfrm>
        <a:custGeom xmlns:a="http://schemas.openxmlformats.org/drawingml/2006/main">
          <a:avLst/>
          <a:gdLst>
            <a:gd name="connsiteX0" fmla="*/ 1127449 w 1810139"/>
            <a:gd name="connsiteY0" fmla="*/ 79309 h 513183"/>
            <a:gd name="connsiteX1" fmla="*/ 1088903 w 1810139"/>
            <a:gd name="connsiteY1" fmla="*/ 211177 h 513183"/>
            <a:gd name="connsiteX2" fmla="*/ 964163 w 1810139"/>
            <a:gd name="connsiteY2" fmla="*/ 211176 h 513183"/>
            <a:gd name="connsiteX3" fmla="*/ 1065080 w 1810139"/>
            <a:gd name="connsiteY3" fmla="*/ 292674 h 513183"/>
            <a:gd name="connsiteX4" fmla="*/ 1026533 w 1810139"/>
            <a:gd name="connsiteY4" fmla="*/ 424541 h 513183"/>
            <a:gd name="connsiteX5" fmla="*/ 1127449 w 1810139"/>
            <a:gd name="connsiteY5" fmla="*/ 343042 h 513183"/>
            <a:gd name="connsiteX6" fmla="*/ 1228364 w 1810139"/>
            <a:gd name="connsiteY6" fmla="*/ 424541 h 513183"/>
            <a:gd name="connsiteX7" fmla="*/ 1189817 w 1810139"/>
            <a:gd name="connsiteY7" fmla="*/ 292674 h 513183"/>
            <a:gd name="connsiteX8" fmla="*/ 1290734 w 1810139"/>
            <a:gd name="connsiteY8" fmla="*/ 211176 h 513183"/>
            <a:gd name="connsiteX9" fmla="*/ 1165994 w 1810139"/>
            <a:gd name="connsiteY9" fmla="*/ 211177 h 513183"/>
            <a:gd name="connsiteX10" fmla="*/ 1519335 w 1810139"/>
            <a:gd name="connsiteY10" fmla="*/ 69979 h 513183"/>
            <a:gd name="connsiteX11" fmla="*/ 1480789 w 1810139"/>
            <a:gd name="connsiteY11" fmla="*/ 201847 h 513183"/>
            <a:gd name="connsiteX12" fmla="*/ 1356049 w 1810139"/>
            <a:gd name="connsiteY12" fmla="*/ 201846 h 513183"/>
            <a:gd name="connsiteX13" fmla="*/ 1456966 w 1810139"/>
            <a:gd name="connsiteY13" fmla="*/ 283344 h 513183"/>
            <a:gd name="connsiteX14" fmla="*/ 1418419 w 1810139"/>
            <a:gd name="connsiteY14" fmla="*/ 415211 h 513183"/>
            <a:gd name="connsiteX15" fmla="*/ 1519335 w 1810139"/>
            <a:gd name="connsiteY15" fmla="*/ 333712 h 513183"/>
            <a:gd name="connsiteX16" fmla="*/ 1620250 w 1810139"/>
            <a:gd name="connsiteY16" fmla="*/ 415211 h 513183"/>
            <a:gd name="connsiteX17" fmla="*/ 1581703 w 1810139"/>
            <a:gd name="connsiteY17" fmla="*/ 283344 h 513183"/>
            <a:gd name="connsiteX18" fmla="*/ 1682620 w 1810139"/>
            <a:gd name="connsiteY18" fmla="*/ 201846 h 513183"/>
            <a:gd name="connsiteX19" fmla="*/ 1557880 w 1810139"/>
            <a:gd name="connsiteY19" fmla="*/ 201847 h 513183"/>
            <a:gd name="connsiteX20" fmla="*/ 715347 w 1810139"/>
            <a:gd name="connsiteY20" fmla="*/ 69978 h 513183"/>
            <a:gd name="connsiteX21" fmla="*/ 676801 w 1810139"/>
            <a:gd name="connsiteY21" fmla="*/ 201846 h 513183"/>
            <a:gd name="connsiteX22" fmla="*/ 552061 w 1810139"/>
            <a:gd name="connsiteY22" fmla="*/ 201845 h 513183"/>
            <a:gd name="connsiteX23" fmla="*/ 652978 w 1810139"/>
            <a:gd name="connsiteY23" fmla="*/ 283343 h 513183"/>
            <a:gd name="connsiteX24" fmla="*/ 614431 w 1810139"/>
            <a:gd name="connsiteY24" fmla="*/ 415210 h 513183"/>
            <a:gd name="connsiteX25" fmla="*/ 715347 w 1810139"/>
            <a:gd name="connsiteY25" fmla="*/ 333711 h 513183"/>
            <a:gd name="connsiteX26" fmla="*/ 816262 w 1810139"/>
            <a:gd name="connsiteY26" fmla="*/ 415210 h 513183"/>
            <a:gd name="connsiteX27" fmla="*/ 777715 w 1810139"/>
            <a:gd name="connsiteY27" fmla="*/ 283343 h 513183"/>
            <a:gd name="connsiteX28" fmla="*/ 878632 w 1810139"/>
            <a:gd name="connsiteY28" fmla="*/ 201845 h 513183"/>
            <a:gd name="connsiteX29" fmla="*/ 753892 w 1810139"/>
            <a:gd name="connsiteY29" fmla="*/ 201846 h 513183"/>
            <a:gd name="connsiteX30" fmla="*/ 297025 w 1810139"/>
            <a:gd name="connsiteY30" fmla="*/ 69977 h 513183"/>
            <a:gd name="connsiteX31" fmla="*/ 258479 w 1810139"/>
            <a:gd name="connsiteY31" fmla="*/ 201845 h 513183"/>
            <a:gd name="connsiteX32" fmla="*/ 133739 w 1810139"/>
            <a:gd name="connsiteY32" fmla="*/ 201844 h 513183"/>
            <a:gd name="connsiteX33" fmla="*/ 234656 w 1810139"/>
            <a:gd name="connsiteY33" fmla="*/ 283342 h 513183"/>
            <a:gd name="connsiteX34" fmla="*/ 196109 w 1810139"/>
            <a:gd name="connsiteY34" fmla="*/ 415209 h 513183"/>
            <a:gd name="connsiteX35" fmla="*/ 297025 w 1810139"/>
            <a:gd name="connsiteY35" fmla="*/ 333710 h 513183"/>
            <a:gd name="connsiteX36" fmla="*/ 397940 w 1810139"/>
            <a:gd name="connsiteY36" fmla="*/ 415209 h 513183"/>
            <a:gd name="connsiteX37" fmla="*/ 359393 w 1810139"/>
            <a:gd name="connsiteY37" fmla="*/ 283342 h 513183"/>
            <a:gd name="connsiteX38" fmla="*/ 460310 w 1810139"/>
            <a:gd name="connsiteY38" fmla="*/ 201844 h 513183"/>
            <a:gd name="connsiteX39" fmla="*/ 335570 w 1810139"/>
            <a:gd name="connsiteY39" fmla="*/ 201845 h 513183"/>
            <a:gd name="connsiteX40" fmla="*/ 0 w 1810139"/>
            <a:gd name="connsiteY40" fmla="*/ 0 h 513183"/>
            <a:gd name="connsiteX41" fmla="*/ 1810139 w 1810139"/>
            <a:gd name="connsiteY41" fmla="*/ 0 h 513183"/>
            <a:gd name="connsiteX42" fmla="*/ 1810139 w 1810139"/>
            <a:gd name="connsiteY42" fmla="*/ 513183 h 513183"/>
            <a:gd name="connsiteX43" fmla="*/ 0 w 1810139"/>
            <a:gd name="connsiteY43" fmla="*/ 513183 h 51318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810139" h="513183">
              <a:moveTo>
                <a:pt x="1127449" y="79309"/>
              </a:moveTo>
              <a:lnTo>
                <a:pt x="1088903" y="211177"/>
              </a:lnTo>
              <a:lnTo>
                <a:pt x="964163" y="211176"/>
              </a:lnTo>
              <a:lnTo>
                <a:pt x="1065080" y="292674"/>
              </a:lnTo>
              <a:lnTo>
                <a:pt x="1026533" y="424541"/>
              </a:lnTo>
              <a:lnTo>
                <a:pt x="1127449" y="343042"/>
              </a:lnTo>
              <a:lnTo>
                <a:pt x="1228364" y="424541"/>
              </a:lnTo>
              <a:lnTo>
                <a:pt x="1189817" y="292674"/>
              </a:lnTo>
              <a:lnTo>
                <a:pt x="1290734" y="211176"/>
              </a:lnTo>
              <a:lnTo>
                <a:pt x="1165994" y="211177"/>
              </a:lnTo>
              <a:close/>
              <a:moveTo>
                <a:pt x="1519335" y="69979"/>
              </a:moveTo>
              <a:lnTo>
                <a:pt x="1480789" y="201847"/>
              </a:lnTo>
              <a:lnTo>
                <a:pt x="1356049" y="201846"/>
              </a:lnTo>
              <a:lnTo>
                <a:pt x="1456966" y="283344"/>
              </a:lnTo>
              <a:lnTo>
                <a:pt x="1418419" y="415211"/>
              </a:lnTo>
              <a:lnTo>
                <a:pt x="1519335" y="333712"/>
              </a:lnTo>
              <a:lnTo>
                <a:pt x="1620250" y="415211"/>
              </a:lnTo>
              <a:lnTo>
                <a:pt x="1581703" y="283344"/>
              </a:lnTo>
              <a:lnTo>
                <a:pt x="1682620" y="201846"/>
              </a:lnTo>
              <a:lnTo>
                <a:pt x="1557880" y="201847"/>
              </a:lnTo>
              <a:close/>
              <a:moveTo>
                <a:pt x="715347" y="69978"/>
              </a:moveTo>
              <a:lnTo>
                <a:pt x="676801" y="201846"/>
              </a:lnTo>
              <a:lnTo>
                <a:pt x="552061" y="201845"/>
              </a:lnTo>
              <a:lnTo>
                <a:pt x="652978" y="283343"/>
              </a:lnTo>
              <a:lnTo>
                <a:pt x="614431" y="415210"/>
              </a:lnTo>
              <a:lnTo>
                <a:pt x="715347" y="333711"/>
              </a:lnTo>
              <a:lnTo>
                <a:pt x="816262" y="415210"/>
              </a:lnTo>
              <a:lnTo>
                <a:pt x="777715" y="283343"/>
              </a:lnTo>
              <a:lnTo>
                <a:pt x="878632" y="201845"/>
              </a:lnTo>
              <a:lnTo>
                <a:pt x="753892" y="201846"/>
              </a:lnTo>
              <a:close/>
              <a:moveTo>
                <a:pt x="297025" y="69977"/>
              </a:moveTo>
              <a:lnTo>
                <a:pt x="258479" y="201845"/>
              </a:lnTo>
              <a:lnTo>
                <a:pt x="133739" y="201844"/>
              </a:lnTo>
              <a:lnTo>
                <a:pt x="234656" y="283342"/>
              </a:lnTo>
              <a:lnTo>
                <a:pt x="196109" y="415209"/>
              </a:lnTo>
              <a:lnTo>
                <a:pt x="297025" y="333710"/>
              </a:lnTo>
              <a:lnTo>
                <a:pt x="397940" y="415209"/>
              </a:lnTo>
              <a:lnTo>
                <a:pt x="359393" y="283342"/>
              </a:lnTo>
              <a:lnTo>
                <a:pt x="460310" y="201844"/>
              </a:lnTo>
              <a:lnTo>
                <a:pt x="335570" y="201845"/>
              </a:lnTo>
              <a:close/>
              <a:moveTo>
                <a:pt x="0" y="0"/>
              </a:moveTo>
              <a:lnTo>
                <a:pt x="1810139" y="0"/>
              </a:lnTo>
              <a:lnTo>
                <a:pt x="1810139" y="513183"/>
              </a:lnTo>
              <a:lnTo>
                <a:pt x="0" y="513183"/>
              </a:lnTo>
              <a:close/>
            </a:path>
          </a:pathLst>
        </a:custGeom>
        <a:solidFill xmlns:a="http://schemas.openxmlformats.org/drawingml/2006/main">
          <a:schemeClr val="accent1">
            <a:lumMod val="75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rtlCol="0" anchor="ctr">
          <a:noAutofit/>
        </a:bodyP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IN"/>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eep Harale" refreshedDate="46062.93731134259" createdVersion="8" refreshedVersion="8" minRefreshableVersion="3" recordCount="1470" xr:uid="{25356188-2293-4545-A2FE-A75DD9945F67}">
  <cacheSource type="worksheet">
    <worksheetSource ref="A1:AJ1471" sheet="Raw_Data"/>
  </cacheSource>
  <cacheFields count="36">
    <cacheField name="Age" numFmtId="0">
      <sharedItems containsSemiMixedTypes="0" containsString="0" containsNumber="1" containsInteger="1" minValue="18" maxValue="60"/>
    </cacheField>
    <cacheField name="Attrition" numFmtId="0">
      <sharedItems count="2">
        <s v="Yes"/>
        <s v="No"/>
      </sharedItems>
    </cacheField>
    <cacheField name="Attrition_Yes" numFmtId="0">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43256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n v="1"/>
    <s v="Travel_Rarely"/>
    <n v="1102"/>
    <x v="0"/>
    <n v="1"/>
    <n v="2"/>
    <x v="0"/>
    <n v="1"/>
    <n v="1"/>
    <n v="2"/>
    <x v="0"/>
    <n v="94"/>
    <n v="3"/>
    <x v="0"/>
    <x v="0"/>
    <n v="4"/>
    <x v="0"/>
    <n v="5993"/>
    <n v="19479"/>
    <n v="8"/>
    <s v="Y"/>
    <x v="0"/>
    <n v="11"/>
    <n v="3"/>
    <n v="1"/>
    <n v="80"/>
    <n v="0"/>
    <n v="8"/>
    <n v="0"/>
    <n v="1"/>
    <x v="0"/>
    <n v="4"/>
    <n v="0"/>
    <n v="5"/>
  </r>
  <r>
    <n v="49"/>
    <x v="1"/>
    <n v="0"/>
    <s v="Travel_Frequently"/>
    <n v="279"/>
    <x v="1"/>
    <n v="8"/>
    <n v="1"/>
    <x v="0"/>
    <n v="1"/>
    <n v="2"/>
    <n v="3"/>
    <x v="1"/>
    <n v="61"/>
    <n v="2"/>
    <x v="0"/>
    <x v="1"/>
    <n v="2"/>
    <x v="1"/>
    <n v="5130"/>
    <n v="24907"/>
    <n v="1"/>
    <s v="Y"/>
    <x v="1"/>
    <n v="23"/>
    <n v="4"/>
    <n v="4"/>
    <n v="80"/>
    <n v="1"/>
    <n v="10"/>
    <n v="3"/>
    <n v="3"/>
    <x v="1"/>
    <n v="7"/>
    <n v="1"/>
    <n v="7"/>
  </r>
  <r>
    <n v="37"/>
    <x v="0"/>
    <n v="1"/>
    <s v="Travel_Rarely"/>
    <n v="1373"/>
    <x v="1"/>
    <n v="2"/>
    <n v="2"/>
    <x v="1"/>
    <n v="1"/>
    <n v="4"/>
    <n v="4"/>
    <x v="1"/>
    <n v="92"/>
    <n v="2"/>
    <x v="1"/>
    <x v="2"/>
    <n v="3"/>
    <x v="0"/>
    <n v="2090"/>
    <n v="2396"/>
    <n v="6"/>
    <s v="Y"/>
    <x v="0"/>
    <n v="15"/>
    <n v="3"/>
    <n v="2"/>
    <n v="80"/>
    <n v="0"/>
    <n v="7"/>
    <n v="3"/>
    <n v="3"/>
    <x v="2"/>
    <n v="0"/>
    <n v="0"/>
    <n v="0"/>
  </r>
  <r>
    <n v="33"/>
    <x v="1"/>
    <n v="0"/>
    <s v="Travel_Frequently"/>
    <n v="1392"/>
    <x v="1"/>
    <n v="3"/>
    <n v="4"/>
    <x v="0"/>
    <n v="1"/>
    <n v="5"/>
    <n v="4"/>
    <x v="0"/>
    <n v="56"/>
    <n v="3"/>
    <x v="1"/>
    <x v="1"/>
    <n v="3"/>
    <x v="1"/>
    <n v="2909"/>
    <n v="23159"/>
    <n v="1"/>
    <s v="Y"/>
    <x v="0"/>
    <n v="11"/>
    <n v="3"/>
    <n v="3"/>
    <n v="80"/>
    <n v="0"/>
    <n v="8"/>
    <n v="3"/>
    <n v="3"/>
    <x v="3"/>
    <n v="7"/>
    <n v="3"/>
    <n v="0"/>
  </r>
  <r>
    <n v="27"/>
    <x v="1"/>
    <n v="0"/>
    <s v="Travel_Rarely"/>
    <n v="591"/>
    <x v="1"/>
    <n v="2"/>
    <n v="1"/>
    <x v="2"/>
    <n v="1"/>
    <n v="7"/>
    <n v="1"/>
    <x v="1"/>
    <n v="40"/>
    <n v="3"/>
    <x v="1"/>
    <x v="2"/>
    <n v="2"/>
    <x v="1"/>
    <n v="3468"/>
    <n v="16632"/>
    <n v="9"/>
    <s v="Y"/>
    <x v="1"/>
    <n v="12"/>
    <n v="3"/>
    <n v="4"/>
    <n v="80"/>
    <n v="1"/>
    <n v="6"/>
    <n v="3"/>
    <n v="3"/>
    <x v="4"/>
    <n v="2"/>
    <n v="2"/>
    <n v="2"/>
  </r>
  <r>
    <n v="32"/>
    <x v="1"/>
    <n v="0"/>
    <s v="Travel_Frequently"/>
    <n v="1005"/>
    <x v="1"/>
    <n v="2"/>
    <n v="2"/>
    <x v="0"/>
    <n v="1"/>
    <n v="8"/>
    <n v="4"/>
    <x v="1"/>
    <n v="79"/>
    <n v="3"/>
    <x v="1"/>
    <x v="2"/>
    <n v="4"/>
    <x v="0"/>
    <n v="3068"/>
    <n v="11864"/>
    <n v="0"/>
    <s v="Y"/>
    <x v="1"/>
    <n v="13"/>
    <n v="3"/>
    <n v="3"/>
    <n v="80"/>
    <n v="0"/>
    <n v="8"/>
    <n v="2"/>
    <n v="2"/>
    <x v="5"/>
    <n v="7"/>
    <n v="3"/>
    <n v="6"/>
  </r>
  <r>
    <n v="59"/>
    <x v="1"/>
    <n v="0"/>
    <s v="Travel_Rarely"/>
    <n v="1324"/>
    <x v="1"/>
    <n v="3"/>
    <n v="3"/>
    <x v="2"/>
    <n v="1"/>
    <n v="10"/>
    <n v="3"/>
    <x v="0"/>
    <n v="81"/>
    <n v="4"/>
    <x v="1"/>
    <x v="2"/>
    <n v="1"/>
    <x v="1"/>
    <n v="2670"/>
    <n v="9964"/>
    <n v="4"/>
    <s v="Y"/>
    <x v="0"/>
    <n v="20"/>
    <n v="4"/>
    <n v="1"/>
    <n v="80"/>
    <n v="3"/>
    <n v="12"/>
    <n v="3"/>
    <n v="2"/>
    <x v="6"/>
    <n v="0"/>
    <n v="0"/>
    <n v="0"/>
  </r>
  <r>
    <n v="30"/>
    <x v="1"/>
    <n v="0"/>
    <s v="Travel_Rarely"/>
    <n v="1358"/>
    <x v="1"/>
    <n v="24"/>
    <n v="1"/>
    <x v="0"/>
    <n v="1"/>
    <n v="11"/>
    <n v="4"/>
    <x v="1"/>
    <n v="67"/>
    <n v="3"/>
    <x v="1"/>
    <x v="2"/>
    <n v="3"/>
    <x v="2"/>
    <n v="2693"/>
    <n v="13335"/>
    <n v="1"/>
    <s v="Y"/>
    <x v="1"/>
    <n v="22"/>
    <n v="4"/>
    <n v="2"/>
    <n v="80"/>
    <n v="1"/>
    <n v="1"/>
    <n v="2"/>
    <n v="3"/>
    <x v="6"/>
    <n v="0"/>
    <n v="0"/>
    <n v="0"/>
  </r>
  <r>
    <n v="38"/>
    <x v="1"/>
    <n v="0"/>
    <s v="Travel_Frequently"/>
    <n v="216"/>
    <x v="1"/>
    <n v="23"/>
    <n v="3"/>
    <x v="0"/>
    <n v="1"/>
    <n v="12"/>
    <n v="4"/>
    <x v="1"/>
    <n v="44"/>
    <n v="2"/>
    <x v="2"/>
    <x v="3"/>
    <n v="3"/>
    <x v="0"/>
    <n v="9526"/>
    <n v="8787"/>
    <n v="0"/>
    <s v="Y"/>
    <x v="1"/>
    <n v="21"/>
    <n v="4"/>
    <n v="2"/>
    <n v="80"/>
    <n v="0"/>
    <n v="10"/>
    <n v="2"/>
    <n v="3"/>
    <x v="7"/>
    <n v="7"/>
    <n v="1"/>
    <n v="8"/>
  </r>
  <r>
    <n v="36"/>
    <x v="1"/>
    <n v="0"/>
    <s v="Travel_Rarely"/>
    <n v="1299"/>
    <x v="1"/>
    <n v="27"/>
    <n v="3"/>
    <x v="2"/>
    <n v="1"/>
    <n v="13"/>
    <n v="3"/>
    <x v="1"/>
    <n v="94"/>
    <n v="3"/>
    <x v="0"/>
    <x v="4"/>
    <n v="3"/>
    <x v="1"/>
    <n v="5237"/>
    <n v="16577"/>
    <n v="6"/>
    <s v="Y"/>
    <x v="1"/>
    <n v="13"/>
    <n v="3"/>
    <n v="2"/>
    <n v="80"/>
    <n v="2"/>
    <n v="17"/>
    <n v="3"/>
    <n v="2"/>
    <x v="5"/>
    <n v="7"/>
    <n v="7"/>
    <n v="7"/>
  </r>
  <r>
    <n v="35"/>
    <x v="1"/>
    <n v="0"/>
    <s v="Travel_Rarely"/>
    <n v="809"/>
    <x v="1"/>
    <n v="16"/>
    <n v="3"/>
    <x v="2"/>
    <n v="1"/>
    <n v="14"/>
    <n v="1"/>
    <x v="1"/>
    <n v="84"/>
    <n v="4"/>
    <x v="1"/>
    <x v="2"/>
    <n v="2"/>
    <x v="1"/>
    <n v="2426"/>
    <n v="16479"/>
    <n v="0"/>
    <s v="Y"/>
    <x v="1"/>
    <n v="13"/>
    <n v="3"/>
    <n v="3"/>
    <n v="80"/>
    <n v="1"/>
    <n v="6"/>
    <n v="5"/>
    <n v="3"/>
    <x v="8"/>
    <n v="4"/>
    <n v="0"/>
    <n v="3"/>
  </r>
  <r>
    <n v="29"/>
    <x v="1"/>
    <n v="0"/>
    <s v="Travel_Rarely"/>
    <n v="153"/>
    <x v="1"/>
    <n v="15"/>
    <n v="2"/>
    <x v="0"/>
    <n v="1"/>
    <n v="15"/>
    <n v="4"/>
    <x v="0"/>
    <n v="49"/>
    <n v="2"/>
    <x v="0"/>
    <x v="2"/>
    <n v="3"/>
    <x v="0"/>
    <n v="4193"/>
    <n v="12682"/>
    <n v="0"/>
    <s v="Y"/>
    <x v="0"/>
    <n v="12"/>
    <n v="3"/>
    <n v="4"/>
    <n v="80"/>
    <n v="0"/>
    <n v="10"/>
    <n v="3"/>
    <n v="3"/>
    <x v="7"/>
    <n v="5"/>
    <n v="0"/>
    <n v="8"/>
  </r>
  <r>
    <n v="31"/>
    <x v="1"/>
    <n v="0"/>
    <s v="Travel_Rarely"/>
    <n v="670"/>
    <x v="1"/>
    <n v="26"/>
    <n v="1"/>
    <x v="0"/>
    <n v="1"/>
    <n v="16"/>
    <n v="1"/>
    <x v="1"/>
    <n v="31"/>
    <n v="3"/>
    <x v="1"/>
    <x v="1"/>
    <n v="3"/>
    <x v="2"/>
    <n v="2911"/>
    <n v="15170"/>
    <n v="1"/>
    <s v="Y"/>
    <x v="1"/>
    <n v="17"/>
    <n v="3"/>
    <n v="4"/>
    <n v="80"/>
    <n v="1"/>
    <n v="5"/>
    <n v="1"/>
    <n v="2"/>
    <x v="8"/>
    <n v="2"/>
    <n v="4"/>
    <n v="3"/>
  </r>
  <r>
    <n v="34"/>
    <x v="1"/>
    <n v="0"/>
    <s v="Travel_Rarely"/>
    <n v="1346"/>
    <x v="1"/>
    <n v="19"/>
    <n v="2"/>
    <x v="2"/>
    <n v="1"/>
    <n v="18"/>
    <n v="2"/>
    <x v="1"/>
    <n v="93"/>
    <n v="3"/>
    <x v="1"/>
    <x v="2"/>
    <n v="4"/>
    <x v="2"/>
    <n v="2661"/>
    <n v="8758"/>
    <n v="0"/>
    <s v="Y"/>
    <x v="1"/>
    <n v="11"/>
    <n v="3"/>
    <n v="3"/>
    <n v="80"/>
    <n v="1"/>
    <n v="3"/>
    <n v="2"/>
    <n v="3"/>
    <x v="4"/>
    <n v="2"/>
    <n v="1"/>
    <n v="2"/>
  </r>
  <r>
    <n v="28"/>
    <x v="0"/>
    <n v="1"/>
    <s v="Travel_Rarely"/>
    <n v="103"/>
    <x v="1"/>
    <n v="24"/>
    <n v="3"/>
    <x v="0"/>
    <n v="1"/>
    <n v="19"/>
    <n v="3"/>
    <x v="1"/>
    <n v="50"/>
    <n v="2"/>
    <x v="1"/>
    <x v="2"/>
    <n v="3"/>
    <x v="0"/>
    <n v="2028"/>
    <n v="12947"/>
    <n v="5"/>
    <s v="Y"/>
    <x v="0"/>
    <n v="14"/>
    <n v="3"/>
    <n v="2"/>
    <n v="80"/>
    <n v="0"/>
    <n v="6"/>
    <n v="4"/>
    <n v="3"/>
    <x v="9"/>
    <n v="2"/>
    <n v="0"/>
    <n v="3"/>
  </r>
  <r>
    <n v="29"/>
    <x v="1"/>
    <n v="0"/>
    <s v="Travel_Rarely"/>
    <n v="1389"/>
    <x v="1"/>
    <n v="21"/>
    <n v="4"/>
    <x v="0"/>
    <n v="1"/>
    <n v="20"/>
    <n v="2"/>
    <x v="0"/>
    <n v="51"/>
    <n v="4"/>
    <x v="2"/>
    <x v="3"/>
    <n v="1"/>
    <x v="2"/>
    <n v="9980"/>
    <n v="10195"/>
    <n v="1"/>
    <s v="Y"/>
    <x v="1"/>
    <n v="11"/>
    <n v="3"/>
    <n v="3"/>
    <n v="80"/>
    <n v="1"/>
    <n v="10"/>
    <n v="1"/>
    <n v="3"/>
    <x v="1"/>
    <n v="9"/>
    <n v="8"/>
    <n v="8"/>
  </r>
  <r>
    <n v="32"/>
    <x v="1"/>
    <n v="0"/>
    <s v="Travel_Rarely"/>
    <n v="334"/>
    <x v="1"/>
    <n v="5"/>
    <n v="2"/>
    <x v="0"/>
    <n v="1"/>
    <n v="21"/>
    <n v="1"/>
    <x v="1"/>
    <n v="80"/>
    <n v="4"/>
    <x v="1"/>
    <x v="1"/>
    <n v="2"/>
    <x v="2"/>
    <n v="3298"/>
    <n v="15053"/>
    <n v="0"/>
    <s v="Y"/>
    <x v="0"/>
    <n v="12"/>
    <n v="3"/>
    <n v="4"/>
    <n v="80"/>
    <n v="2"/>
    <n v="7"/>
    <n v="5"/>
    <n v="2"/>
    <x v="0"/>
    <n v="2"/>
    <n v="0"/>
    <n v="5"/>
  </r>
  <r>
    <n v="22"/>
    <x v="1"/>
    <n v="0"/>
    <s v="Non-Travel"/>
    <n v="1123"/>
    <x v="1"/>
    <n v="16"/>
    <n v="2"/>
    <x v="2"/>
    <n v="1"/>
    <n v="22"/>
    <n v="4"/>
    <x v="1"/>
    <n v="96"/>
    <n v="4"/>
    <x v="1"/>
    <x v="2"/>
    <n v="4"/>
    <x v="2"/>
    <n v="2935"/>
    <n v="7324"/>
    <n v="1"/>
    <s v="Y"/>
    <x v="0"/>
    <n v="13"/>
    <n v="3"/>
    <n v="2"/>
    <n v="80"/>
    <n v="2"/>
    <n v="1"/>
    <n v="2"/>
    <n v="2"/>
    <x v="6"/>
    <n v="0"/>
    <n v="0"/>
    <n v="0"/>
  </r>
  <r>
    <n v="53"/>
    <x v="1"/>
    <n v="0"/>
    <s v="Travel_Rarely"/>
    <n v="1219"/>
    <x v="0"/>
    <n v="2"/>
    <n v="4"/>
    <x v="0"/>
    <n v="1"/>
    <n v="23"/>
    <n v="1"/>
    <x v="0"/>
    <n v="78"/>
    <n v="2"/>
    <x v="3"/>
    <x v="5"/>
    <n v="4"/>
    <x v="1"/>
    <n v="15427"/>
    <n v="22021"/>
    <n v="2"/>
    <s v="Y"/>
    <x v="1"/>
    <n v="16"/>
    <n v="3"/>
    <n v="3"/>
    <n v="80"/>
    <n v="0"/>
    <n v="31"/>
    <n v="3"/>
    <n v="3"/>
    <x v="10"/>
    <n v="8"/>
    <n v="3"/>
    <n v="7"/>
  </r>
  <r>
    <n v="38"/>
    <x v="1"/>
    <n v="0"/>
    <s v="Travel_Rarely"/>
    <n v="371"/>
    <x v="1"/>
    <n v="2"/>
    <n v="3"/>
    <x v="0"/>
    <n v="1"/>
    <n v="24"/>
    <n v="4"/>
    <x v="1"/>
    <n v="45"/>
    <n v="3"/>
    <x v="1"/>
    <x v="1"/>
    <n v="4"/>
    <x v="0"/>
    <n v="3944"/>
    <n v="4306"/>
    <n v="5"/>
    <s v="Y"/>
    <x v="0"/>
    <n v="11"/>
    <n v="3"/>
    <n v="3"/>
    <n v="80"/>
    <n v="0"/>
    <n v="6"/>
    <n v="3"/>
    <n v="3"/>
    <x v="11"/>
    <n v="2"/>
    <n v="1"/>
    <n v="2"/>
  </r>
  <r>
    <n v="24"/>
    <x v="1"/>
    <n v="0"/>
    <s v="Non-Travel"/>
    <n v="673"/>
    <x v="1"/>
    <n v="11"/>
    <n v="2"/>
    <x v="1"/>
    <n v="1"/>
    <n v="26"/>
    <n v="1"/>
    <x v="0"/>
    <n v="96"/>
    <n v="4"/>
    <x v="0"/>
    <x v="3"/>
    <n v="3"/>
    <x v="2"/>
    <n v="4011"/>
    <n v="8232"/>
    <n v="0"/>
    <s v="Y"/>
    <x v="1"/>
    <n v="18"/>
    <n v="3"/>
    <n v="4"/>
    <n v="80"/>
    <n v="1"/>
    <n v="5"/>
    <n v="5"/>
    <n v="2"/>
    <x v="9"/>
    <n v="2"/>
    <n v="1"/>
    <n v="3"/>
  </r>
  <r>
    <n v="36"/>
    <x v="0"/>
    <n v="1"/>
    <s v="Travel_Rarely"/>
    <n v="1218"/>
    <x v="0"/>
    <n v="9"/>
    <n v="4"/>
    <x v="0"/>
    <n v="1"/>
    <n v="27"/>
    <n v="3"/>
    <x v="1"/>
    <n v="82"/>
    <n v="2"/>
    <x v="1"/>
    <x v="6"/>
    <n v="1"/>
    <x v="0"/>
    <n v="3407"/>
    <n v="6986"/>
    <n v="7"/>
    <s v="Y"/>
    <x v="1"/>
    <n v="23"/>
    <n v="4"/>
    <n v="2"/>
    <n v="80"/>
    <n v="0"/>
    <n v="10"/>
    <n v="4"/>
    <n v="3"/>
    <x v="8"/>
    <n v="3"/>
    <n v="0"/>
    <n v="3"/>
  </r>
  <r>
    <n v="34"/>
    <x v="1"/>
    <n v="0"/>
    <s v="Travel_Rarely"/>
    <n v="419"/>
    <x v="1"/>
    <n v="7"/>
    <n v="4"/>
    <x v="0"/>
    <n v="1"/>
    <n v="28"/>
    <n v="1"/>
    <x v="0"/>
    <n v="53"/>
    <n v="3"/>
    <x v="2"/>
    <x v="7"/>
    <n v="2"/>
    <x v="0"/>
    <n v="11994"/>
    <n v="21293"/>
    <n v="0"/>
    <s v="Y"/>
    <x v="1"/>
    <n v="11"/>
    <n v="3"/>
    <n v="3"/>
    <n v="80"/>
    <n v="0"/>
    <n v="13"/>
    <n v="4"/>
    <n v="3"/>
    <x v="12"/>
    <n v="6"/>
    <n v="2"/>
    <n v="11"/>
  </r>
  <r>
    <n v="21"/>
    <x v="1"/>
    <n v="0"/>
    <s v="Travel_Rarely"/>
    <n v="391"/>
    <x v="1"/>
    <n v="15"/>
    <n v="2"/>
    <x v="0"/>
    <n v="1"/>
    <n v="30"/>
    <n v="3"/>
    <x v="1"/>
    <n v="96"/>
    <n v="3"/>
    <x v="1"/>
    <x v="1"/>
    <n v="4"/>
    <x v="0"/>
    <n v="1232"/>
    <n v="19281"/>
    <n v="1"/>
    <s v="Y"/>
    <x v="1"/>
    <n v="14"/>
    <n v="3"/>
    <n v="4"/>
    <n v="80"/>
    <n v="0"/>
    <n v="0"/>
    <n v="6"/>
    <n v="3"/>
    <x v="2"/>
    <n v="0"/>
    <n v="0"/>
    <n v="0"/>
  </r>
  <r>
    <n v="34"/>
    <x v="0"/>
    <n v="1"/>
    <s v="Travel_Rarely"/>
    <n v="699"/>
    <x v="1"/>
    <n v="6"/>
    <n v="1"/>
    <x v="2"/>
    <n v="1"/>
    <n v="31"/>
    <n v="2"/>
    <x v="1"/>
    <n v="83"/>
    <n v="3"/>
    <x v="1"/>
    <x v="1"/>
    <n v="1"/>
    <x v="0"/>
    <n v="2960"/>
    <n v="17102"/>
    <n v="2"/>
    <s v="Y"/>
    <x v="1"/>
    <n v="11"/>
    <n v="3"/>
    <n v="3"/>
    <n v="80"/>
    <n v="0"/>
    <n v="8"/>
    <n v="2"/>
    <n v="3"/>
    <x v="9"/>
    <n v="2"/>
    <n v="1"/>
    <n v="3"/>
  </r>
  <r>
    <n v="53"/>
    <x v="1"/>
    <n v="0"/>
    <s v="Travel_Rarely"/>
    <n v="1282"/>
    <x v="1"/>
    <n v="5"/>
    <n v="3"/>
    <x v="1"/>
    <n v="1"/>
    <n v="32"/>
    <n v="3"/>
    <x v="0"/>
    <n v="58"/>
    <n v="3"/>
    <x v="4"/>
    <x v="5"/>
    <n v="3"/>
    <x v="2"/>
    <n v="19094"/>
    <n v="10735"/>
    <n v="4"/>
    <s v="Y"/>
    <x v="1"/>
    <n v="11"/>
    <n v="3"/>
    <n v="4"/>
    <n v="80"/>
    <n v="1"/>
    <n v="26"/>
    <n v="3"/>
    <n v="2"/>
    <x v="13"/>
    <n v="13"/>
    <n v="4"/>
    <n v="8"/>
  </r>
  <r>
    <n v="32"/>
    <x v="0"/>
    <n v="1"/>
    <s v="Travel_Frequently"/>
    <n v="1125"/>
    <x v="1"/>
    <n v="16"/>
    <n v="1"/>
    <x v="0"/>
    <n v="1"/>
    <n v="33"/>
    <n v="2"/>
    <x v="0"/>
    <n v="72"/>
    <n v="1"/>
    <x v="1"/>
    <x v="1"/>
    <n v="1"/>
    <x v="0"/>
    <n v="3919"/>
    <n v="4681"/>
    <n v="1"/>
    <s v="Y"/>
    <x v="0"/>
    <n v="22"/>
    <n v="4"/>
    <n v="2"/>
    <n v="80"/>
    <n v="0"/>
    <n v="10"/>
    <n v="5"/>
    <n v="3"/>
    <x v="1"/>
    <n v="2"/>
    <n v="6"/>
    <n v="7"/>
  </r>
  <r>
    <n v="42"/>
    <x v="1"/>
    <n v="0"/>
    <s v="Travel_Rarely"/>
    <n v="691"/>
    <x v="0"/>
    <n v="8"/>
    <n v="4"/>
    <x v="3"/>
    <n v="1"/>
    <n v="35"/>
    <n v="3"/>
    <x v="1"/>
    <n v="48"/>
    <n v="3"/>
    <x v="0"/>
    <x v="0"/>
    <n v="2"/>
    <x v="1"/>
    <n v="6825"/>
    <n v="21173"/>
    <n v="0"/>
    <s v="Y"/>
    <x v="1"/>
    <n v="11"/>
    <n v="3"/>
    <n v="4"/>
    <n v="80"/>
    <n v="1"/>
    <n v="10"/>
    <n v="2"/>
    <n v="3"/>
    <x v="7"/>
    <n v="7"/>
    <n v="4"/>
    <n v="2"/>
  </r>
  <r>
    <n v="44"/>
    <x v="1"/>
    <n v="0"/>
    <s v="Travel_Rarely"/>
    <n v="477"/>
    <x v="1"/>
    <n v="7"/>
    <n v="4"/>
    <x v="2"/>
    <n v="1"/>
    <n v="36"/>
    <n v="1"/>
    <x v="0"/>
    <n v="42"/>
    <n v="2"/>
    <x v="2"/>
    <x v="4"/>
    <n v="4"/>
    <x v="1"/>
    <n v="10248"/>
    <n v="2094"/>
    <n v="3"/>
    <s v="Y"/>
    <x v="1"/>
    <n v="14"/>
    <n v="3"/>
    <n v="4"/>
    <n v="80"/>
    <n v="1"/>
    <n v="24"/>
    <n v="4"/>
    <n v="3"/>
    <x v="14"/>
    <n v="6"/>
    <n v="5"/>
    <n v="17"/>
  </r>
  <r>
    <n v="46"/>
    <x v="1"/>
    <n v="0"/>
    <s v="Travel_Rarely"/>
    <n v="705"/>
    <x v="0"/>
    <n v="2"/>
    <n v="4"/>
    <x v="3"/>
    <n v="1"/>
    <n v="38"/>
    <n v="2"/>
    <x v="0"/>
    <n v="83"/>
    <n v="3"/>
    <x v="4"/>
    <x v="5"/>
    <n v="1"/>
    <x v="0"/>
    <n v="18947"/>
    <n v="22822"/>
    <n v="3"/>
    <s v="Y"/>
    <x v="1"/>
    <n v="12"/>
    <n v="3"/>
    <n v="4"/>
    <n v="80"/>
    <n v="0"/>
    <n v="22"/>
    <n v="2"/>
    <n v="2"/>
    <x v="4"/>
    <n v="2"/>
    <n v="2"/>
    <n v="1"/>
  </r>
  <r>
    <n v="33"/>
    <x v="1"/>
    <n v="0"/>
    <s v="Travel_Rarely"/>
    <n v="924"/>
    <x v="1"/>
    <n v="2"/>
    <n v="3"/>
    <x v="2"/>
    <n v="1"/>
    <n v="39"/>
    <n v="3"/>
    <x v="1"/>
    <n v="78"/>
    <n v="3"/>
    <x v="1"/>
    <x v="2"/>
    <n v="4"/>
    <x v="0"/>
    <n v="2496"/>
    <n v="6670"/>
    <n v="4"/>
    <s v="Y"/>
    <x v="1"/>
    <n v="11"/>
    <n v="3"/>
    <n v="4"/>
    <n v="80"/>
    <n v="0"/>
    <n v="7"/>
    <n v="3"/>
    <n v="3"/>
    <x v="6"/>
    <n v="1"/>
    <n v="0"/>
    <n v="0"/>
  </r>
  <r>
    <n v="44"/>
    <x v="1"/>
    <n v="0"/>
    <s v="Travel_Rarely"/>
    <n v="1459"/>
    <x v="1"/>
    <n v="10"/>
    <n v="4"/>
    <x v="1"/>
    <n v="1"/>
    <n v="40"/>
    <n v="4"/>
    <x v="1"/>
    <n v="41"/>
    <n v="3"/>
    <x v="0"/>
    <x v="4"/>
    <n v="4"/>
    <x v="1"/>
    <n v="6465"/>
    <n v="19121"/>
    <n v="2"/>
    <s v="Y"/>
    <x v="0"/>
    <n v="13"/>
    <n v="3"/>
    <n v="4"/>
    <n v="80"/>
    <n v="0"/>
    <n v="9"/>
    <n v="5"/>
    <n v="4"/>
    <x v="9"/>
    <n v="2"/>
    <n v="1"/>
    <n v="3"/>
  </r>
  <r>
    <n v="30"/>
    <x v="1"/>
    <n v="0"/>
    <s v="Travel_Rarely"/>
    <n v="125"/>
    <x v="1"/>
    <n v="9"/>
    <n v="2"/>
    <x v="2"/>
    <n v="1"/>
    <n v="41"/>
    <n v="4"/>
    <x v="1"/>
    <n v="83"/>
    <n v="2"/>
    <x v="1"/>
    <x v="2"/>
    <n v="3"/>
    <x v="0"/>
    <n v="2206"/>
    <n v="16117"/>
    <n v="1"/>
    <s v="Y"/>
    <x v="1"/>
    <n v="13"/>
    <n v="3"/>
    <n v="1"/>
    <n v="80"/>
    <n v="0"/>
    <n v="10"/>
    <n v="5"/>
    <n v="3"/>
    <x v="1"/>
    <n v="0"/>
    <n v="1"/>
    <n v="8"/>
  </r>
  <r>
    <n v="39"/>
    <x v="0"/>
    <n v="1"/>
    <s v="Travel_Rarely"/>
    <n v="895"/>
    <x v="0"/>
    <n v="5"/>
    <n v="3"/>
    <x v="4"/>
    <n v="1"/>
    <n v="42"/>
    <n v="4"/>
    <x v="1"/>
    <n v="56"/>
    <n v="3"/>
    <x v="0"/>
    <x v="6"/>
    <n v="4"/>
    <x v="1"/>
    <n v="2086"/>
    <n v="3335"/>
    <n v="3"/>
    <s v="Y"/>
    <x v="1"/>
    <n v="14"/>
    <n v="3"/>
    <n v="3"/>
    <n v="80"/>
    <n v="1"/>
    <n v="19"/>
    <n v="6"/>
    <n v="4"/>
    <x v="6"/>
    <n v="0"/>
    <n v="0"/>
    <n v="0"/>
  </r>
  <r>
    <n v="24"/>
    <x v="0"/>
    <n v="1"/>
    <s v="Travel_Rarely"/>
    <n v="813"/>
    <x v="1"/>
    <n v="1"/>
    <n v="3"/>
    <x v="2"/>
    <n v="1"/>
    <n v="45"/>
    <n v="2"/>
    <x v="1"/>
    <n v="61"/>
    <n v="3"/>
    <x v="1"/>
    <x v="1"/>
    <n v="4"/>
    <x v="1"/>
    <n v="2293"/>
    <n v="3020"/>
    <n v="2"/>
    <s v="Y"/>
    <x v="0"/>
    <n v="16"/>
    <n v="3"/>
    <n v="1"/>
    <n v="80"/>
    <n v="1"/>
    <n v="6"/>
    <n v="2"/>
    <n v="2"/>
    <x v="4"/>
    <n v="0"/>
    <n v="2"/>
    <n v="0"/>
  </r>
  <r>
    <n v="43"/>
    <x v="1"/>
    <n v="0"/>
    <s v="Travel_Rarely"/>
    <n v="1273"/>
    <x v="1"/>
    <n v="2"/>
    <n v="2"/>
    <x v="2"/>
    <n v="1"/>
    <n v="46"/>
    <n v="4"/>
    <x v="0"/>
    <n v="72"/>
    <n v="4"/>
    <x v="1"/>
    <x v="1"/>
    <n v="3"/>
    <x v="2"/>
    <n v="2645"/>
    <n v="21923"/>
    <n v="1"/>
    <s v="Y"/>
    <x v="1"/>
    <n v="12"/>
    <n v="3"/>
    <n v="4"/>
    <n v="80"/>
    <n v="2"/>
    <n v="6"/>
    <n v="3"/>
    <n v="2"/>
    <x v="8"/>
    <n v="3"/>
    <n v="1"/>
    <n v="4"/>
  </r>
  <r>
    <n v="50"/>
    <x v="0"/>
    <n v="1"/>
    <s v="Travel_Rarely"/>
    <n v="869"/>
    <x v="0"/>
    <n v="3"/>
    <n v="2"/>
    <x v="3"/>
    <n v="1"/>
    <n v="47"/>
    <n v="1"/>
    <x v="1"/>
    <n v="86"/>
    <n v="2"/>
    <x v="1"/>
    <x v="6"/>
    <n v="3"/>
    <x v="1"/>
    <n v="2683"/>
    <n v="3810"/>
    <n v="1"/>
    <s v="Y"/>
    <x v="0"/>
    <n v="14"/>
    <n v="3"/>
    <n v="3"/>
    <n v="80"/>
    <n v="0"/>
    <n v="3"/>
    <n v="2"/>
    <n v="3"/>
    <x v="11"/>
    <n v="2"/>
    <n v="0"/>
    <n v="2"/>
  </r>
  <r>
    <n v="35"/>
    <x v="1"/>
    <n v="0"/>
    <s v="Travel_Rarely"/>
    <n v="890"/>
    <x v="0"/>
    <n v="2"/>
    <n v="3"/>
    <x v="3"/>
    <n v="1"/>
    <n v="49"/>
    <n v="4"/>
    <x v="0"/>
    <n v="97"/>
    <n v="3"/>
    <x v="1"/>
    <x v="6"/>
    <n v="4"/>
    <x v="1"/>
    <n v="2014"/>
    <n v="9687"/>
    <n v="1"/>
    <s v="Y"/>
    <x v="1"/>
    <n v="13"/>
    <n v="3"/>
    <n v="1"/>
    <n v="80"/>
    <n v="0"/>
    <n v="2"/>
    <n v="3"/>
    <n v="3"/>
    <x v="4"/>
    <n v="2"/>
    <n v="2"/>
    <n v="2"/>
  </r>
  <r>
    <n v="36"/>
    <x v="1"/>
    <n v="0"/>
    <s v="Travel_Rarely"/>
    <n v="852"/>
    <x v="1"/>
    <n v="5"/>
    <n v="4"/>
    <x v="0"/>
    <n v="1"/>
    <n v="51"/>
    <n v="2"/>
    <x v="0"/>
    <n v="82"/>
    <n v="2"/>
    <x v="1"/>
    <x v="1"/>
    <n v="1"/>
    <x v="1"/>
    <n v="3419"/>
    <n v="13072"/>
    <n v="9"/>
    <s v="Y"/>
    <x v="0"/>
    <n v="14"/>
    <n v="3"/>
    <n v="4"/>
    <n v="80"/>
    <n v="1"/>
    <n v="6"/>
    <n v="3"/>
    <n v="4"/>
    <x v="6"/>
    <n v="1"/>
    <n v="0"/>
    <n v="0"/>
  </r>
  <r>
    <n v="33"/>
    <x v="1"/>
    <n v="0"/>
    <s v="Travel_Frequently"/>
    <n v="1141"/>
    <x v="0"/>
    <n v="1"/>
    <n v="3"/>
    <x v="0"/>
    <n v="1"/>
    <n v="52"/>
    <n v="3"/>
    <x v="0"/>
    <n v="42"/>
    <n v="4"/>
    <x v="0"/>
    <x v="0"/>
    <n v="1"/>
    <x v="1"/>
    <n v="5376"/>
    <n v="3193"/>
    <n v="2"/>
    <s v="Y"/>
    <x v="1"/>
    <n v="19"/>
    <n v="3"/>
    <n v="1"/>
    <n v="80"/>
    <n v="2"/>
    <n v="10"/>
    <n v="3"/>
    <n v="3"/>
    <x v="8"/>
    <n v="3"/>
    <n v="1"/>
    <n v="3"/>
  </r>
  <r>
    <n v="35"/>
    <x v="1"/>
    <n v="0"/>
    <s v="Travel_Rarely"/>
    <n v="464"/>
    <x v="1"/>
    <n v="4"/>
    <n v="2"/>
    <x v="1"/>
    <n v="1"/>
    <n v="53"/>
    <n v="3"/>
    <x v="1"/>
    <n v="75"/>
    <n v="3"/>
    <x v="1"/>
    <x v="2"/>
    <n v="4"/>
    <x v="2"/>
    <n v="1951"/>
    <n v="10910"/>
    <n v="1"/>
    <s v="Y"/>
    <x v="1"/>
    <n v="12"/>
    <n v="3"/>
    <n v="3"/>
    <n v="80"/>
    <n v="1"/>
    <n v="1"/>
    <n v="3"/>
    <n v="3"/>
    <x v="6"/>
    <n v="0"/>
    <n v="0"/>
    <n v="0"/>
  </r>
  <r>
    <n v="27"/>
    <x v="1"/>
    <n v="0"/>
    <s v="Travel_Rarely"/>
    <n v="1240"/>
    <x v="1"/>
    <n v="2"/>
    <n v="4"/>
    <x v="0"/>
    <n v="1"/>
    <n v="54"/>
    <n v="4"/>
    <x v="0"/>
    <n v="33"/>
    <n v="3"/>
    <x v="1"/>
    <x v="2"/>
    <n v="1"/>
    <x v="2"/>
    <n v="2341"/>
    <n v="19715"/>
    <n v="1"/>
    <s v="Y"/>
    <x v="1"/>
    <n v="13"/>
    <n v="3"/>
    <n v="4"/>
    <n v="80"/>
    <n v="1"/>
    <n v="1"/>
    <n v="6"/>
    <n v="3"/>
    <x v="6"/>
    <n v="0"/>
    <n v="0"/>
    <n v="0"/>
  </r>
  <r>
    <n v="26"/>
    <x v="0"/>
    <n v="1"/>
    <s v="Travel_Rarely"/>
    <n v="1357"/>
    <x v="1"/>
    <n v="25"/>
    <n v="3"/>
    <x v="0"/>
    <n v="1"/>
    <n v="55"/>
    <n v="1"/>
    <x v="1"/>
    <n v="48"/>
    <n v="1"/>
    <x v="1"/>
    <x v="2"/>
    <n v="3"/>
    <x v="0"/>
    <n v="2293"/>
    <n v="10558"/>
    <n v="1"/>
    <s v="Y"/>
    <x v="1"/>
    <n v="12"/>
    <n v="3"/>
    <n v="3"/>
    <n v="80"/>
    <n v="0"/>
    <n v="1"/>
    <n v="2"/>
    <n v="2"/>
    <x v="6"/>
    <n v="0"/>
    <n v="0"/>
    <n v="1"/>
  </r>
  <r>
    <n v="27"/>
    <x v="1"/>
    <n v="0"/>
    <s v="Travel_Frequently"/>
    <n v="994"/>
    <x v="0"/>
    <n v="8"/>
    <n v="3"/>
    <x v="0"/>
    <n v="1"/>
    <n v="56"/>
    <n v="4"/>
    <x v="1"/>
    <n v="37"/>
    <n v="3"/>
    <x v="2"/>
    <x v="0"/>
    <n v="3"/>
    <x v="0"/>
    <n v="8726"/>
    <n v="2975"/>
    <n v="1"/>
    <s v="Y"/>
    <x v="1"/>
    <n v="15"/>
    <n v="3"/>
    <n v="4"/>
    <n v="80"/>
    <n v="0"/>
    <n v="9"/>
    <n v="0"/>
    <n v="3"/>
    <x v="7"/>
    <n v="8"/>
    <n v="1"/>
    <n v="7"/>
  </r>
  <r>
    <n v="30"/>
    <x v="1"/>
    <n v="0"/>
    <s v="Travel_Frequently"/>
    <n v="721"/>
    <x v="1"/>
    <n v="1"/>
    <n v="2"/>
    <x v="2"/>
    <n v="1"/>
    <n v="57"/>
    <n v="3"/>
    <x v="0"/>
    <n v="58"/>
    <n v="3"/>
    <x v="0"/>
    <x v="2"/>
    <n v="4"/>
    <x v="0"/>
    <n v="4011"/>
    <n v="10781"/>
    <n v="1"/>
    <s v="Y"/>
    <x v="1"/>
    <n v="23"/>
    <n v="4"/>
    <n v="4"/>
    <n v="80"/>
    <n v="0"/>
    <n v="12"/>
    <n v="2"/>
    <n v="3"/>
    <x v="12"/>
    <n v="8"/>
    <n v="3"/>
    <n v="7"/>
  </r>
  <r>
    <n v="41"/>
    <x v="0"/>
    <n v="1"/>
    <s v="Travel_Rarely"/>
    <n v="1360"/>
    <x v="1"/>
    <n v="12"/>
    <n v="3"/>
    <x v="4"/>
    <n v="1"/>
    <n v="58"/>
    <n v="2"/>
    <x v="0"/>
    <n v="49"/>
    <n v="3"/>
    <x v="4"/>
    <x v="7"/>
    <n v="3"/>
    <x v="1"/>
    <n v="19545"/>
    <n v="16280"/>
    <n v="1"/>
    <s v="Y"/>
    <x v="1"/>
    <n v="12"/>
    <n v="3"/>
    <n v="4"/>
    <n v="80"/>
    <n v="0"/>
    <n v="23"/>
    <n v="0"/>
    <n v="3"/>
    <x v="14"/>
    <n v="15"/>
    <n v="15"/>
    <n v="8"/>
  </r>
  <r>
    <n v="34"/>
    <x v="1"/>
    <n v="0"/>
    <s v="Non-Travel"/>
    <n v="1065"/>
    <x v="0"/>
    <n v="23"/>
    <n v="4"/>
    <x v="3"/>
    <n v="1"/>
    <n v="60"/>
    <n v="2"/>
    <x v="1"/>
    <n v="72"/>
    <n v="3"/>
    <x v="0"/>
    <x v="0"/>
    <n v="3"/>
    <x v="0"/>
    <n v="4568"/>
    <n v="10034"/>
    <n v="0"/>
    <s v="Y"/>
    <x v="1"/>
    <n v="20"/>
    <n v="4"/>
    <n v="3"/>
    <n v="80"/>
    <n v="0"/>
    <n v="10"/>
    <n v="2"/>
    <n v="3"/>
    <x v="7"/>
    <n v="5"/>
    <n v="8"/>
    <n v="7"/>
  </r>
  <r>
    <n v="37"/>
    <x v="1"/>
    <n v="0"/>
    <s v="Travel_Rarely"/>
    <n v="408"/>
    <x v="1"/>
    <n v="19"/>
    <n v="2"/>
    <x v="0"/>
    <n v="1"/>
    <n v="61"/>
    <n v="2"/>
    <x v="1"/>
    <n v="73"/>
    <n v="3"/>
    <x v="1"/>
    <x v="1"/>
    <n v="2"/>
    <x v="1"/>
    <n v="3022"/>
    <n v="10227"/>
    <n v="4"/>
    <s v="Y"/>
    <x v="1"/>
    <n v="21"/>
    <n v="4"/>
    <n v="1"/>
    <n v="80"/>
    <n v="0"/>
    <n v="8"/>
    <n v="1"/>
    <n v="3"/>
    <x v="6"/>
    <n v="0"/>
    <n v="0"/>
    <n v="0"/>
  </r>
  <r>
    <n v="46"/>
    <x v="1"/>
    <n v="0"/>
    <s v="Travel_Frequently"/>
    <n v="1211"/>
    <x v="0"/>
    <n v="5"/>
    <n v="4"/>
    <x v="3"/>
    <n v="1"/>
    <n v="62"/>
    <n v="1"/>
    <x v="1"/>
    <n v="98"/>
    <n v="3"/>
    <x v="0"/>
    <x v="0"/>
    <n v="4"/>
    <x v="0"/>
    <n v="5772"/>
    <n v="20445"/>
    <n v="4"/>
    <s v="Y"/>
    <x v="0"/>
    <n v="21"/>
    <n v="4"/>
    <n v="3"/>
    <n v="80"/>
    <n v="0"/>
    <n v="14"/>
    <n v="4"/>
    <n v="3"/>
    <x v="7"/>
    <n v="6"/>
    <n v="0"/>
    <n v="8"/>
  </r>
  <r>
    <n v="35"/>
    <x v="1"/>
    <n v="0"/>
    <s v="Travel_Rarely"/>
    <n v="1229"/>
    <x v="1"/>
    <n v="8"/>
    <n v="1"/>
    <x v="0"/>
    <n v="1"/>
    <n v="63"/>
    <n v="4"/>
    <x v="1"/>
    <n v="36"/>
    <n v="4"/>
    <x v="1"/>
    <x v="2"/>
    <n v="4"/>
    <x v="1"/>
    <n v="2269"/>
    <n v="4892"/>
    <n v="1"/>
    <s v="Y"/>
    <x v="1"/>
    <n v="19"/>
    <n v="3"/>
    <n v="4"/>
    <n v="80"/>
    <n v="0"/>
    <n v="1"/>
    <n v="2"/>
    <n v="3"/>
    <x v="6"/>
    <n v="0"/>
    <n v="0"/>
    <n v="1"/>
  </r>
  <r>
    <n v="48"/>
    <x v="0"/>
    <n v="1"/>
    <s v="Travel_Rarely"/>
    <n v="626"/>
    <x v="1"/>
    <n v="1"/>
    <n v="2"/>
    <x v="0"/>
    <n v="1"/>
    <n v="64"/>
    <n v="1"/>
    <x v="1"/>
    <n v="98"/>
    <n v="2"/>
    <x v="2"/>
    <x v="2"/>
    <n v="3"/>
    <x v="0"/>
    <n v="5381"/>
    <n v="19294"/>
    <n v="9"/>
    <s v="Y"/>
    <x v="0"/>
    <n v="13"/>
    <n v="3"/>
    <n v="4"/>
    <n v="80"/>
    <n v="0"/>
    <n v="23"/>
    <n v="2"/>
    <n v="3"/>
    <x v="6"/>
    <n v="0"/>
    <n v="0"/>
    <n v="0"/>
  </r>
  <r>
    <n v="28"/>
    <x v="0"/>
    <n v="1"/>
    <s v="Travel_Rarely"/>
    <n v="1434"/>
    <x v="1"/>
    <n v="5"/>
    <n v="4"/>
    <x v="4"/>
    <n v="1"/>
    <n v="65"/>
    <n v="3"/>
    <x v="1"/>
    <n v="50"/>
    <n v="3"/>
    <x v="1"/>
    <x v="2"/>
    <n v="3"/>
    <x v="0"/>
    <n v="3441"/>
    <n v="11179"/>
    <n v="1"/>
    <s v="Y"/>
    <x v="0"/>
    <n v="13"/>
    <n v="3"/>
    <n v="3"/>
    <n v="80"/>
    <n v="0"/>
    <n v="2"/>
    <n v="3"/>
    <n v="2"/>
    <x v="4"/>
    <n v="2"/>
    <n v="2"/>
    <n v="2"/>
  </r>
  <r>
    <n v="44"/>
    <x v="1"/>
    <n v="0"/>
    <s v="Travel_Rarely"/>
    <n v="1488"/>
    <x v="0"/>
    <n v="1"/>
    <n v="5"/>
    <x v="3"/>
    <n v="1"/>
    <n v="68"/>
    <n v="2"/>
    <x v="0"/>
    <n v="75"/>
    <n v="3"/>
    <x v="0"/>
    <x v="0"/>
    <n v="1"/>
    <x v="2"/>
    <n v="5454"/>
    <n v="4009"/>
    <n v="5"/>
    <s v="Y"/>
    <x v="0"/>
    <n v="21"/>
    <n v="4"/>
    <n v="3"/>
    <n v="80"/>
    <n v="1"/>
    <n v="9"/>
    <n v="2"/>
    <n v="2"/>
    <x v="9"/>
    <n v="3"/>
    <n v="1"/>
    <n v="3"/>
  </r>
  <r>
    <n v="35"/>
    <x v="1"/>
    <n v="0"/>
    <s v="Non-Travel"/>
    <n v="1097"/>
    <x v="1"/>
    <n v="11"/>
    <n v="2"/>
    <x v="2"/>
    <n v="1"/>
    <n v="70"/>
    <n v="3"/>
    <x v="1"/>
    <n v="79"/>
    <n v="2"/>
    <x v="2"/>
    <x v="4"/>
    <n v="1"/>
    <x v="1"/>
    <n v="9884"/>
    <n v="8302"/>
    <n v="2"/>
    <s v="Y"/>
    <x v="0"/>
    <n v="13"/>
    <n v="3"/>
    <n v="3"/>
    <n v="80"/>
    <n v="1"/>
    <n v="10"/>
    <n v="3"/>
    <n v="3"/>
    <x v="9"/>
    <n v="0"/>
    <n v="2"/>
    <n v="3"/>
  </r>
  <r>
    <n v="26"/>
    <x v="1"/>
    <n v="0"/>
    <s v="Travel_Rarely"/>
    <n v="1443"/>
    <x v="0"/>
    <n v="23"/>
    <n v="3"/>
    <x v="3"/>
    <n v="1"/>
    <n v="72"/>
    <n v="3"/>
    <x v="0"/>
    <n v="47"/>
    <n v="2"/>
    <x v="0"/>
    <x v="0"/>
    <n v="4"/>
    <x v="1"/>
    <n v="4157"/>
    <n v="21436"/>
    <n v="7"/>
    <s v="Y"/>
    <x v="0"/>
    <n v="19"/>
    <n v="3"/>
    <n v="3"/>
    <n v="80"/>
    <n v="1"/>
    <n v="5"/>
    <n v="2"/>
    <n v="2"/>
    <x v="4"/>
    <n v="2"/>
    <n v="0"/>
    <n v="0"/>
  </r>
  <r>
    <n v="33"/>
    <x v="1"/>
    <n v="0"/>
    <s v="Travel_Frequently"/>
    <n v="515"/>
    <x v="1"/>
    <n v="1"/>
    <n v="2"/>
    <x v="0"/>
    <n v="1"/>
    <n v="73"/>
    <n v="1"/>
    <x v="0"/>
    <n v="98"/>
    <n v="3"/>
    <x v="2"/>
    <x v="7"/>
    <n v="4"/>
    <x v="0"/>
    <n v="13458"/>
    <n v="15146"/>
    <n v="1"/>
    <s v="Y"/>
    <x v="0"/>
    <n v="12"/>
    <n v="3"/>
    <n v="3"/>
    <n v="80"/>
    <n v="0"/>
    <n v="15"/>
    <n v="1"/>
    <n v="3"/>
    <x v="15"/>
    <n v="14"/>
    <n v="8"/>
    <n v="12"/>
  </r>
  <r>
    <n v="35"/>
    <x v="1"/>
    <n v="0"/>
    <s v="Travel_Frequently"/>
    <n v="853"/>
    <x v="0"/>
    <n v="18"/>
    <n v="5"/>
    <x v="0"/>
    <n v="1"/>
    <n v="74"/>
    <n v="2"/>
    <x v="1"/>
    <n v="71"/>
    <n v="3"/>
    <x v="2"/>
    <x v="0"/>
    <n v="1"/>
    <x v="1"/>
    <n v="9069"/>
    <n v="11031"/>
    <n v="1"/>
    <s v="Y"/>
    <x v="1"/>
    <n v="22"/>
    <n v="4"/>
    <n v="4"/>
    <n v="80"/>
    <n v="1"/>
    <n v="9"/>
    <n v="3"/>
    <n v="2"/>
    <x v="7"/>
    <n v="8"/>
    <n v="1"/>
    <n v="8"/>
  </r>
  <r>
    <n v="35"/>
    <x v="1"/>
    <n v="0"/>
    <s v="Travel_Rarely"/>
    <n v="1142"/>
    <x v="1"/>
    <n v="23"/>
    <n v="4"/>
    <x v="2"/>
    <n v="1"/>
    <n v="75"/>
    <n v="3"/>
    <x v="0"/>
    <n v="30"/>
    <n v="3"/>
    <x v="1"/>
    <x v="2"/>
    <n v="1"/>
    <x v="1"/>
    <n v="4014"/>
    <n v="16002"/>
    <n v="3"/>
    <s v="Y"/>
    <x v="0"/>
    <n v="15"/>
    <n v="3"/>
    <n v="3"/>
    <n v="80"/>
    <n v="1"/>
    <n v="4"/>
    <n v="3"/>
    <n v="3"/>
    <x v="4"/>
    <n v="2"/>
    <n v="2"/>
    <n v="2"/>
  </r>
  <r>
    <n v="31"/>
    <x v="1"/>
    <n v="0"/>
    <s v="Travel_Rarely"/>
    <n v="655"/>
    <x v="1"/>
    <n v="7"/>
    <n v="4"/>
    <x v="0"/>
    <n v="1"/>
    <n v="76"/>
    <n v="4"/>
    <x v="1"/>
    <n v="48"/>
    <n v="3"/>
    <x v="0"/>
    <x v="2"/>
    <n v="4"/>
    <x v="2"/>
    <n v="5915"/>
    <n v="9528"/>
    <n v="3"/>
    <s v="Y"/>
    <x v="1"/>
    <n v="22"/>
    <n v="4"/>
    <n v="4"/>
    <n v="80"/>
    <n v="1"/>
    <n v="10"/>
    <n v="3"/>
    <n v="2"/>
    <x v="5"/>
    <n v="7"/>
    <n v="1"/>
    <n v="7"/>
  </r>
  <r>
    <n v="37"/>
    <x v="1"/>
    <n v="0"/>
    <s v="Travel_Rarely"/>
    <n v="1115"/>
    <x v="1"/>
    <n v="1"/>
    <n v="4"/>
    <x v="0"/>
    <n v="1"/>
    <n v="77"/>
    <n v="1"/>
    <x v="1"/>
    <n v="51"/>
    <n v="2"/>
    <x v="0"/>
    <x v="3"/>
    <n v="3"/>
    <x v="2"/>
    <n v="5993"/>
    <n v="2689"/>
    <n v="1"/>
    <s v="Y"/>
    <x v="1"/>
    <n v="18"/>
    <n v="3"/>
    <n v="3"/>
    <n v="80"/>
    <n v="1"/>
    <n v="7"/>
    <n v="2"/>
    <n v="4"/>
    <x v="5"/>
    <n v="5"/>
    <n v="0"/>
    <n v="7"/>
  </r>
  <r>
    <n v="32"/>
    <x v="1"/>
    <n v="0"/>
    <s v="Travel_Rarely"/>
    <n v="427"/>
    <x v="1"/>
    <n v="1"/>
    <n v="3"/>
    <x v="2"/>
    <n v="1"/>
    <n v="78"/>
    <n v="1"/>
    <x v="1"/>
    <n v="33"/>
    <n v="3"/>
    <x v="0"/>
    <x v="3"/>
    <n v="4"/>
    <x v="1"/>
    <n v="6162"/>
    <n v="10877"/>
    <n v="1"/>
    <s v="Y"/>
    <x v="0"/>
    <n v="22"/>
    <n v="4"/>
    <n v="2"/>
    <n v="80"/>
    <n v="1"/>
    <n v="9"/>
    <n v="3"/>
    <n v="3"/>
    <x v="7"/>
    <n v="8"/>
    <n v="7"/>
    <n v="8"/>
  </r>
  <r>
    <n v="38"/>
    <x v="1"/>
    <n v="0"/>
    <s v="Travel_Frequently"/>
    <n v="653"/>
    <x v="1"/>
    <n v="29"/>
    <n v="5"/>
    <x v="0"/>
    <n v="1"/>
    <n v="79"/>
    <n v="4"/>
    <x v="0"/>
    <n v="50"/>
    <n v="3"/>
    <x v="0"/>
    <x v="2"/>
    <n v="4"/>
    <x v="0"/>
    <n v="2406"/>
    <n v="5456"/>
    <n v="1"/>
    <s v="Y"/>
    <x v="1"/>
    <n v="11"/>
    <n v="3"/>
    <n v="4"/>
    <n v="80"/>
    <n v="0"/>
    <n v="10"/>
    <n v="2"/>
    <n v="3"/>
    <x v="1"/>
    <n v="3"/>
    <n v="9"/>
    <n v="9"/>
  </r>
  <r>
    <n v="50"/>
    <x v="1"/>
    <n v="0"/>
    <s v="Travel_Rarely"/>
    <n v="989"/>
    <x v="1"/>
    <n v="7"/>
    <n v="2"/>
    <x v="2"/>
    <n v="1"/>
    <n v="80"/>
    <n v="2"/>
    <x v="0"/>
    <n v="43"/>
    <n v="2"/>
    <x v="4"/>
    <x v="7"/>
    <n v="3"/>
    <x v="2"/>
    <n v="18740"/>
    <n v="16701"/>
    <n v="5"/>
    <s v="Y"/>
    <x v="0"/>
    <n v="12"/>
    <n v="3"/>
    <n v="4"/>
    <n v="80"/>
    <n v="1"/>
    <n v="29"/>
    <n v="2"/>
    <n v="2"/>
    <x v="16"/>
    <n v="3"/>
    <n v="13"/>
    <n v="8"/>
  </r>
  <r>
    <n v="59"/>
    <x v="1"/>
    <n v="0"/>
    <s v="Travel_Rarely"/>
    <n v="1435"/>
    <x v="0"/>
    <n v="25"/>
    <n v="3"/>
    <x v="0"/>
    <n v="1"/>
    <n v="81"/>
    <n v="1"/>
    <x v="0"/>
    <n v="99"/>
    <n v="3"/>
    <x v="2"/>
    <x v="0"/>
    <n v="1"/>
    <x v="0"/>
    <n v="7637"/>
    <n v="2354"/>
    <n v="7"/>
    <s v="Y"/>
    <x v="1"/>
    <n v="11"/>
    <n v="3"/>
    <n v="4"/>
    <n v="80"/>
    <n v="0"/>
    <n v="28"/>
    <n v="3"/>
    <n v="2"/>
    <x v="17"/>
    <n v="16"/>
    <n v="7"/>
    <n v="9"/>
  </r>
  <r>
    <n v="36"/>
    <x v="1"/>
    <n v="0"/>
    <s v="Travel_Rarely"/>
    <n v="1223"/>
    <x v="1"/>
    <n v="8"/>
    <n v="3"/>
    <x v="4"/>
    <n v="1"/>
    <n v="83"/>
    <n v="3"/>
    <x v="0"/>
    <n v="59"/>
    <n v="3"/>
    <x v="2"/>
    <x v="4"/>
    <n v="3"/>
    <x v="2"/>
    <n v="10096"/>
    <n v="8202"/>
    <n v="1"/>
    <s v="Y"/>
    <x v="1"/>
    <n v="13"/>
    <n v="3"/>
    <n v="2"/>
    <n v="80"/>
    <n v="3"/>
    <n v="17"/>
    <n v="2"/>
    <n v="3"/>
    <x v="18"/>
    <n v="14"/>
    <n v="12"/>
    <n v="8"/>
  </r>
  <r>
    <n v="55"/>
    <x v="1"/>
    <n v="0"/>
    <s v="Travel_Rarely"/>
    <n v="836"/>
    <x v="1"/>
    <n v="8"/>
    <n v="3"/>
    <x v="2"/>
    <n v="1"/>
    <n v="84"/>
    <n v="4"/>
    <x v="0"/>
    <n v="33"/>
    <n v="3"/>
    <x v="3"/>
    <x v="5"/>
    <n v="3"/>
    <x v="2"/>
    <n v="14756"/>
    <n v="19730"/>
    <n v="2"/>
    <s v="Y"/>
    <x v="0"/>
    <n v="14"/>
    <n v="3"/>
    <n v="3"/>
    <n v="80"/>
    <n v="3"/>
    <n v="21"/>
    <n v="2"/>
    <n v="3"/>
    <x v="8"/>
    <n v="0"/>
    <n v="0"/>
    <n v="2"/>
  </r>
  <r>
    <n v="36"/>
    <x v="1"/>
    <n v="0"/>
    <s v="Travel_Frequently"/>
    <n v="1195"/>
    <x v="1"/>
    <n v="11"/>
    <n v="3"/>
    <x v="0"/>
    <n v="1"/>
    <n v="85"/>
    <n v="2"/>
    <x v="1"/>
    <n v="95"/>
    <n v="2"/>
    <x v="0"/>
    <x v="3"/>
    <n v="2"/>
    <x v="0"/>
    <n v="6499"/>
    <n v="22656"/>
    <n v="1"/>
    <s v="Y"/>
    <x v="1"/>
    <n v="13"/>
    <n v="3"/>
    <n v="3"/>
    <n v="80"/>
    <n v="0"/>
    <n v="6"/>
    <n v="3"/>
    <n v="3"/>
    <x v="0"/>
    <n v="5"/>
    <n v="0"/>
    <n v="3"/>
  </r>
  <r>
    <n v="45"/>
    <x v="1"/>
    <n v="0"/>
    <s v="Travel_Rarely"/>
    <n v="1339"/>
    <x v="1"/>
    <n v="7"/>
    <n v="3"/>
    <x v="0"/>
    <n v="1"/>
    <n v="86"/>
    <n v="2"/>
    <x v="1"/>
    <n v="59"/>
    <n v="3"/>
    <x v="2"/>
    <x v="1"/>
    <n v="1"/>
    <x v="2"/>
    <n v="9724"/>
    <n v="18787"/>
    <n v="2"/>
    <s v="Y"/>
    <x v="1"/>
    <n v="17"/>
    <n v="3"/>
    <n v="3"/>
    <n v="80"/>
    <n v="1"/>
    <n v="25"/>
    <n v="2"/>
    <n v="3"/>
    <x v="6"/>
    <n v="0"/>
    <n v="0"/>
    <n v="0"/>
  </r>
  <r>
    <n v="35"/>
    <x v="1"/>
    <n v="0"/>
    <s v="Travel_Frequently"/>
    <n v="664"/>
    <x v="1"/>
    <n v="1"/>
    <n v="3"/>
    <x v="2"/>
    <n v="1"/>
    <n v="88"/>
    <n v="2"/>
    <x v="1"/>
    <n v="79"/>
    <n v="3"/>
    <x v="1"/>
    <x v="1"/>
    <n v="1"/>
    <x v="1"/>
    <n v="2194"/>
    <n v="5868"/>
    <n v="4"/>
    <s v="Y"/>
    <x v="1"/>
    <n v="13"/>
    <n v="3"/>
    <n v="4"/>
    <n v="80"/>
    <n v="1"/>
    <n v="5"/>
    <n v="2"/>
    <n v="2"/>
    <x v="11"/>
    <n v="2"/>
    <n v="1"/>
    <n v="2"/>
  </r>
  <r>
    <n v="36"/>
    <x v="0"/>
    <n v="1"/>
    <s v="Travel_Rarely"/>
    <n v="318"/>
    <x v="1"/>
    <n v="9"/>
    <n v="3"/>
    <x v="2"/>
    <n v="1"/>
    <n v="90"/>
    <n v="4"/>
    <x v="1"/>
    <n v="79"/>
    <n v="2"/>
    <x v="1"/>
    <x v="1"/>
    <n v="3"/>
    <x v="1"/>
    <n v="3388"/>
    <n v="21777"/>
    <n v="0"/>
    <s v="Y"/>
    <x v="0"/>
    <n v="17"/>
    <n v="3"/>
    <n v="1"/>
    <n v="80"/>
    <n v="1"/>
    <n v="2"/>
    <n v="0"/>
    <n v="2"/>
    <x v="6"/>
    <n v="0"/>
    <n v="0"/>
    <n v="0"/>
  </r>
  <r>
    <n v="59"/>
    <x v="1"/>
    <n v="0"/>
    <s v="Travel_Frequently"/>
    <n v="1225"/>
    <x v="0"/>
    <n v="1"/>
    <n v="1"/>
    <x v="0"/>
    <n v="1"/>
    <n v="91"/>
    <n v="1"/>
    <x v="0"/>
    <n v="57"/>
    <n v="2"/>
    <x v="0"/>
    <x v="0"/>
    <n v="3"/>
    <x v="0"/>
    <n v="5473"/>
    <n v="24668"/>
    <n v="7"/>
    <s v="Y"/>
    <x v="1"/>
    <n v="11"/>
    <n v="3"/>
    <n v="4"/>
    <n v="80"/>
    <n v="0"/>
    <n v="20"/>
    <n v="2"/>
    <n v="2"/>
    <x v="9"/>
    <n v="3"/>
    <n v="1"/>
    <n v="3"/>
  </r>
  <r>
    <n v="29"/>
    <x v="1"/>
    <n v="0"/>
    <s v="Travel_Rarely"/>
    <n v="1328"/>
    <x v="1"/>
    <n v="2"/>
    <n v="3"/>
    <x v="0"/>
    <n v="1"/>
    <n v="94"/>
    <n v="3"/>
    <x v="1"/>
    <n v="76"/>
    <n v="3"/>
    <x v="1"/>
    <x v="1"/>
    <n v="2"/>
    <x v="1"/>
    <n v="2703"/>
    <n v="4956"/>
    <n v="0"/>
    <s v="Y"/>
    <x v="1"/>
    <n v="23"/>
    <n v="4"/>
    <n v="4"/>
    <n v="80"/>
    <n v="1"/>
    <n v="6"/>
    <n v="3"/>
    <n v="3"/>
    <x v="8"/>
    <n v="4"/>
    <n v="0"/>
    <n v="4"/>
  </r>
  <r>
    <n v="31"/>
    <x v="1"/>
    <n v="0"/>
    <s v="Travel_Rarely"/>
    <n v="1082"/>
    <x v="1"/>
    <n v="1"/>
    <n v="4"/>
    <x v="2"/>
    <n v="1"/>
    <n v="95"/>
    <n v="3"/>
    <x v="1"/>
    <n v="87"/>
    <n v="3"/>
    <x v="1"/>
    <x v="1"/>
    <n v="2"/>
    <x v="0"/>
    <n v="2501"/>
    <n v="18775"/>
    <n v="1"/>
    <s v="Y"/>
    <x v="1"/>
    <n v="17"/>
    <n v="3"/>
    <n v="2"/>
    <n v="80"/>
    <n v="0"/>
    <n v="1"/>
    <n v="4"/>
    <n v="3"/>
    <x v="6"/>
    <n v="1"/>
    <n v="1"/>
    <n v="0"/>
  </r>
  <r>
    <n v="32"/>
    <x v="1"/>
    <n v="0"/>
    <s v="Travel_Rarely"/>
    <n v="548"/>
    <x v="1"/>
    <n v="1"/>
    <n v="3"/>
    <x v="0"/>
    <n v="1"/>
    <n v="96"/>
    <n v="2"/>
    <x v="1"/>
    <n v="66"/>
    <n v="3"/>
    <x v="0"/>
    <x v="1"/>
    <n v="2"/>
    <x v="1"/>
    <n v="6220"/>
    <n v="7346"/>
    <n v="1"/>
    <s v="Y"/>
    <x v="1"/>
    <n v="17"/>
    <n v="3"/>
    <n v="2"/>
    <n v="80"/>
    <n v="2"/>
    <n v="10"/>
    <n v="3"/>
    <n v="3"/>
    <x v="1"/>
    <n v="4"/>
    <n v="0"/>
    <n v="9"/>
  </r>
  <r>
    <n v="36"/>
    <x v="1"/>
    <n v="0"/>
    <s v="Travel_Rarely"/>
    <n v="132"/>
    <x v="1"/>
    <n v="6"/>
    <n v="3"/>
    <x v="0"/>
    <n v="1"/>
    <n v="97"/>
    <n v="2"/>
    <x v="0"/>
    <n v="55"/>
    <n v="4"/>
    <x v="1"/>
    <x v="2"/>
    <n v="4"/>
    <x v="1"/>
    <n v="3038"/>
    <n v="22002"/>
    <n v="3"/>
    <s v="Y"/>
    <x v="1"/>
    <n v="12"/>
    <n v="3"/>
    <n v="2"/>
    <n v="80"/>
    <n v="0"/>
    <n v="5"/>
    <n v="3"/>
    <n v="3"/>
    <x v="6"/>
    <n v="0"/>
    <n v="0"/>
    <n v="0"/>
  </r>
  <r>
    <n v="31"/>
    <x v="1"/>
    <n v="0"/>
    <s v="Travel_Rarely"/>
    <n v="746"/>
    <x v="1"/>
    <n v="8"/>
    <n v="4"/>
    <x v="0"/>
    <n v="1"/>
    <n v="98"/>
    <n v="3"/>
    <x v="0"/>
    <n v="61"/>
    <n v="3"/>
    <x v="0"/>
    <x v="3"/>
    <n v="4"/>
    <x v="0"/>
    <n v="4424"/>
    <n v="20682"/>
    <n v="1"/>
    <s v="Y"/>
    <x v="1"/>
    <n v="23"/>
    <n v="4"/>
    <n v="4"/>
    <n v="80"/>
    <n v="0"/>
    <n v="11"/>
    <n v="2"/>
    <n v="3"/>
    <x v="19"/>
    <n v="7"/>
    <n v="1"/>
    <n v="8"/>
  </r>
  <r>
    <n v="35"/>
    <x v="1"/>
    <n v="0"/>
    <s v="Travel_Rarely"/>
    <n v="776"/>
    <x v="0"/>
    <n v="1"/>
    <n v="4"/>
    <x v="3"/>
    <n v="1"/>
    <n v="100"/>
    <n v="3"/>
    <x v="1"/>
    <n v="32"/>
    <n v="2"/>
    <x v="0"/>
    <x v="0"/>
    <n v="1"/>
    <x v="0"/>
    <n v="4312"/>
    <n v="23016"/>
    <n v="0"/>
    <s v="Y"/>
    <x v="1"/>
    <n v="14"/>
    <n v="3"/>
    <n v="2"/>
    <n v="80"/>
    <n v="0"/>
    <n v="16"/>
    <n v="2"/>
    <n v="3"/>
    <x v="15"/>
    <n v="13"/>
    <n v="2"/>
    <n v="8"/>
  </r>
  <r>
    <n v="45"/>
    <x v="1"/>
    <n v="0"/>
    <s v="Travel_Rarely"/>
    <n v="193"/>
    <x v="1"/>
    <n v="6"/>
    <n v="4"/>
    <x v="1"/>
    <n v="1"/>
    <n v="101"/>
    <n v="4"/>
    <x v="1"/>
    <n v="52"/>
    <n v="3"/>
    <x v="2"/>
    <x v="7"/>
    <n v="1"/>
    <x v="1"/>
    <n v="13245"/>
    <n v="15067"/>
    <n v="4"/>
    <s v="Y"/>
    <x v="0"/>
    <n v="14"/>
    <n v="3"/>
    <n v="2"/>
    <n v="80"/>
    <n v="0"/>
    <n v="17"/>
    <n v="3"/>
    <n v="4"/>
    <x v="2"/>
    <n v="0"/>
    <n v="0"/>
    <n v="0"/>
  </r>
  <r>
    <n v="37"/>
    <x v="1"/>
    <n v="0"/>
    <s v="Travel_Rarely"/>
    <n v="397"/>
    <x v="1"/>
    <n v="7"/>
    <n v="4"/>
    <x v="2"/>
    <n v="1"/>
    <n v="102"/>
    <n v="1"/>
    <x v="1"/>
    <n v="30"/>
    <n v="3"/>
    <x v="2"/>
    <x v="7"/>
    <n v="3"/>
    <x v="0"/>
    <n v="13664"/>
    <n v="25258"/>
    <n v="4"/>
    <s v="Y"/>
    <x v="1"/>
    <n v="13"/>
    <n v="3"/>
    <n v="1"/>
    <n v="80"/>
    <n v="0"/>
    <n v="16"/>
    <n v="3"/>
    <n v="4"/>
    <x v="8"/>
    <n v="2"/>
    <n v="0"/>
    <n v="2"/>
  </r>
  <r>
    <n v="46"/>
    <x v="1"/>
    <n v="0"/>
    <s v="Travel_Rarely"/>
    <n v="945"/>
    <x v="2"/>
    <n v="5"/>
    <n v="2"/>
    <x v="2"/>
    <n v="1"/>
    <n v="103"/>
    <n v="2"/>
    <x v="1"/>
    <n v="80"/>
    <n v="3"/>
    <x v="0"/>
    <x v="8"/>
    <n v="2"/>
    <x v="2"/>
    <n v="5021"/>
    <n v="10425"/>
    <n v="8"/>
    <s v="Y"/>
    <x v="0"/>
    <n v="22"/>
    <n v="4"/>
    <n v="4"/>
    <n v="80"/>
    <n v="1"/>
    <n v="16"/>
    <n v="2"/>
    <n v="3"/>
    <x v="9"/>
    <n v="2"/>
    <n v="0"/>
    <n v="2"/>
  </r>
  <r>
    <n v="30"/>
    <x v="1"/>
    <n v="0"/>
    <s v="Travel_Rarely"/>
    <n v="852"/>
    <x v="1"/>
    <n v="1"/>
    <n v="1"/>
    <x v="0"/>
    <n v="1"/>
    <n v="104"/>
    <n v="4"/>
    <x v="1"/>
    <n v="55"/>
    <n v="2"/>
    <x v="0"/>
    <x v="2"/>
    <n v="4"/>
    <x v="1"/>
    <n v="5126"/>
    <n v="15998"/>
    <n v="1"/>
    <s v="Y"/>
    <x v="0"/>
    <n v="12"/>
    <n v="3"/>
    <n v="3"/>
    <n v="80"/>
    <n v="2"/>
    <n v="10"/>
    <n v="1"/>
    <n v="2"/>
    <x v="1"/>
    <n v="8"/>
    <n v="3"/>
    <n v="0"/>
  </r>
  <r>
    <n v="35"/>
    <x v="1"/>
    <n v="0"/>
    <s v="Travel_Rarely"/>
    <n v="1214"/>
    <x v="1"/>
    <n v="1"/>
    <n v="3"/>
    <x v="2"/>
    <n v="1"/>
    <n v="105"/>
    <n v="2"/>
    <x v="1"/>
    <n v="30"/>
    <n v="2"/>
    <x v="1"/>
    <x v="1"/>
    <n v="3"/>
    <x v="0"/>
    <n v="2859"/>
    <n v="26278"/>
    <n v="1"/>
    <s v="Y"/>
    <x v="1"/>
    <n v="18"/>
    <n v="3"/>
    <n v="1"/>
    <n v="80"/>
    <n v="0"/>
    <n v="6"/>
    <n v="3"/>
    <n v="3"/>
    <x v="0"/>
    <n v="4"/>
    <n v="0"/>
    <n v="4"/>
  </r>
  <r>
    <n v="55"/>
    <x v="1"/>
    <n v="0"/>
    <s v="Travel_Rarely"/>
    <n v="111"/>
    <x v="0"/>
    <n v="1"/>
    <n v="2"/>
    <x v="0"/>
    <n v="1"/>
    <n v="106"/>
    <n v="1"/>
    <x v="1"/>
    <n v="70"/>
    <n v="3"/>
    <x v="2"/>
    <x v="0"/>
    <n v="4"/>
    <x v="1"/>
    <n v="10239"/>
    <n v="18092"/>
    <n v="3"/>
    <s v="Y"/>
    <x v="1"/>
    <n v="14"/>
    <n v="3"/>
    <n v="4"/>
    <n v="80"/>
    <n v="1"/>
    <n v="24"/>
    <n v="4"/>
    <n v="3"/>
    <x v="6"/>
    <n v="0"/>
    <n v="1"/>
    <n v="0"/>
  </r>
  <r>
    <n v="38"/>
    <x v="1"/>
    <n v="0"/>
    <s v="Non-Travel"/>
    <n v="573"/>
    <x v="1"/>
    <n v="6"/>
    <n v="3"/>
    <x v="2"/>
    <n v="1"/>
    <n v="107"/>
    <n v="2"/>
    <x v="0"/>
    <n v="79"/>
    <n v="1"/>
    <x v="0"/>
    <x v="1"/>
    <n v="4"/>
    <x v="2"/>
    <n v="5329"/>
    <n v="15717"/>
    <n v="7"/>
    <s v="Y"/>
    <x v="0"/>
    <n v="12"/>
    <n v="3"/>
    <n v="4"/>
    <n v="80"/>
    <n v="3"/>
    <n v="17"/>
    <n v="3"/>
    <n v="3"/>
    <x v="20"/>
    <n v="11"/>
    <n v="1"/>
    <n v="9"/>
  </r>
  <r>
    <n v="34"/>
    <x v="1"/>
    <n v="0"/>
    <s v="Travel_Rarely"/>
    <n v="1153"/>
    <x v="1"/>
    <n v="1"/>
    <n v="2"/>
    <x v="2"/>
    <n v="1"/>
    <n v="110"/>
    <n v="1"/>
    <x v="1"/>
    <n v="94"/>
    <n v="3"/>
    <x v="0"/>
    <x v="3"/>
    <n v="2"/>
    <x v="1"/>
    <n v="4325"/>
    <n v="17736"/>
    <n v="1"/>
    <s v="Y"/>
    <x v="1"/>
    <n v="15"/>
    <n v="3"/>
    <n v="3"/>
    <n v="80"/>
    <n v="0"/>
    <n v="5"/>
    <n v="2"/>
    <n v="3"/>
    <x v="8"/>
    <n v="2"/>
    <n v="1"/>
    <n v="3"/>
  </r>
  <r>
    <n v="56"/>
    <x v="1"/>
    <n v="0"/>
    <s v="Travel_Rarely"/>
    <n v="1400"/>
    <x v="1"/>
    <n v="7"/>
    <n v="3"/>
    <x v="0"/>
    <n v="1"/>
    <n v="112"/>
    <n v="4"/>
    <x v="1"/>
    <n v="49"/>
    <n v="1"/>
    <x v="2"/>
    <x v="3"/>
    <n v="4"/>
    <x v="0"/>
    <n v="7260"/>
    <n v="21698"/>
    <n v="4"/>
    <s v="Y"/>
    <x v="1"/>
    <n v="11"/>
    <n v="3"/>
    <n v="1"/>
    <n v="80"/>
    <n v="0"/>
    <n v="37"/>
    <n v="3"/>
    <n v="2"/>
    <x v="0"/>
    <n v="4"/>
    <n v="0"/>
    <n v="2"/>
  </r>
  <r>
    <n v="23"/>
    <x v="1"/>
    <n v="0"/>
    <s v="Travel_Rarely"/>
    <n v="541"/>
    <x v="0"/>
    <n v="2"/>
    <n v="1"/>
    <x v="4"/>
    <n v="1"/>
    <n v="113"/>
    <n v="3"/>
    <x v="1"/>
    <n v="62"/>
    <n v="3"/>
    <x v="1"/>
    <x v="6"/>
    <n v="1"/>
    <x v="2"/>
    <n v="2322"/>
    <n v="9518"/>
    <n v="3"/>
    <s v="Y"/>
    <x v="1"/>
    <n v="13"/>
    <n v="3"/>
    <n v="3"/>
    <n v="80"/>
    <n v="1"/>
    <n v="3"/>
    <n v="3"/>
    <n v="3"/>
    <x v="2"/>
    <n v="0"/>
    <n v="0"/>
    <n v="0"/>
  </r>
  <r>
    <n v="51"/>
    <x v="1"/>
    <n v="0"/>
    <s v="Travel_Rarely"/>
    <n v="432"/>
    <x v="1"/>
    <n v="9"/>
    <n v="4"/>
    <x v="0"/>
    <n v="1"/>
    <n v="116"/>
    <n v="4"/>
    <x v="1"/>
    <n v="96"/>
    <n v="3"/>
    <x v="1"/>
    <x v="2"/>
    <n v="4"/>
    <x v="1"/>
    <n v="2075"/>
    <n v="18725"/>
    <n v="3"/>
    <s v="Y"/>
    <x v="1"/>
    <n v="23"/>
    <n v="4"/>
    <n v="2"/>
    <n v="80"/>
    <n v="2"/>
    <n v="10"/>
    <n v="4"/>
    <n v="3"/>
    <x v="9"/>
    <n v="2"/>
    <n v="0"/>
    <n v="3"/>
  </r>
  <r>
    <n v="30"/>
    <x v="1"/>
    <n v="0"/>
    <s v="Travel_Rarely"/>
    <n v="288"/>
    <x v="1"/>
    <n v="2"/>
    <n v="3"/>
    <x v="0"/>
    <n v="1"/>
    <n v="117"/>
    <n v="3"/>
    <x v="1"/>
    <n v="99"/>
    <n v="2"/>
    <x v="0"/>
    <x v="4"/>
    <n v="4"/>
    <x v="1"/>
    <n v="4152"/>
    <n v="15830"/>
    <n v="1"/>
    <s v="Y"/>
    <x v="1"/>
    <n v="19"/>
    <n v="3"/>
    <n v="1"/>
    <n v="80"/>
    <n v="3"/>
    <n v="11"/>
    <n v="3"/>
    <n v="3"/>
    <x v="19"/>
    <n v="10"/>
    <n v="10"/>
    <n v="8"/>
  </r>
  <r>
    <n v="46"/>
    <x v="0"/>
    <n v="1"/>
    <s v="Travel_Rarely"/>
    <n v="669"/>
    <x v="0"/>
    <n v="9"/>
    <n v="2"/>
    <x v="2"/>
    <n v="1"/>
    <n v="118"/>
    <n v="3"/>
    <x v="1"/>
    <n v="64"/>
    <n v="2"/>
    <x v="2"/>
    <x v="0"/>
    <n v="4"/>
    <x v="0"/>
    <n v="9619"/>
    <n v="13596"/>
    <n v="1"/>
    <s v="Y"/>
    <x v="1"/>
    <n v="16"/>
    <n v="3"/>
    <n v="4"/>
    <n v="80"/>
    <n v="0"/>
    <n v="9"/>
    <n v="3"/>
    <n v="3"/>
    <x v="7"/>
    <n v="8"/>
    <n v="4"/>
    <n v="7"/>
  </r>
  <r>
    <n v="40"/>
    <x v="1"/>
    <n v="0"/>
    <s v="Travel_Frequently"/>
    <n v="530"/>
    <x v="1"/>
    <n v="1"/>
    <n v="4"/>
    <x v="0"/>
    <n v="1"/>
    <n v="119"/>
    <n v="3"/>
    <x v="1"/>
    <n v="78"/>
    <n v="2"/>
    <x v="3"/>
    <x v="4"/>
    <n v="2"/>
    <x v="1"/>
    <n v="13503"/>
    <n v="14115"/>
    <n v="1"/>
    <s v="Y"/>
    <x v="1"/>
    <n v="22"/>
    <n v="4"/>
    <n v="4"/>
    <n v="80"/>
    <n v="1"/>
    <n v="22"/>
    <n v="3"/>
    <n v="2"/>
    <x v="14"/>
    <n v="3"/>
    <n v="11"/>
    <n v="11"/>
  </r>
  <r>
    <n v="51"/>
    <x v="1"/>
    <n v="0"/>
    <s v="Travel_Rarely"/>
    <n v="632"/>
    <x v="0"/>
    <n v="21"/>
    <n v="4"/>
    <x v="3"/>
    <n v="1"/>
    <n v="120"/>
    <n v="3"/>
    <x v="1"/>
    <n v="71"/>
    <n v="3"/>
    <x v="0"/>
    <x v="0"/>
    <n v="4"/>
    <x v="0"/>
    <n v="5441"/>
    <n v="8423"/>
    <n v="0"/>
    <s v="Y"/>
    <x v="0"/>
    <n v="22"/>
    <n v="4"/>
    <n v="4"/>
    <n v="80"/>
    <n v="0"/>
    <n v="11"/>
    <n v="2"/>
    <n v="1"/>
    <x v="1"/>
    <n v="7"/>
    <n v="1"/>
    <n v="0"/>
  </r>
  <r>
    <n v="30"/>
    <x v="1"/>
    <n v="0"/>
    <s v="Travel_Rarely"/>
    <n v="1334"/>
    <x v="0"/>
    <n v="4"/>
    <n v="2"/>
    <x v="2"/>
    <n v="1"/>
    <n v="121"/>
    <n v="3"/>
    <x v="0"/>
    <n v="63"/>
    <n v="2"/>
    <x v="0"/>
    <x v="0"/>
    <n v="2"/>
    <x v="2"/>
    <n v="5209"/>
    <n v="19760"/>
    <n v="1"/>
    <s v="Y"/>
    <x v="0"/>
    <n v="12"/>
    <n v="3"/>
    <n v="2"/>
    <n v="80"/>
    <n v="3"/>
    <n v="11"/>
    <n v="4"/>
    <n v="2"/>
    <x v="19"/>
    <n v="8"/>
    <n v="2"/>
    <n v="7"/>
  </r>
  <r>
    <n v="46"/>
    <x v="1"/>
    <n v="0"/>
    <s v="Travel_Frequently"/>
    <n v="638"/>
    <x v="1"/>
    <n v="1"/>
    <n v="3"/>
    <x v="2"/>
    <n v="1"/>
    <n v="124"/>
    <n v="3"/>
    <x v="1"/>
    <n v="40"/>
    <n v="2"/>
    <x v="2"/>
    <x v="4"/>
    <n v="1"/>
    <x v="1"/>
    <n v="10673"/>
    <n v="3142"/>
    <n v="2"/>
    <s v="Y"/>
    <x v="0"/>
    <n v="13"/>
    <n v="3"/>
    <n v="3"/>
    <n v="80"/>
    <n v="1"/>
    <n v="21"/>
    <n v="5"/>
    <n v="2"/>
    <x v="1"/>
    <n v="9"/>
    <n v="9"/>
    <n v="5"/>
  </r>
  <r>
    <n v="32"/>
    <x v="1"/>
    <n v="0"/>
    <s v="Travel_Rarely"/>
    <n v="1093"/>
    <x v="0"/>
    <n v="6"/>
    <n v="4"/>
    <x v="2"/>
    <n v="1"/>
    <n v="125"/>
    <n v="2"/>
    <x v="1"/>
    <n v="87"/>
    <n v="3"/>
    <x v="0"/>
    <x v="0"/>
    <n v="3"/>
    <x v="0"/>
    <n v="5010"/>
    <n v="24301"/>
    <n v="1"/>
    <s v="Y"/>
    <x v="1"/>
    <n v="16"/>
    <n v="3"/>
    <n v="1"/>
    <n v="80"/>
    <n v="0"/>
    <n v="12"/>
    <n v="0"/>
    <n v="3"/>
    <x v="19"/>
    <n v="8"/>
    <n v="5"/>
    <n v="7"/>
  </r>
  <r>
    <n v="54"/>
    <x v="1"/>
    <n v="0"/>
    <s v="Travel_Rarely"/>
    <n v="1217"/>
    <x v="1"/>
    <n v="2"/>
    <n v="4"/>
    <x v="4"/>
    <n v="1"/>
    <n v="126"/>
    <n v="1"/>
    <x v="0"/>
    <n v="60"/>
    <n v="3"/>
    <x v="2"/>
    <x v="7"/>
    <n v="3"/>
    <x v="1"/>
    <n v="13549"/>
    <n v="24001"/>
    <n v="9"/>
    <s v="Y"/>
    <x v="1"/>
    <n v="12"/>
    <n v="3"/>
    <n v="1"/>
    <n v="80"/>
    <n v="1"/>
    <n v="16"/>
    <n v="5"/>
    <n v="1"/>
    <x v="9"/>
    <n v="3"/>
    <n v="0"/>
    <n v="3"/>
  </r>
  <r>
    <n v="24"/>
    <x v="1"/>
    <n v="0"/>
    <s v="Travel_Rarely"/>
    <n v="1353"/>
    <x v="0"/>
    <n v="3"/>
    <n v="2"/>
    <x v="1"/>
    <n v="1"/>
    <n v="128"/>
    <n v="1"/>
    <x v="0"/>
    <n v="33"/>
    <n v="3"/>
    <x v="0"/>
    <x v="0"/>
    <n v="3"/>
    <x v="1"/>
    <n v="4999"/>
    <n v="17519"/>
    <n v="0"/>
    <s v="Y"/>
    <x v="1"/>
    <n v="21"/>
    <n v="4"/>
    <n v="1"/>
    <n v="80"/>
    <n v="1"/>
    <n v="4"/>
    <n v="2"/>
    <n v="2"/>
    <x v="11"/>
    <n v="2"/>
    <n v="0"/>
    <n v="2"/>
  </r>
  <r>
    <n v="28"/>
    <x v="1"/>
    <n v="0"/>
    <s v="Non-Travel"/>
    <n v="120"/>
    <x v="0"/>
    <n v="4"/>
    <n v="3"/>
    <x v="2"/>
    <n v="1"/>
    <n v="129"/>
    <n v="2"/>
    <x v="1"/>
    <n v="43"/>
    <n v="3"/>
    <x v="0"/>
    <x v="0"/>
    <n v="3"/>
    <x v="1"/>
    <n v="4221"/>
    <n v="8863"/>
    <n v="1"/>
    <s v="Y"/>
    <x v="1"/>
    <n v="15"/>
    <n v="3"/>
    <n v="2"/>
    <n v="80"/>
    <n v="0"/>
    <n v="5"/>
    <n v="3"/>
    <n v="4"/>
    <x v="8"/>
    <n v="4"/>
    <n v="0"/>
    <n v="4"/>
  </r>
  <r>
    <n v="58"/>
    <x v="1"/>
    <n v="0"/>
    <s v="Travel_Rarely"/>
    <n v="682"/>
    <x v="0"/>
    <n v="10"/>
    <n v="4"/>
    <x v="2"/>
    <n v="1"/>
    <n v="131"/>
    <n v="4"/>
    <x v="1"/>
    <n v="37"/>
    <n v="3"/>
    <x v="3"/>
    <x v="0"/>
    <n v="3"/>
    <x v="0"/>
    <n v="13872"/>
    <n v="24409"/>
    <n v="0"/>
    <s v="Y"/>
    <x v="1"/>
    <n v="13"/>
    <n v="3"/>
    <n v="3"/>
    <n v="80"/>
    <n v="0"/>
    <n v="38"/>
    <n v="1"/>
    <n v="2"/>
    <x v="21"/>
    <n v="10"/>
    <n v="1"/>
    <n v="8"/>
  </r>
  <r>
    <n v="44"/>
    <x v="1"/>
    <n v="0"/>
    <s v="Non-Travel"/>
    <n v="489"/>
    <x v="1"/>
    <n v="23"/>
    <n v="3"/>
    <x v="2"/>
    <n v="1"/>
    <n v="132"/>
    <n v="2"/>
    <x v="1"/>
    <n v="67"/>
    <n v="3"/>
    <x v="0"/>
    <x v="2"/>
    <n v="2"/>
    <x v="1"/>
    <n v="2042"/>
    <n v="25043"/>
    <n v="4"/>
    <s v="Y"/>
    <x v="1"/>
    <n v="12"/>
    <n v="3"/>
    <n v="3"/>
    <n v="80"/>
    <n v="1"/>
    <n v="17"/>
    <n v="3"/>
    <n v="4"/>
    <x v="11"/>
    <n v="2"/>
    <n v="1"/>
    <n v="2"/>
  </r>
  <r>
    <n v="37"/>
    <x v="0"/>
    <n v="1"/>
    <s v="Travel_Rarely"/>
    <n v="807"/>
    <x v="2"/>
    <n v="6"/>
    <n v="4"/>
    <x v="5"/>
    <n v="1"/>
    <n v="133"/>
    <n v="3"/>
    <x v="1"/>
    <n v="63"/>
    <n v="3"/>
    <x v="1"/>
    <x v="8"/>
    <n v="1"/>
    <x v="2"/>
    <n v="2073"/>
    <n v="23648"/>
    <n v="4"/>
    <s v="Y"/>
    <x v="0"/>
    <n v="22"/>
    <n v="4"/>
    <n v="4"/>
    <n v="80"/>
    <n v="0"/>
    <n v="7"/>
    <n v="3"/>
    <n v="3"/>
    <x v="11"/>
    <n v="2"/>
    <n v="0"/>
    <n v="2"/>
  </r>
  <r>
    <n v="32"/>
    <x v="1"/>
    <n v="0"/>
    <s v="Travel_Rarely"/>
    <n v="827"/>
    <x v="1"/>
    <n v="1"/>
    <n v="1"/>
    <x v="0"/>
    <n v="1"/>
    <n v="134"/>
    <n v="4"/>
    <x v="1"/>
    <n v="71"/>
    <n v="3"/>
    <x v="1"/>
    <x v="1"/>
    <n v="1"/>
    <x v="0"/>
    <n v="2956"/>
    <n v="15178"/>
    <n v="1"/>
    <s v="Y"/>
    <x v="1"/>
    <n v="13"/>
    <n v="3"/>
    <n v="4"/>
    <n v="80"/>
    <n v="0"/>
    <n v="1"/>
    <n v="2"/>
    <n v="3"/>
    <x v="6"/>
    <n v="0"/>
    <n v="0"/>
    <n v="0"/>
  </r>
  <r>
    <n v="20"/>
    <x v="0"/>
    <n v="1"/>
    <s v="Travel_Frequently"/>
    <n v="871"/>
    <x v="1"/>
    <n v="6"/>
    <n v="3"/>
    <x v="0"/>
    <n v="1"/>
    <n v="137"/>
    <n v="4"/>
    <x v="0"/>
    <n v="66"/>
    <n v="2"/>
    <x v="1"/>
    <x v="2"/>
    <n v="4"/>
    <x v="0"/>
    <n v="2926"/>
    <n v="19783"/>
    <n v="1"/>
    <s v="Y"/>
    <x v="0"/>
    <n v="18"/>
    <n v="3"/>
    <n v="2"/>
    <n v="80"/>
    <n v="0"/>
    <n v="1"/>
    <n v="5"/>
    <n v="3"/>
    <x v="6"/>
    <n v="0"/>
    <n v="1"/>
    <n v="0"/>
  </r>
  <r>
    <n v="34"/>
    <x v="1"/>
    <n v="0"/>
    <s v="Travel_Rarely"/>
    <n v="665"/>
    <x v="1"/>
    <n v="6"/>
    <n v="4"/>
    <x v="1"/>
    <n v="1"/>
    <n v="138"/>
    <n v="1"/>
    <x v="0"/>
    <n v="41"/>
    <n v="3"/>
    <x v="0"/>
    <x v="1"/>
    <n v="3"/>
    <x v="0"/>
    <n v="4809"/>
    <n v="12482"/>
    <n v="1"/>
    <s v="Y"/>
    <x v="1"/>
    <n v="14"/>
    <n v="3"/>
    <n v="3"/>
    <n v="80"/>
    <n v="0"/>
    <n v="16"/>
    <n v="3"/>
    <n v="3"/>
    <x v="22"/>
    <n v="13"/>
    <n v="2"/>
    <n v="10"/>
  </r>
  <r>
    <n v="37"/>
    <x v="1"/>
    <n v="0"/>
    <s v="Non-Travel"/>
    <n v="1040"/>
    <x v="1"/>
    <n v="2"/>
    <n v="2"/>
    <x v="0"/>
    <n v="1"/>
    <n v="139"/>
    <n v="3"/>
    <x v="1"/>
    <n v="100"/>
    <n v="2"/>
    <x v="0"/>
    <x v="4"/>
    <n v="4"/>
    <x v="2"/>
    <n v="5163"/>
    <n v="15850"/>
    <n v="5"/>
    <s v="Y"/>
    <x v="1"/>
    <n v="14"/>
    <n v="3"/>
    <n v="4"/>
    <n v="80"/>
    <n v="1"/>
    <n v="17"/>
    <n v="2"/>
    <n v="4"/>
    <x v="6"/>
    <n v="0"/>
    <n v="0"/>
    <n v="0"/>
  </r>
  <r>
    <n v="59"/>
    <x v="1"/>
    <n v="0"/>
    <s v="Non-Travel"/>
    <n v="1420"/>
    <x v="2"/>
    <n v="2"/>
    <n v="4"/>
    <x v="5"/>
    <n v="1"/>
    <n v="140"/>
    <n v="3"/>
    <x v="0"/>
    <n v="32"/>
    <n v="2"/>
    <x v="4"/>
    <x v="5"/>
    <n v="4"/>
    <x v="1"/>
    <n v="18844"/>
    <n v="21922"/>
    <n v="9"/>
    <s v="Y"/>
    <x v="1"/>
    <n v="21"/>
    <n v="4"/>
    <n v="4"/>
    <n v="80"/>
    <n v="1"/>
    <n v="30"/>
    <n v="3"/>
    <n v="3"/>
    <x v="11"/>
    <n v="2"/>
    <n v="2"/>
    <n v="2"/>
  </r>
  <r>
    <n v="50"/>
    <x v="1"/>
    <n v="0"/>
    <s v="Travel_Frequently"/>
    <n v="1115"/>
    <x v="1"/>
    <n v="1"/>
    <n v="3"/>
    <x v="0"/>
    <n v="1"/>
    <n v="141"/>
    <n v="1"/>
    <x v="0"/>
    <n v="73"/>
    <n v="3"/>
    <x v="4"/>
    <x v="7"/>
    <n v="2"/>
    <x v="1"/>
    <n v="18172"/>
    <n v="9755"/>
    <n v="3"/>
    <s v="Y"/>
    <x v="0"/>
    <n v="19"/>
    <n v="3"/>
    <n v="1"/>
    <n v="80"/>
    <n v="0"/>
    <n v="28"/>
    <n v="1"/>
    <n v="2"/>
    <x v="3"/>
    <n v="3"/>
    <n v="0"/>
    <n v="7"/>
  </r>
  <r>
    <n v="25"/>
    <x v="0"/>
    <n v="1"/>
    <s v="Travel_Rarely"/>
    <n v="240"/>
    <x v="0"/>
    <n v="5"/>
    <n v="3"/>
    <x v="3"/>
    <n v="1"/>
    <n v="142"/>
    <n v="3"/>
    <x v="1"/>
    <n v="46"/>
    <n v="2"/>
    <x v="0"/>
    <x v="0"/>
    <n v="3"/>
    <x v="0"/>
    <n v="5744"/>
    <n v="26959"/>
    <n v="1"/>
    <s v="Y"/>
    <x v="0"/>
    <n v="11"/>
    <n v="3"/>
    <n v="4"/>
    <n v="80"/>
    <n v="0"/>
    <n v="6"/>
    <n v="1"/>
    <n v="3"/>
    <x v="0"/>
    <n v="4"/>
    <n v="0"/>
    <n v="3"/>
  </r>
  <r>
    <n v="25"/>
    <x v="1"/>
    <n v="0"/>
    <s v="Travel_Rarely"/>
    <n v="1280"/>
    <x v="1"/>
    <n v="7"/>
    <n v="1"/>
    <x v="2"/>
    <n v="1"/>
    <n v="143"/>
    <n v="4"/>
    <x v="1"/>
    <n v="64"/>
    <n v="2"/>
    <x v="1"/>
    <x v="1"/>
    <n v="4"/>
    <x v="1"/>
    <n v="2889"/>
    <n v="26897"/>
    <n v="1"/>
    <s v="Y"/>
    <x v="1"/>
    <n v="11"/>
    <n v="3"/>
    <n v="3"/>
    <n v="80"/>
    <n v="2"/>
    <n v="2"/>
    <n v="2"/>
    <n v="3"/>
    <x v="4"/>
    <n v="2"/>
    <n v="2"/>
    <n v="1"/>
  </r>
  <r>
    <n v="22"/>
    <x v="1"/>
    <n v="0"/>
    <s v="Travel_Rarely"/>
    <n v="534"/>
    <x v="1"/>
    <n v="15"/>
    <n v="3"/>
    <x v="2"/>
    <n v="1"/>
    <n v="144"/>
    <n v="2"/>
    <x v="0"/>
    <n v="59"/>
    <n v="3"/>
    <x v="1"/>
    <x v="2"/>
    <n v="4"/>
    <x v="0"/>
    <n v="2871"/>
    <n v="23785"/>
    <n v="1"/>
    <s v="Y"/>
    <x v="1"/>
    <n v="15"/>
    <n v="3"/>
    <n v="3"/>
    <n v="80"/>
    <n v="0"/>
    <n v="1"/>
    <n v="5"/>
    <n v="3"/>
    <x v="2"/>
    <n v="0"/>
    <n v="0"/>
    <n v="0"/>
  </r>
  <r>
    <n v="51"/>
    <x v="1"/>
    <n v="0"/>
    <s v="Travel_Frequently"/>
    <n v="1456"/>
    <x v="1"/>
    <n v="1"/>
    <n v="4"/>
    <x v="2"/>
    <n v="1"/>
    <n v="145"/>
    <n v="1"/>
    <x v="0"/>
    <n v="30"/>
    <n v="2"/>
    <x v="2"/>
    <x v="4"/>
    <n v="1"/>
    <x v="0"/>
    <n v="7484"/>
    <n v="25796"/>
    <n v="3"/>
    <s v="Y"/>
    <x v="1"/>
    <n v="20"/>
    <n v="4"/>
    <n v="3"/>
    <n v="80"/>
    <n v="0"/>
    <n v="23"/>
    <n v="1"/>
    <n v="2"/>
    <x v="20"/>
    <n v="12"/>
    <n v="12"/>
    <n v="8"/>
  </r>
  <r>
    <n v="34"/>
    <x v="0"/>
    <n v="1"/>
    <s v="Travel_Frequently"/>
    <n v="658"/>
    <x v="1"/>
    <n v="7"/>
    <n v="3"/>
    <x v="0"/>
    <n v="1"/>
    <n v="147"/>
    <n v="1"/>
    <x v="1"/>
    <n v="66"/>
    <n v="1"/>
    <x v="0"/>
    <x v="2"/>
    <n v="3"/>
    <x v="0"/>
    <n v="6074"/>
    <n v="22887"/>
    <n v="1"/>
    <s v="Y"/>
    <x v="0"/>
    <n v="24"/>
    <n v="4"/>
    <n v="4"/>
    <n v="80"/>
    <n v="0"/>
    <n v="9"/>
    <n v="3"/>
    <n v="3"/>
    <x v="7"/>
    <n v="7"/>
    <n v="0"/>
    <n v="6"/>
  </r>
  <r>
    <n v="54"/>
    <x v="1"/>
    <n v="0"/>
    <s v="Non-Travel"/>
    <n v="142"/>
    <x v="2"/>
    <n v="26"/>
    <n v="3"/>
    <x v="5"/>
    <n v="1"/>
    <n v="148"/>
    <n v="4"/>
    <x v="0"/>
    <n v="30"/>
    <n v="4"/>
    <x v="3"/>
    <x v="5"/>
    <n v="4"/>
    <x v="0"/>
    <n v="17328"/>
    <n v="13871"/>
    <n v="2"/>
    <s v="Y"/>
    <x v="0"/>
    <n v="12"/>
    <n v="3"/>
    <n v="3"/>
    <n v="80"/>
    <n v="0"/>
    <n v="23"/>
    <n v="3"/>
    <n v="3"/>
    <x v="8"/>
    <n v="3"/>
    <n v="4"/>
    <n v="4"/>
  </r>
  <r>
    <n v="24"/>
    <x v="1"/>
    <n v="0"/>
    <s v="Travel_Rarely"/>
    <n v="1127"/>
    <x v="1"/>
    <n v="18"/>
    <n v="1"/>
    <x v="0"/>
    <n v="1"/>
    <n v="150"/>
    <n v="2"/>
    <x v="1"/>
    <n v="52"/>
    <n v="3"/>
    <x v="1"/>
    <x v="2"/>
    <n v="3"/>
    <x v="1"/>
    <n v="2774"/>
    <n v="13257"/>
    <n v="0"/>
    <s v="Y"/>
    <x v="1"/>
    <n v="12"/>
    <n v="3"/>
    <n v="3"/>
    <n v="80"/>
    <n v="1"/>
    <n v="6"/>
    <n v="2"/>
    <n v="3"/>
    <x v="8"/>
    <n v="3"/>
    <n v="1"/>
    <n v="2"/>
  </r>
  <r>
    <n v="34"/>
    <x v="1"/>
    <n v="0"/>
    <s v="Travel_Rarely"/>
    <n v="1031"/>
    <x v="1"/>
    <n v="6"/>
    <n v="4"/>
    <x v="0"/>
    <n v="1"/>
    <n v="151"/>
    <n v="3"/>
    <x v="0"/>
    <n v="45"/>
    <n v="2"/>
    <x v="0"/>
    <x v="1"/>
    <n v="2"/>
    <x v="2"/>
    <n v="4505"/>
    <n v="15000"/>
    <n v="6"/>
    <s v="Y"/>
    <x v="1"/>
    <n v="15"/>
    <n v="3"/>
    <n v="3"/>
    <n v="80"/>
    <n v="1"/>
    <n v="12"/>
    <n v="3"/>
    <n v="3"/>
    <x v="6"/>
    <n v="0"/>
    <n v="0"/>
    <n v="0"/>
  </r>
  <r>
    <n v="37"/>
    <x v="1"/>
    <n v="0"/>
    <s v="Travel_Rarely"/>
    <n v="1189"/>
    <x v="0"/>
    <n v="3"/>
    <n v="3"/>
    <x v="0"/>
    <n v="1"/>
    <n v="152"/>
    <n v="3"/>
    <x v="1"/>
    <n v="87"/>
    <n v="3"/>
    <x v="2"/>
    <x v="0"/>
    <n v="4"/>
    <x v="0"/>
    <n v="7428"/>
    <n v="14506"/>
    <n v="2"/>
    <s v="Y"/>
    <x v="1"/>
    <n v="12"/>
    <n v="3"/>
    <n v="1"/>
    <n v="80"/>
    <n v="0"/>
    <n v="12"/>
    <n v="3"/>
    <n v="3"/>
    <x v="8"/>
    <n v="3"/>
    <n v="1"/>
    <n v="3"/>
  </r>
  <r>
    <n v="34"/>
    <x v="1"/>
    <n v="0"/>
    <s v="Travel_Rarely"/>
    <n v="1354"/>
    <x v="1"/>
    <n v="5"/>
    <n v="3"/>
    <x v="2"/>
    <n v="1"/>
    <n v="153"/>
    <n v="3"/>
    <x v="0"/>
    <n v="45"/>
    <n v="2"/>
    <x v="2"/>
    <x v="5"/>
    <n v="1"/>
    <x v="0"/>
    <n v="11631"/>
    <n v="5615"/>
    <n v="2"/>
    <s v="Y"/>
    <x v="1"/>
    <n v="12"/>
    <n v="3"/>
    <n v="4"/>
    <n v="80"/>
    <n v="0"/>
    <n v="14"/>
    <n v="6"/>
    <n v="3"/>
    <x v="19"/>
    <n v="10"/>
    <n v="5"/>
    <n v="8"/>
  </r>
  <r>
    <n v="36"/>
    <x v="1"/>
    <n v="0"/>
    <s v="Travel_Frequently"/>
    <n v="1467"/>
    <x v="0"/>
    <n v="11"/>
    <n v="2"/>
    <x v="4"/>
    <n v="1"/>
    <n v="154"/>
    <n v="2"/>
    <x v="0"/>
    <n v="92"/>
    <n v="3"/>
    <x v="2"/>
    <x v="0"/>
    <n v="4"/>
    <x v="1"/>
    <n v="9738"/>
    <n v="22952"/>
    <n v="0"/>
    <s v="Y"/>
    <x v="1"/>
    <n v="14"/>
    <n v="3"/>
    <n v="3"/>
    <n v="80"/>
    <n v="1"/>
    <n v="10"/>
    <n v="6"/>
    <n v="3"/>
    <x v="7"/>
    <n v="7"/>
    <n v="2"/>
    <n v="8"/>
  </r>
  <r>
    <n v="36"/>
    <x v="1"/>
    <n v="0"/>
    <s v="Travel_Rarely"/>
    <n v="922"/>
    <x v="1"/>
    <n v="3"/>
    <n v="2"/>
    <x v="0"/>
    <n v="1"/>
    <n v="155"/>
    <n v="1"/>
    <x v="0"/>
    <n v="39"/>
    <n v="3"/>
    <x v="1"/>
    <x v="2"/>
    <n v="4"/>
    <x v="2"/>
    <n v="2835"/>
    <n v="2561"/>
    <n v="5"/>
    <s v="Y"/>
    <x v="1"/>
    <n v="22"/>
    <n v="4"/>
    <n v="1"/>
    <n v="80"/>
    <n v="1"/>
    <n v="7"/>
    <n v="2"/>
    <n v="3"/>
    <x v="6"/>
    <n v="0"/>
    <n v="0"/>
    <n v="0"/>
  </r>
  <r>
    <n v="43"/>
    <x v="1"/>
    <n v="0"/>
    <s v="Travel_Frequently"/>
    <n v="394"/>
    <x v="0"/>
    <n v="26"/>
    <n v="2"/>
    <x v="0"/>
    <n v="1"/>
    <n v="158"/>
    <n v="3"/>
    <x v="1"/>
    <n v="92"/>
    <n v="3"/>
    <x v="3"/>
    <x v="5"/>
    <n v="4"/>
    <x v="1"/>
    <n v="16959"/>
    <n v="19494"/>
    <n v="1"/>
    <s v="Y"/>
    <x v="0"/>
    <n v="12"/>
    <n v="3"/>
    <n v="4"/>
    <n v="80"/>
    <n v="2"/>
    <n v="25"/>
    <n v="3"/>
    <n v="4"/>
    <x v="10"/>
    <n v="12"/>
    <n v="4"/>
    <n v="12"/>
  </r>
  <r>
    <n v="30"/>
    <x v="1"/>
    <n v="0"/>
    <s v="Travel_Frequently"/>
    <n v="1312"/>
    <x v="1"/>
    <n v="23"/>
    <n v="3"/>
    <x v="0"/>
    <n v="1"/>
    <n v="159"/>
    <n v="1"/>
    <x v="1"/>
    <n v="96"/>
    <n v="1"/>
    <x v="1"/>
    <x v="1"/>
    <n v="3"/>
    <x v="2"/>
    <n v="2613"/>
    <n v="22310"/>
    <n v="1"/>
    <s v="Y"/>
    <x v="1"/>
    <n v="25"/>
    <n v="4"/>
    <n v="3"/>
    <n v="80"/>
    <n v="3"/>
    <n v="10"/>
    <n v="2"/>
    <n v="2"/>
    <x v="1"/>
    <n v="7"/>
    <n v="0"/>
    <n v="9"/>
  </r>
  <r>
    <n v="33"/>
    <x v="1"/>
    <n v="0"/>
    <s v="Non-Travel"/>
    <n v="750"/>
    <x v="0"/>
    <n v="22"/>
    <n v="2"/>
    <x v="3"/>
    <n v="1"/>
    <n v="160"/>
    <n v="3"/>
    <x v="1"/>
    <n v="95"/>
    <n v="3"/>
    <x v="0"/>
    <x v="0"/>
    <n v="2"/>
    <x v="1"/>
    <n v="6146"/>
    <n v="15480"/>
    <n v="0"/>
    <s v="Y"/>
    <x v="1"/>
    <n v="13"/>
    <n v="3"/>
    <n v="1"/>
    <n v="80"/>
    <n v="1"/>
    <n v="8"/>
    <n v="2"/>
    <n v="4"/>
    <x v="5"/>
    <n v="7"/>
    <n v="0"/>
    <n v="7"/>
  </r>
  <r>
    <n v="56"/>
    <x v="0"/>
    <n v="1"/>
    <s v="Travel_Rarely"/>
    <n v="441"/>
    <x v="1"/>
    <n v="14"/>
    <n v="4"/>
    <x v="0"/>
    <n v="1"/>
    <n v="161"/>
    <n v="2"/>
    <x v="0"/>
    <n v="72"/>
    <n v="3"/>
    <x v="1"/>
    <x v="1"/>
    <n v="2"/>
    <x v="1"/>
    <n v="4963"/>
    <n v="4510"/>
    <n v="9"/>
    <s v="Y"/>
    <x v="0"/>
    <n v="18"/>
    <n v="3"/>
    <n v="1"/>
    <n v="80"/>
    <n v="3"/>
    <n v="7"/>
    <n v="2"/>
    <n v="3"/>
    <x v="8"/>
    <n v="4"/>
    <n v="4"/>
    <n v="3"/>
  </r>
  <r>
    <n v="51"/>
    <x v="1"/>
    <n v="0"/>
    <s v="Travel_Rarely"/>
    <n v="684"/>
    <x v="1"/>
    <n v="6"/>
    <n v="3"/>
    <x v="0"/>
    <n v="1"/>
    <n v="162"/>
    <n v="1"/>
    <x v="1"/>
    <n v="51"/>
    <n v="3"/>
    <x v="4"/>
    <x v="7"/>
    <n v="3"/>
    <x v="0"/>
    <n v="19537"/>
    <n v="6462"/>
    <n v="7"/>
    <s v="Y"/>
    <x v="1"/>
    <n v="13"/>
    <n v="3"/>
    <n v="3"/>
    <n v="80"/>
    <n v="0"/>
    <n v="23"/>
    <n v="5"/>
    <n v="3"/>
    <x v="23"/>
    <n v="18"/>
    <n v="15"/>
    <n v="15"/>
  </r>
  <r>
    <n v="31"/>
    <x v="0"/>
    <n v="1"/>
    <s v="Travel_Rarely"/>
    <n v="249"/>
    <x v="0"/>
    <n v="6"/>
    <n v="4"/>
    <x v="0"/>
    <n v="1"/>
    <n v="163"/>
    <n v="2"/>
    <x v="1"/>
    <n v="76"/>
    <n v="1"/>
    <x v="0"/>
    <x v="0"/>
    <n v="3"/>
    <x v="1"/>
    <n v="6172"/>
    <n v="20739"/>
    <n v="4"/>
    <s v="Y"/>
    <x v="0"/>
    <n v="18"/>
    <n v="3"/>
    <n v="2"/>
    <n v="80"/>
    <n v="0"/>
    <n v="12"/>
    <n v="3"/>
    <n v="2"/>
    <x v="5"/>
    <n v="7"/>
    <n v="7"/>
    <n v="7"/>
  </r>
  <r>
    <n v="26"/>
    <x v="1"/>
    <n v="0"/>
    <s v="Travel_Rarely"/>
    <n v="841"/>
    <x v="1"/>
    <n v="6"/>
    <n v="3"/>
    <x v="1"/>
    <n v="1"/>
    <n v="164"/>
    <n v="3"/>
    <x v="0"/>
    <n v="46"/>
    <n v="2"/>
    <x v="1"/>
    <x v="1"/>
    <n v="2"/>
    <x v="1"/>
    <n v="2368"/>
    <n v="23300"/>
    <n v="1"/>
    <s v="Y"/>
    <x v="1"/>
    <n v="19"/>
    <n v="3"/>
    <n v="3"/>
    <n v="80"/>
    <n v="0"/>
    <n v="5"/>
    <n v="3"/>
    <n v="2"/>
    <x v="8"/>
    <n v="4"/>
    <n v="4"/>
    <n v="3"/>
  </r>
  <r>
    <n v="58"/>
    <x v="0"/>
    <n v="1"/>
    <s v="Travel_Rarely"/>
    <n v="147"/>
    <x v="1"/>
    <n v="23"/>
    <n v="4"/>
    <x v="2"/>
    <n v="1"/>
    <n v="165"/>
    <n v="4"/>
    <x v="0"/>
    <n v="94"/>
    <n v="3"/>
    <x v="2"/>
    <x v="4"/>
    <n v="4"/>
    <x v="1"/>
    <n v="10312"/>
    <n v="3465"/>
    <n v="1"/>
    <s v="Y"/>
    <x v="1"/>
    <n v="12"/>
    <n v="3"/>
    <n v="4"/>
    <n v="80"/>
    <n v="1"/>
    <n v="40"/>
    <n v="3"/>
    <n v="2"/>
    <x v="24"/>
    <n v="10"/>
    <n v="15"/>
    <n v="6"/>
  </r>
  <r>
    <n v="19"/>
    <x v="0"/>
    <n v="1"/>
    <s v="Travel_Rarely"/>
    <n v="528"/>
    <x v="0"/>
    <n v="22"/>
    <n v="1"/>
    <x v="3"/>
    <n v="1"/>
    <n v="167"/>
    <n v="4"/>
    <x v="1"/>
    <n v="50"/>
    <n v="3"/>
    <x v="1"/>
    <x v="6"/>
    <n v="3"/>
    <x v="0"/>
    <n v="1675"/>
    <n v="26820"/>
    <n v="1"/>
    <s v="Y"/>
    <x v="0"/>
    <n v="19"/>
    <n v="3"/>
    <n v="4"/>
    <n v="80"/>
    <n v="0"/>
    <n v="0"/>
    <n v="2"/>
    <n v="2"/>
    <x v="2"/>
    <n v="0"/>
    <n v="0"/>
    <n v="0"/>
  </r>
  <r>
    <n v="22"/>
    <x v="1"/>
    <n v="0"/>
    <s v="Travel_Rarely"/>
    <n v="594"/>
    <x v="1"/>
    <n v="2"/>
    <n v="1"/>
    <x v="4"/>
    <n v="1"/>
    <n v="169"/>
    <n v="3"/>
    <x v="1"/>
    <n v="100"/>
    <n v="3"/>
    <x v="1"/>
    <x v="2"/>
    <n v="4"/>
    <x v="1"/>
    <n v="2523"/>
    <n v="19299"/>
    <n v="0"/>
    <s v="Y"/>
    <x v="1"/>
    <n v="14"/>
    <n v="3"/>
    <n v="3"/>
    <n v="80"/>
    <n v="1"/>
    <n v="3"/>
    <n v="2"/>
    <n v="3"/>
    <x v="4"/>
    <n v="1"/>
    <n v="2"/>
    <n v="1"/>
  </r>
  <r>
    <n v="49"/>
    <x v="1"/>
    <n v="0"/>
    <s v="Travel_Rarely"/>
    <n v="470"/>
    <x v="1"/>
    <n v="20"/>
    <n v="4"/>
    <x v="2"/>
    <n v="1"/>
    <n v="170"/>
    <n v="3"/>
    <x v="0"/>
    <n v="96"/>
    <n v="3"/>
    <x v="0"/>
    <x v="3"/>
    <n v="1"/>
    <x v="1"/>
    <n v="6567"/>
    <n v="5549"/>
    <n v="1"/>
    <s v="Y"/>
    <x v="1"/>
    <n v="14"/>
    <n v="3"/>
    <n v="3"/>
    <n v="80"/>
    <n v="0"/>
    <n v="16"/>
    <n v="2"/>
    <n v="2"/>
    <x v="15"/>
    <n v="11"/>
    <n v="5"/>
    <n v="11"/>
  </r>
  <r>
    <n v="43"/>
    <x v="1"/>
    <n v="0"/>
    <s v="Travel_Frequently"/>
    <n v="957"/>
    <x v="1"/>
    <n v="28"/>
    <n v="3"/>
    <x v="2"/>
    <n v="1"/>
    <n v="171"/>
    <n v="2"/>
    <x v="0"/>
    <n v="72"/>
    <n v="4"/>
    <x v="1"/>
    <x v="1"/>
    <n v="3"/>
    <x v="0"/>
    <n v="4739"/>
    <n v="16090"/>
    <n v="4"/>
    <s v="Y"/>
    <x v="1"/>
    <n v="12"/>
    <n v="3"/>
    <n v="4"/>
    <n v="80"/>
    <n v="0"/>
    <n v="18"/>
    <n v="2"/>
    <n v="3"/>
    <x v="11"/>
    <n v="2"/>
    <n v="1"/>
    <n v="2"/>
  </r>
  <r>
    <n v="50"/>
    <x v="1"/>
    <n v="0"/>
    <s v="Travel_Frequently"/>
    <n v="809"/>
    <x v="0"/>
    <n v="12"/>
    <n v="3"/>
    <x v="3"/>
    <n v="1"/>
    <n v="174"/>
    <n v="3"/>
    <x v="0"/>
    <n v="77"/>
    <n v="3"/>
    <x v="2"/>
    <x v="0"/>
    <n v="4"/>
    <x v="0"/>
    <n v="9208"/>
    <n v="6645"/>
    <n v="4"/>
    <s v="Y"/>
    <x v="1"/>
    <n v="11"/>
    <n v="3"/>
    <n v="4"/>
    <n v="80"/>
    <n v="0"/>
    <n v="16"/>
    <n v="3"/>
    <n v="3"/>
    <x v="4"/>
    <n v="2"/>
    <n v="2"/>
    <n v="1"/>
  </r>
  <r>
    <n v="31"/>
    <x v="0"/>
    <n v="1"/>
    <s v="Travel_Rarely"/>
    <n v="542"/>
    <x v="0"/>
    <n v="20"/>
    <n v="3"/>
    <x v="0"/>
    <n v="1"/>
    <n v="175"/>
    <n v="2"/>
    <x v="0"/>
    <n v="71"/>
    <n v="1"/>
    <x v="0"/>
    <x v="0"/>
    <n v="3"/>
    <x v="1"/>
    <n v="4559"/>
    <n v="24788"/>
    <n v="3"/>
    <s v="Y"/>
    <x v="0"/>
    <n v="11"/>
    <n v="3"/>
    <n v="3"/>
    <n v="80"/>
    <n v="1"/>
    <n v="4"/>
    <n v="2"/>
    <n v="3"/>
    <x v="4"/>
    <n v="2"/>
    <n v="2"/>
    <n v="2"/>
  </r>
  <r>
    <n v="41"/>
    <x v="1"/>
    <n v="0"/>
    <s v="Travel_Rarely"/>
    <n v="802"/>
    <x v="0"/>
    <n v="9"/>
    <n v="1"/>
    <x v="0"/>
    <n v="1"/>
    <n v="176"/>
    <n v="3"/>
    <x v="1"/>
    <n v="96"/>
    <n v="3"/>
    <x v="2"/>
    <x v="0"/>
    <n v="3"/>
    <x v="2"/>
    <n v="8189"/>
    <n v="21196"/>
    <n v="3"/>
    <s v="Y"/>
    <x v="0"/>
    <n v="13"/>
    <n v="3"/>
    <n v="3"/>
    <n v="80"/>
    <n v="1"/>
    <n v="12"/>
    <n v="2"/>
    <n v="3"/>
    <x v="7"/>
    <n v="7"/>
    <n v="0"/>
    <n v="7"/>
  </r>
  <r>
    <n v="26"/>
    <x v="1"/>
    <n v="0"/>
    <s v="Travel_Rarely"/>
    <n v="1355"/>
    <x v="2"/>
    <n v="25"/>
    <n v="1"/>
    <x v="0"/>
    <n v="1"/>
    <n v="177"/>
    <n v="3"/>
    <x v="0"/>
    <n v="61"/>
    <n v="3"/>
    <x v="1"/>
    <x v="8"/>
    <n v="3"/>
    <x v="1"/>
    <n v="2942"/>
    <n v="8916"/>
    <n v="1"/>
    <s v="Y"/>
    <x v="1"/>
    <n v="23"/>
    <n v="4"/>
    <n v="4"/>
    <n v="80"/>
    <n v="1"/>
    <n v="8"/>
    <n v="3"/>
    <n v="3"/>
    <x v="3"/>
    <n v="7"/>
    <n v="5"/>
    <n v="7"/>
  </r>
  <r>
    <n v="36"/>
    <x v="1"/>
    <n v="0"/>
    <s v="Travel_Rarely"/>
    <n v="216"/>
    <x v="1"/>
    <n v="6"/>
    <n v="2"/>
    <x v="2"/>
    <n v="1"/>
    <n v="178"/>
    <n v="2"/>
    <x v="1"/>
    <n v="84"/>
    <n v="3"/>
    <x v="0"/>
    <x v="3"/>
    <n v="2"/>
    <x v="2"/>
    <n v="4941"/>
    <n v="2819"/>
    <n v="6"/>
    <s v="Y"/>
    <x v="1"/>
    <n v="20"/>
    <n v="4"/>
    <n v="4"/>
    <n v="80"/>
    <n v="2"/>
    <n v="7"/>
    <n v="0"/>
    <n v="3"/>
    <x v="11"/>
    <n v="2"/>
    <n v="0"/>
    <n v="1"/>
  </r>
  <r>
    <n v="51"/>
    <x v="0"/>
    <n v="1"/>
    <s v="Travel_Frequently"/>
    <n v="1150"/>
    <x v="1"/>
    <n v="8"/>
    <n v="4"/>
    <x v="0"/>
    <n v="1"/>
    <n v="179"/>
    <n v="1"/>
    <x v="1"/>
    <n v="53"/>
    <n v="1"/>
    <x v="2"/>
    <x v="3"/>
    <n v="4"/>
    <x v="0"/>
    <n v="10650"/>
    <n v="25150"/>
    <n v="2"/>
    <s v="Y"/>
    <x v="1"/>
    <n v="15"/>
    <n v="3"/>
    <n v="4"/>
    <n v="80"/>
    <n v="0"/>
    <n v="18"/>
    <n v="2"/>
    <n v="3"/>
    <x v="9"/>
    <n v="2"/>
    <n v="0"/>
    <n v="3"/>
  </r>
  <r>
    <n v="39"/>
    <x v="1"/>
    <n v="0"/>
    <s v="Travel_Rarely"/>
    <n v="1329"/>
    <x v="0"/>
    <n v="4"/>
    <n v="4"/>
    <x v="0"/>
    <n v="1"/>
    <n v="182"/>
    <n v="4"/>
    <x v="0"/>
    <n v="47"/>
    <n v="2"/>
    <x v="0"/>
    <x v="0"/>
    <n v="3"/>
    <x v="1"/>
    <n v="5902"/>
    <n v="14590"/>
    <n v="4"/>
    <s v="Y"/>
    <x v="1"/>
    <n v="14"/>
    <n v="3"/>
    <n v="3"/>
    <n v="80"/>
    <n v="1"/>
    <n v="17"/>
    <n v="1"/>
    <n v="4"/>
    <x v="15"/>
    <n v="11"/>
    <n v="5"/>
    <n v="9"/>
  </r>
  <r>
    <n v="25"/>
    <x v="1"/>
    <n v="0"/>
    <s v="Travel_Rarely"/>
    <n v="959"/>
    <x v="0"/>
    <n v="28"/>
    <n v="3"/>
    <x v="0"/>
    <n v="1"/>
    <n v="183"/>
    <n v="1"/>
    <x v="1"/>
    <n v="41"/>
    <n v="2"/>
    <x v="0"/>
    <x v="0"/>
    <n v="3"/>
    <x v="1"/>
    <n v="8639"/>
    <n v="24835"/>
    <n v="2"/>
    <s v="Y"/>
    <x v="1"/>
    <n v="18"/>
    <n v="3"/>
    <n v="4"/>
    <n v="80"/>
    <n v="0"/>
    <n v="6"/>
    <n v="3"/>
    <n v="3"/>
    <x v="4"/>
    <n v="2"/>
    <n v="2"/>
    <n v="2"/>
  </r>
  <r>
    <n v="30"/>
    <x v="1"/>
    <n v="0"/>
    <s v="Travel_Rarely"/>
    <n v="1240"/>
    <x v="2"/>
    <n v="9"/>
    <n v="3"/>
    <x v="5"/>
    <n v="1"/>
    <n v="184"/>
    <n v="3"/>
    <x v="1"/>
    <n v="48"/>
    <n v="3"/>
    <x v="0"/>
    <x v="8"/>
    <n v="4"/>
    <x v="1"/>
    <n v="6347"/>
    <n v="13982"/>
    <n v="0"/>
    <s v="Y"/>
    <x v="0"/>
    <n v="19"/>
    <n v="3"/>
    <n v="4"/>
    <n v="80"/>
    <n v="0"/>
    <n v="12"/>
    <n v="2"/>
    <n v="1"/>
    <x v="19"/>
    <n v="9"/>
    <n v="4"/>
    <n v="7"/>
  </r>
  <r>
    <n v="32"/>
    <x v="0"/>
    <n v="1"/>
    <s v="Travel_Rarely"/>
    <n v="1033"/>
    <x v="1"/>
    <n v="9"/>
    <n v="3"/>
    <x v="2"/>
    <n v="1"/>
    <n v="190"/>
    <n v="1"/>
    <x v="0"/>
    <n v="41"/>
    <n v="3"/>
    <x v="1"/>
    <x v="2"/>
    <n v="1"/>
    <x v="0"/>
    <n v="4200"/>
    <n v="10224"/>
    <n v="7"/>
    <s v="Y"/>
    <x v="1"/>
    <n v="22"/>
    <n v="4"/>
    <n v="1"/>
    <n v="80"/>
    <n v="0"/>
    <n v="10"/>
    <n v="2"/>
    <n v="4"/>
    <x v="8"/>
    <n v="4"/>
    <n v="0"/>
    <n v="4"/>
  </r>
  <r>
    <n v="45"/>
    <x v="1"/>
    <n v="0"/>
    <s v="Travel_Rarely"/>
    <n v="1316"/>
    <x v="1"/>
    <n v="29"/>
    <n v="3"/>
    <x v="2"/>
    <n v="1"/>
    <n v="192"/>
    <n v="3"/>
    <x v="1"/>
    <n v="83"/>
    <n v="3"/>
    <x v="1"/>
    <x v="1"/>
    <n v="4"/>
    <x v="0"/>
    <n v="3452"/>
    <n v="9752"/>
    <n v="5"/>
    <s v="Y"/>
    <x v="1"/>
    <n v="13"/>
    <n v="3"/>
    <n v="2"/>
    <n v="80"/>
    <n v="0"/>
    <n v="9"/>
    <n v="2"/>
    <n v="2"/>
    <x v="0"/>
    <n v="5"/>
    <n v="0"/>
    <n v="3"/>
  </r>
  <r>
    <n v="38"/>
    <x v="1"/>
    <n v="0"/>
    <s v="Travel_Rarely"/>
    <n v="364"/>
    <x v="1"/>
    <n v="3"/>
    <n v="5"/>
    <x v="4"/>
    <n v="1"/>
    <n v="193"/>
    <n v="4"/>
    <x v="0"/>
    <n v="32"/>
    <n v="3"/>
    <x v="0"/>
    <x v="1"/>
    <n v="3"/>
    <x v="0"/>
    <n v="4317"/>
    <n v="2302"/>
    <n v="3"/>
    <s v="Y"/>
    <x v="0"/>
    <n v="20"/>
    <n v="4"/>
    <n v="2"/>
    <n v="80"/>
    <n v="0"/>
    <n v="19"/>
    <n v="2"/>
    <n v="3"/>
    <x v="11"/>
    <n v="2"/>
    <n v="2"/>
    <n v="2"/>
  </r>
  <r>
    <n v="30"/>
    <x v="1"/>
    <n v="0"/>
    <s v="Travel_Rarely"/>
    <n v="438"/>
    <x v="1"/>
    <n v="18"/>
    <n v="3"/>
    <x v="0"/>
    <n v="1"/>
    <n v="194"/>
    <n v="1"/>
    <x v="0"/>
    <n v="75"/>
    <n v="3"/>
    <x v="1"/>
    <x v="1"/>
    <n v="3"/>
    <x v="0"/>
    <n v="2632"/>
    <n v="23910"/>
    <n v="1"/>
    <s v="Y"/>
    <x v="1"/>
    <n v="14"/>
    <n v="3"/>
    <n v="3"/>
    <n v="80"/>
    <n v="0"/>
    <n v="5"/>
    <n v="4"/>
    <n v="2"/>
    <x v="8"/>
    <n v="4"/>
    <n v="0"/>
    <n v="4"/>
  </r>
  <r>
    <n v="32"/>
    <x v="1"/>
    <n v="0"/>
    <s v="Travel_Frequently"/>
    <n v="689"/>
    <x v="0"/>
    <n v="9"/>
    <n v="2"/>
    <x v="2"/>
    <n v="1"/>
    <n v="195"/>
    <n v="4"/>
    <x v="1"/>
    <n v="35"/>
    <n v="1"/>
    <x v="0"/>
    <x v="0"/>
    <n v="4"/>
    <x v="2"/>
    <n v="4668"/>
    <n v="22812"/>
    <n v="0"/>
    <s v="Y"/>
    <x v="1"/>
    <n v="17"/>
    <n v="3"/>
    <n v="4"/>
    <n v="80"/>
    <n v="3"/>
    <n v="9"/>
    <n v="2"/>
    <n v="4"/>
    <x v="3"/>
    <n v="7"/>
    <n v="0"/>
    <n v="7"/>
  </r>
  <r>
    <n v="30"/>
    <x v="1"/>
    <n v="0"/>
    <s v="Travel_Rarely"/>
    <n v="201"/>
    <x v="1"/>
    <n v="5"/>
    <n v="3"/>
    <x v="4"/>
    <n v="1"/>
    <n v="197"/>
    <n v="4"/>
    <x v="0"/>
    <n v="84"/>
    <n v="3"/>
    <x v="1"/>
    <x v="1"/>
    <n v="1"/>
    <x v="2"/>
    <n v="3204"/>
    <n v="10415"/>
    <n v="5"/>
    <s v="Y"/>
    <x v="1"/>
    <n v="14"/>
    <n v="3"/>
    <n v="4"/>
    <n v="80"/>
    <n v="1"/>
    <n v="8"/>
    <n v="3"/>
    <n v="3"/>
    <x v="11"/>
    <n v="2"/>
    <n v="2"/>
    <n v="2"/>
  </r>
  <r>
    <n v="30"/>
    <x v="1"/>
    <n v="0"/>
    <s v="Travel_Rarely"/>
    <n v="1427"/>
    <x v="1"/>
    <n v="2"/>
    <n v="1"/>
    <x v="2"/>
    <n v="1"/>
    <n v="198"/>
    <n v="2"/>
    <x v="1"/>
    <n v="35"/>
    <n v="2"/>
    <x v="1"/>
    <x v="2"/>
    <n v="4"/>
    <x v="0"/>
    <n v="2720"/>
    <n v="11162"/>
    <n v="0"/>
    <s v="Y"/>
    <x v="1"/>
    <n v="13"/>
    <n v="3"/>
    <n v="4"/>
    <n v="80"/>
    <n v="0"/>
    <n v="6"/>
    <n v="3"/>
    <n v="3"/>
    <x v="8"/>
    <n v="3"/>
    <n v="1"/>
    <n v="2"/>
  </r>
  <r>
    <n v="41"/>
    <x v="1"/>
    <n v="0"/>
    <s v="Travel_Frequently"/>
    <n v="857"/>
    <x v="1"/>
    <n v="10"/>
    <n v="3"/>
    <x v="0"/>
    <n v="1"/>
    <n v="199"/>
    <n v="4"/>
    <x v="1"/>
    <n v="91"/>
    <n v="2"/>
    <x v="3"/>
    <x v="5"/>
    <n v="1"/>
    <x v="2"/>
    <n v="17181"/>
    <n v="12888"/>
    <n v="4"/>
    <s v="Y"/>
    <x v="1"/>
    <n v="13"/>
    <n v="3"/>
    <n v="2"/>
    <n v="80"/>
    <n v="1"/>
    <n v="21"/>
    <n v="2"/>
    <n v="2"/>
    <x v="5"/>
    <n v="6"/>
    <n v="7"/>
    <n v="7"/>
  </r>
  <r>
    <n v="41"/>
    <x v="1"/>
    <n v="0"/>
    <s v="Travel_Rarely"/>
    <n v="933"/>
    <x v="1"/>
    <n v="9"/>
    <n v="4"/>
    <x v="0"/>
    <n v="1"/>
    <n v="200"/>
    <n v="3"/>
    <x v="1"/>
    <n v="94"/>
    <n v="3"/>
    <x v="1"/>
    <x v="2"/>
    <n v="1"/>
    <x v="1"/>
    <n v="2238"/>
    <n v="6961"/>
    <n v="2"/>
    <s v="Y"/>
    <x v="1"/>
    <n v="21"/>
    <n v="4"/>
    <n v="4"/>
    <n v="80"/>
    <n v="1"/>
    <n v="7"/>
    <n v="2"/>
    <n v="3"/>
    <x v="8"/>
    <n v="0"/>
    <n v="1"/>
    <n v="4"/>
  </r>
  <r>
    <n v="19"/>
    <x v="1"/>
    <n v="0"/>
    <s v="Travel_Rarely"/>
    <n v="1181"/>
    <x v="1"/>
    <n v="3"/>
    <n v="1"/>
    <x v="2"/>
    <n v="1"/>
    <n v="201"/>
    <n v="2"/>
    <x v="0"/>
    <n v="79"/>
    <n v="3"/>
    <x v="1"/>
    <x v="2"/>
    <n v="2"/>
    <x v="0"/>
    <n v="1483"/>
    <n v="16102"/>
    <n v="1"/>
    <s v="Y"/>
    <x v="1"/>
    <n v="14"/>
    <n v="3"/>
    <n v="4"/>
    <n v="80"/>
    <n v="0"/>
    <n v="1"/>
    <n v="3"/>
    <n v="3"/>
    <x v="6"/>
    <n v="0"/>
    <n v="0"/>
    <n v="0"/>
  </r>
  <r>
    <n v="40"/>
    <x v="1"/>
    <n v="0"/>
    <s v="Travel_Frequently"/>
    <n v="1395"/>
    <x v="1"/>
    <n v="26"/>
    <n v="3"/>
    <x v="2"/>
    <n v="1"/>
    <n v="202"/>
    <n v="2"/>
    <x v="0"/>
    <n v="54"/>
    <n v="3"/>
    <x v="0"/>
    <x v="1"/>
    <n v="2"/>
    <x v="2"/>
    <n v="5605"/>
    <n v="8504"/>
    <n v="1"/>
    <s v="Y"/>
    <x v="1"/>
    <n v="11"/>
    <n v="3"/>
    <n v="1"/>
    <n v="80"/>
    <n v="1"/>
    <n v="20"/>
    <n v="2"/>
    <n v="3"/>
    <x v="23"/>
    <n v="7"/>
    <n v="2"/>
    <n v="13"/>
  </r>
  <r>
    <n v="35"/>
    <x v="1"/>
    <n v="0"/>
    <s v="Travel_Rarely"/>
    <n v="662"/>
    <x v="0"/>
    <n v="1"/>
    <n v="5"/>
    <x v="3"/>
    <n v="1"/>
    <n v="204"/>
    <n v="3"/>
    <x v="1"/>
    <n v="94"/>
    <n v="3"/>
    <x v="2"/>
    <x v="0"/>
    <n v="2"/>
    <x v="1"/>
    <n v="7295"/>
    <n v="11439"/>
    <n v="1"/>
    <s v="Y"/>
    <x v="1"/>
    <n v="13"/>
    <n v="3"/>
    <n v="1"/>
    <n v="80"/>
    <n v="2"/>
    <n v="10"/>
    <n v="3"/>
    <n v="3"/>
    <x v="1"/>
    <n v="8"/>
    <n v="0"/>
    <n v="6"/>
  </r>
  <r>
    <n v="53"/>
    <x v="1"/>
    <n v="0"/>
    <s v="Travel_Rarely"/>
    <n v="1436"/>
    <x v="0"/>
    <n v="6"/>
    <n v="2"/>
    <x v="3"/>
    <n v="1"/>
    <n v="205"/>
    <n v="2"/>
    <x v="1"/>
    <n v="34"/>
    <n v="3"/>
    <x v="0"/>
    <x v="6"/>
    <n v="3"/>
    <x v="1"/>
    <n v="2306"/>
    <n v="16047"/>
    <n v="2"/>
    <s v="Y"/>
    <x v="0"/>
    <n v="20"/>
    <n v="4"/>
    <n v="4"/>
    <n v="80"/>
    <n v="1"/>
    <n v="13"/>
    <n v="3"/>
    <n v="1"/>
    <x v="5"/>
    <n v="7"/>
    <n v="4"/>
    <n v="5"/>
  </r>
  <r>
    <n v="45"/>
    <x v="1"/>
    <n v="0"/>
    <s v="Travel_Rarely"/>
    <n v="194"/>
    <x v="1"/>
    <n v="9"/>
    <n v="3"/>
    <x v="0"/>
    <n v="1"/>
    <n v="206"/>
    <n v="2"/>
    <x v="1"/>
    <n v="60"/>
    <n v="3"/>
    <x v="0"/>
    <x v="2"/>
    <n v="2"/>
    <x v="2"/>
    <n v="2348"/>
    <n v="10901"/>
    <n v="8"/>
    <s v="Y"/>
    <x v="1"/>
    <n v="18"/>
    <n v="3"/>
    <n v="3"/>
    <n v="80"/>
    <n v="1"/>
    <n v="20"/>
    <n v="2"/>
    <n v="1"/>
    <x v="18"/>
    <n v="9"/>
    <n v="0"/>
    <n v="15"/>
  </r>
  <r>
    <n v="32"/>
    <x v="1"/>
    <n v="0"/>
    <s v="Travel_Frequently"/>
    <n v="967"/>
    <x v="0"/>
    <n v="8"/>
    <n v="3"/>
    <x v="3"/>
    <n v="1"/>
    <n v="207"/>
    <n v="2"/>
    <x v="0"/>
    <n v="43"/>
    <n v="3"/>
    <x v="2"/>
    <x v="0"/>
    <n v="4"/>
    <x v="0"/>
    <n v="8998"/>
    <n v="15589"/>
    <n v="1"/>
    <s v="Y"/>
    <x v="1"/>
    <n v="14"/>
    <n v="3"/>
    <n v="4"/>
    <n v="80"/>
    <n v="0"/>
    <n v="9"/>
    <n v="2"/>
    <n v="3"/>
    <x v="7"/>
    <n v="8"/>
    <n v="3"/>
    <n v="7"/>
  </r>
  <r>
    <n v="29"/>
    <x v="1"/>
    <n v="0"/>
    <s v="Non-Travel"/>
    <n v="1496"/>
    <x v="1"/>
    <n v="1"/>
    <n v="1"/>
    <x v="4"/>
    <n v="1"/>
    <n v="208"/>
    <n v="4"/>
    <x v="1"/>
    <n v="41"/>
    <n v="3"/>
    <x v="0"/>
    <x v="3"/>
    <n v="3"/>
    <x v="1"/>
    <n v="4319"/>
    <n v="26283"/>
    <n v="1"/>
    <s v="Y"/>
    <x v="1"/>
    <n v="13"/>
    <n v="3"/>
    <n v="1"/>
    <n v="80"/>
    <n v="1"/>
    <n v="10"/>
    <n v="1"/>
    <n v="3"/>
    <x v="1"/>
    <n v="7"/>
    <n v="0"/>
    <n v="9"/>
  </r>
  <r>
    <n v="51"/>
    <x v="1"/>
    <n v="0"/>
    <s v="Travel_Rarely"/>
    <n v="1169"/>
    <x v="1"/>
    <n v="7"/>
    <n v="4"/>
    <x v="2"/>
    <n v="1"/>
    <n v="211"/>
    <n v="2"/>
    <x v="1"/>
    <n v="34"/>
    <n v="2"/>
    <x v="0"/>
    <x v="3"/>
    <n v="3"/>
    <x v="1"/>
    <n v="6132"/>
    <n v="13983"/>
    <n v="2"/>
    <s v="Y"/>
    <x v="1"/>
    <n v="17"/>
    <n v="3"/>
    <n v="3"/>
    <n v="80"/>
    <n v="0"/>
    <n v="10"/>
    <n v="2"/>
    <n v="3"/>
    <x v="6"/>
    <n v="0"/>
    <n v="0"/>
    <n v="0"/>
  </r>
  <r>
    <n v="58"/>
    <x v="1"/>
    <n v="0"/>
    <s v="Travel_Rarely"/>
    <n v="1145"/>
    <x v="1"/>
    <n v="9"/>
    <n v="3"/>
    <x v="2"/>
    <n v="1"/>
    <n v="214"/>
    <n v="2"/>
    <x v="0"/>
    <n v="75"/>
    <n v="2"/>
    <x v="1"/>
    <x v="1"/>
    <n v="2"/>
    <x v="1"/>
    <n v="3346"/>
    <n v="11873"/>
    <n v="4"/>
    <s v="Y"/>
    <x v="0"/>
    <n v="20"/>
    <n v="4"/>
    <n v="2"/>
    <n v="80"/>
    <n v="1"/>
    <n v="9"/>
    <n v="3"/>
    <n v="2"/>
    <x v="6"/>
    <n v="0"/>
    <n v="0"/>
    <n v="0"/>
  </r>
  <r>
    <n v="40"/>
    <x v="1"/>
    <n v="0"/>
    <s v="Travel_Rarely"/>
    <n v="630"/>
    <x v="0"/>
    <n v="4"/>
    <n v="4"/>
    <x v="3"/>
    <n v="1"/>
    <n v="215"/>
    <n v="3"/>
    <x v="1"/>
    <n v="67"/>
    <n v="2"/>
    <x v="2"/>
    <x v="0"/>
    <n v="4"/>
    <x v="1"/>
    <n v="10855"/>
    <n v="8552"/>
    <n v="7"/>
    <s v="Y"/>
    <x v="1"/>
    <n v="11"/>
    <n v="3"/>
    <n v="1"/>
    <n v="80"/>
    <n v="1"/>
    <n v="15"/>
    <n v="2"/>
    <n v="2"/>
    <x v="12"/>
    <n v="11"/>
    <n v="2"/>
    <n v="11"/>
  </r>
  <r>
    <n v="34"/>
    <x v="1"/>
    <n v="0"/>
    <s v="Travel_Frequently"/>
    <n v="303"/>
    <x v="0"/>
    <n v="2"/>
    <n v="4"/>
    <x v="3"/>
    <n v="1"/>
    <n v="216"/>
    <n v="3"/>
    <x v="0"/>
    <n v="75"/>
    <n v="3"/>
    <x v="1"/>
    <x v="6"/>
    <n v="3"/>
    <x v="1"/>
    <n v="2231"/>
    <n v="11314"/>
    <n v="6"/>
    <s v="Y"/>
    <x v="1"/>
    <n v="18"/>
    <n v="3"/>
    <n v="4"/>
    <n v="80"/>
    <n v="1"/>
    <n v="6"/>
    <n v="3"/>
    <n v="3"/>
    <x v="9"/>
    <n v="3"/>
    <n v="1"/>
    <n v="2"/>
  </r>
  <r>
    <n v="22"/>
    <x v="1"/>
    <n v="0"/>
    <s v="Travel_Rarely"/>
    <n v="1256"/>
    <x v="1"/>
    <n v="19"/>
    <n v="1"/>
    <x v="2"/>
    <n v="1"/>
    <n v="217"/>
    <n v="3"/>
    <x v="1"/>
    <n v="80"/>
    <n v="3"/>
    <x v="1"/>
    <x v="1"/>
    <n v="4"/>
    <x v="1"/>
    <n v="2323"/>
    <n v="11992"/>
    <n v="1"/>
    <s v="Y"/>
    <x v="1"/>
    <n v="24"/>
    <n v="4"/>
    <n v="1"/>
    <n v="80"/>
    <n v="2"/>
    <n v="2"/>
    <n v="6"/>
    <n v="3"/>
    <x v="4"/>
    <n v="2"/>
    <n v="2"/>
    <n v="2"/>
  </r>
  <r>
    <n v="27"/>
    <x v="1"/>
    <n v="0"/>
    <s v="Non-Travel"/>
    <n v="691"/>
    <x v="1"/>
    <n v="9"/>
    <n v="3"/>
    <x v="2"/>
    <n v="1"/>
    <n v="218"/>
    <n v="4"/>
    <x v="1"/>
    <n v="57"/>
    <n v="3"/>
    <x v="1"/>
    <x v="1"/>
    <n v="2"/>
    <x v="2"/>
    <n v="2024"/>
    <n v="5970"/>
    <n v="6"/>
    <s v="Y"/>
    <x v="1"/>
    <n v="18"/>
    <n v="3"/>
    <n v="4"/>
    <n v="80"/>
    <n v="1"/>
    <n v="6"/>
    <n v="1"/>
    <n v="1"/>
    <x v="4"/>
    <n v="2"/>
    <n v="2"/>
    <n v="2"/>
  </r>
  <r>
    <n v="28"/>
    <x v="1"/>
    <n v="0"/>
    <s v="Travel_Rarely"/>
    <n v="440"/>
    <x v="1"/>
    <n v="21"/>
    <n v="3"/>
    <x v="2"/>
    <n v="1"/>
    <n v="221"/>
    <n v="3"/>
    <x v="1"/>
    <n v="42"/>
    <n v="3"/>
    <x v="1"/>
    <x v="1"/>
    <n v="4"/>
    <x v="1"/>
    <n v="2713"/>
    <n v="6672"/>
    <n v="1"/>
    <s v="Y"/>
    <x v="1"/>
    <n v="11"/>
    <n v="3"/>
    <n v="3"/>
    <n v="80"/>
    <n v="1"/>
    <n v="5"/>
    <n v="2"/>
    <n v="1"/>
    <x v="8"/>
    <n v="2"/>
    <n v="0"/>
    <n v="2"/>
  </r>
  <r>
    <n v="57"/>
    <x v="1"/>
    <n v="0"/>
    <s v="Travel_Rarely"/>
    <n v="334"/>
    <x v="1"/>
    <n v="24"/>
    <n v="2"/>
    <x v="0"/>
    <n v="1"/>
    <n v="223"/>
    <n v="3"/>
    <x v="1"/>
    <n v="83"/>
    <n v="4"/>
    <x v="2"/>
    <x v="4"/>
    <n v="4"/>
    <x v="2"/>
    <n v="9439"/>
    <n v="23402"/>
    <n v="3"/>
    <s v="Y"/>
    <x v="0"/>
    <n v="16"/>
    <n v="3"/>
    <n v="2"/>
    <n v="80"/>
    <n v="1"/>
    <n v="12"/>
    <n v="2"/>
    <n v="1"/>
    <x v="8"/>
    <n v="3"/>
    <n v="1"/>
    <n v="4"/>
  </r>
  <r>
    <n v="27"/>
    <x v="1"/>
    <n v="0"/>
    <s v="Non-Travel"/>
    <n v="1450"/>
    <x v="1"/>
    <n v="3"/>
    <n v="3"/>
    <x v="2"/>
    <n v="1"/>
    <n v="224"/>
    <n v="3"/>
    <x v="1"/>
    <n v="79"/>
    <n v="2"/>
    <x v="1"/>
    <x v="1"/>
    <n v="3"/>
    <x v="2"/>
    <n v="2566"/>
    <n v="25326"/>
    <n v="1"/>
    <s v="Y"/>
    <x v="0"/>
    <n v="15"/>
    <n v="3"/>
    <n v="4"/>
    <n v="80"/>
    <n v="1"/>
    <n v="1"/>
    <n v="2"/>
    <n v="2"/>
    <x v="6"/>
    <n v="1"/>
    <n v="0"/>
    <n v="1"/>
  </r>
  <r>
    <n v="50"/>
    <x v="1"/>
    <n v="0"/>
    <s v="Travel_Rarely"/>
    <n v="1452"/>
    <x v="1"/>
    <n v="11"/>
    <n v="3"/>
    <x v="0"/>
    <n v="1"/>
    <n v="226"/>
    <n v="3"/>
    <x v="0"/>
    <n v="53"/>
    <n v="3"/>
    <x v="4"/>
    <x v="5"/>
    <n v="2"/>
    <x v="0"/>
    <n v="19926"/>
    <n v="17053"/>
    <n v="3"/>
    <s v="Y"/>
    <x v="1"/>
    <n v="15"/>
    <n v="3"/>
    <n v="2"/>
    <n v="80"/>
    <n v="0"/>
    <n v="21"/>
    <n v="5"/>
    <n v="3"/>
    <x v="8"/>
    <n v="4"/>
    <n v="4"/>
    <n v="4"/>
  </r>
  <r>
    <n v="41"/>
    <x v="1"/>
    <n v="0"/>
    <s v="Travel_Rarely"/>
    <n v="465"/>
    <x v="1"/>
    <n v="14"/>
    <n v="3"/>
    <x v="0"/>
    <n v="1"/>
    <n v="227"/>
    <n v="1"/>
    <x v="1"/>
    <n v="56"/>
    <n v="3"/>
    <x v="1"/>
    <x v="1"/>
    <n v="3"/>
    <x v="2"/>
    <n v="2451"/>
    <n v="4609"/>
    <n v="4"/>
    <s v="Y"/>
    <x v="1"/>
    <n v="12"/>
    <n v="3"/>
    <n v="1"/>
    <n v="80"/>
    <n v="1"/>
    <n v="13"/>
    <n v="2"/>
    <n v="3"/>
    <x v="7"/>
    <n v="8"/>
    <n v="1"/>
    <n v="8"/>
  </r>
  <r>
    <n v="30"/>
    <x v="1"/>
    <n v="0"/>
    <s v="Travel_Rarely"/>
    <n v="1339"/>
    <x v="0"/>
    <n v="5"/>
    <n v="3"/>
    <x v="0"/>
    <n v="1"/>
    <n v="228"/>
    <n v="2"/>
    <x v="0"/>
    <n v="41"/>
    <n v="3"/>
    <x v="2"/>
    <x v="0"/>
    <n v="4"/>
    <x v="1"/>
    <n v="9419"/>
    <n v="8053"/>
    <n v="2"/>
    <s v="Y"/>
    <x v="1"/>
    <n v="12"/>
    <n v="3"/>
    <n v="3"/>
    <n v="80"/>
    <n v="1"/>
    <n v="12"/>
    <n v="2"/>
    <n v="3"/>
    <x v="1"/>
    <n v="9"/>
    <n v="7"/>
    <n v="4"/>
  </r>
  <r>
    <n v="38"/>
    <x v="1"/>
    <n v="0"/>
    <s v="Travel_Rarely"/>
    <n v="702"/>
    <x v="0"/>
    <n v="1"/>
    <n v="4"/>
    <x v="0"/>
    <n v="1"/>
    <n v="230"/>
    <n v="1"/>
    <x v="0"/>
    <n v="59"/>
    <n v="2"/>
    <x v="0"/>
    <x v="0"/>
    <n v="4"/>
    <x v="0"/>
    <n v="8686"/>
    <n v="12930"/>
    <n v="4"/>
    <s v="Y"/>
    <x v="1"/>
    <n v="22"/>
    <n v="4"/>
    <n v="3"/>
    <n v="80"/>
    <n v="0"/>
    <n v="12"/>
    <n v="2"/>
    <n v="4"/>
    <x v="3"/>
    <n v="3"/>
    <n v="0"/>
    <n v="7"/>
  </r>
  <r>
    <n v="32"/>
    <x v="1"/>
    <n v="0"/>
    <s v="Travel_Rarely"/>
    <n v="120"/>
    <x v="1"/>
    <n v="6"/>
    <n v="5"/>
    <x v="0"/>
    <n v="1"/>
    <n v="231"/>
    <n v="3"/>
    <x v="1"/>
    <n v="43"/>
    <n v="3"/>
    <x v="1"/>
    <x v="1"/>
    <n v="3"/>
    <x v="0"/>
    <n v="3038"/>
    <n v="12430"/>
    <n v="3"/>
    <s v="Y"/>
    <x v="1"/>
    <n v="20"/>
    <n v="4"/>
    <n v="1"/>
    <n v="80"/>
    <n v="0"/>
    <n v="8"/>
    <n v="2"/>
    <n v="3"/>
    <x v="8"/>
    <n v="4"/>
    <n v="1"/>
    <n v="4"/>
  </r>
  <r>
    <n v="27"/>
    <x v="1"/>
    <n v="0"/>
    <s v="Travel_Rarely"/>
    <n v="1157"/>
    <x v="1"/>
    <n v="17"/>
    <n v="3"/>
    <x v="4"/>
    <n v="1"/>
    <n v="233"/>
    <n v="3"/>
    <x v="1"/>
    <n v="51"/>
    <n v="3"/>
    <x v="1"/>
    <x v="1"/>
    <n v="2"/>
    <x v="1"/>
    <n v="3058"/>
    <n v="13364"/>
    <n v="0"/>
    <s v="Y"/>
    <x v="0"/>
    <n v="16"/>
    <n v="3"/>
    <n v="4"/>
    <n v="80"/>
    <n v="1"/>
    <n v="6"/>
    <n v="3"/>
    <n v="2"/>
    <x v="8"/>
    <n v="2"/>
    <n v="1"/>
    <n v="1"/>
  </r>
  <r>
    <n v="19"/>
    <x v="0"/>
    <n v="1"/>
    <s v="Travel_Frequently"/>
    <n v="602"/>
    <x v="0"/>
    <n v="1"/>
    <n v="1"/>
    <x v="4"/>
    <n v="1"/>
    <n v="235"/>
    <n v="3"/>
    <x v="0"/>
    <n v="100"/>
    <n v="1"/>
    <x v="1"/>
    <x v="6"/>
    <n v="1"/>
    <x v="0"/>
    <n v="2325"/>
    <n v="20989"/>
    <n v="0"/>
    <s v="Y"/>
    <x v="1"/>
    <n v="21"/>
    <n v="4"/>
    <n v="1"/>
    <n v="80"/>
    <n v="0"/>
    <n v="1"/>
    <n v="5"/>
    <n v="4"/>
    <x v="2"/>
    <n v="0"/>
    <n v="0"/>
    <n v="0"/>
  </r>
  <r>
    <n v="36"/>
    <x v="1"/>
    <n v="0"/>
    <s v="Travel_Frequently"/>
    <n v="1480"/>
    <x v="1"/>
    <n v="3"/>
    <n v="2"/>
    <x v="2"/>
    <n v="1"/>
    <n v="238"/>
    <n v="4"/>
    <x v="1"/>
    <n v="30"/>
    <n v="3"/>
    <x v="1"/>
    <x v="2"/>
    <n v="2"/>
    <x v="0"/>
    <n v="2088"/>
    <n v="15062"/>
    <n v="4"/>
    <s v="Y"/>
    <x v="1"/>
    <n v="12"/>
    <n v="3"/>
    <n v="3"/>
    <n v="80"/>
    <n v="0"/>
    <n v="13"/>
    <n v="3"/>
    <n v="2"/>
    <x v="3"/>
    <n v="7"/>
    <n v="7"/>
    <n v="2"/>
  </r>
  <r>
    <n v="30"/>
    <x v="1"/>
    <n v="0"/>
    <s v="Non-Travel"/>
    <n v="111"/>
    <x v="1"/>
    <n v="9"/>
    <n v="3"/>
    <x v="2"/>
    <n v="1"/>
    <n v="239"/>
    <n v="3"/>
    <x v="1"/>
    <n v="66"/>
    <n v="3"/>
    <x v="0"/>
    <x v="2"/>
    <n v="1"/>
    <x v="2"/>
    <n v="3072"/>
    <n v="11012"/>
    <n v="1"/>
    <s v="Y"/>
    <x v="1"/>
    <n v="11"/>
    <n v="3"/>
    <n v="3"/>
    <n v="80"/>
    <n v="2"/>
    <n v="12"/>
    <n v="4"/>
    <n v="3"/>
    <x v="12"/>
    <n v="9"/>
    <n v="6"/>
    <n v="10"/>
  </r>
  <r>
    <n v="45"/>
    <x v="1"/>
    <n v="0"/>
    <s v="Travel_Rarely"/>
    <n v="1268"/>
    <x v="0"/>
    <n v="4"/>
    <n v="2"/>
    <x v="0"/>
    <n v="1"/>
    <n v="240"/>
    <n v="3"/>
    <x v="0"/>
    <n v="30"/>
    <n v="3"/>
    <x v="0"/>
    <x v="0"/>
    <n v="1"/>
    <x v="2"/>
    <n v="5006"/>
    <n v="6319"/>
    <n v="4"/>
    <s v="Y"/>
    <x v="0"/>
    <n v="11"/>
    <n v="3"/>
    <n v="1"/>
    <n v="80"/>
    <n v="1"/>
    <n v="9"/>
    <n v="3"/>
    <n v="4"/>
    <x v="8"/>
    <n v="4"/>
    <n v="0"/>
    <n v="3"/>
  </r>
  <r>
    <n v="56"/>
    <x v="1"/>
    <n v="0"/>
    <s v="Travel_Rarely"/>
    <n v="713"/>
    <x v="1"/>
    <n v="8"/>
    <n v="3"/>
    <x v="0"/>
    <n v="1"/>
    <n v="241"/>
    <n v="3"/>
    <x v="0"/>
    <n v="67"/>
    <n v="3"/>
    <x v="1"/>
    <x v="1"/>
    <n v="1"/>
    <x v="2"/>
    <n v="4257"/>
    <n v="13939"/>
    <n v="4"/>
    <s v="Y"/>
    <x v="0"/>
    <n v="18"/>
    <n v="3"/>
    <n v="3"/>
    <n v="80"/>
    <n v="1"/>
    <n v="19"/>
    <n v="3"/>
    <n v="3"/>
    <x v="4"/>
    <n v="2"/>
    <n v="2"/>
    <n v="2"/>
  </r>
  <r>
    <n v="33"/>
    <x v="1"/>
    <n v="0"/>
    <s v="Travel_Rarely"/>
    <n v="134"/>
    <x v="1"/>
    <n v="2"/>
    <n v="3"/>
    <x v="0"/>
    <n v="1"/>
    <n v="242"/>
    <n v="3"/>
    <x v="1"/>
    <n v="90"/>
    <n v="3"/>
    <x v="1"/>
    <x v="1"/>
    <n v="4"/>
    <x v="0"/>
    <n v="2500"/>
    <n v="10515"/>
    <n v="0"/>
    <s v="Y"/>
    <x v="1"/>
    <n v="14"/>
    <n v="3"/>
    <n v="1"/>
    <n v="80"/>
    <n v="0"/>
    <n v="4"/>
    <n v="2"/>
    <n v="4"/>
    <x v="11"/>
    <n v="1"/>
    <n v="0"/>
    <n v="2"/>
  </r>
  <r>
    <n v="19"/>
    <x v="0"/>
    <n v="1"/>
    <s v="Travel_Rarely"/>
    <n v="303"/>
    <x v="1"/>
    <n v="2"/>
    <n v="3"/>
    <x v="0"/>
    <n v="1"/>
    <n v="243"/>
    <n v="2"/>
    <x v="1"/>
    <n v="47"/>
    <n v="2"/>
    <x v="1"/>
    <x v="2"/>
    <n v="4"/>
    <x v="0"/>
    <n v="1102"/>
    <n v="9241"/>
    <n v="1"/>
    <s v="Y"/>
    <x v="1"/>
    <n v="22"/>
    <n v="4"/>
    <n v="3"/>
    <n v="80"/>
    <n v="0"/>
    <n v="1"/>
    <n v="3"/>
    <n v="2"/>
    <x v="6"/>
    <n v="0"/>
    <n v="1"/>
    <n v="0"/>
  </r>
  <r>
    <n v="46"/>
    <x v="1"/>
    <n v="0"/>
    <s v="Travel_Rarely"/>
    <n v="526"/>
    <x v="0"/>
    <n v="1"/>
    <n v="2"/>
    <x v="3"/>
    <n v="1"/>
    <n v="244"/>
    <n v="2"/>
    <x v="0"/>
    <n v="92"/>
    <n v="3"/>
    <x v="2"/>
    <x v="0"/>
    <n v="1"/>
    <x v="2"/>
    <n v="10453"/>
    <n v="2137"/>
    <n v="1"/>
    <s v="Y"/>
    <x v="1"/>
    <n v="25"/>
    <n v="4"/>
    <n v="3"/>
    <n v="80"/>
    <n v="3"/>
    <n v="24"/>
    <n v="2"/>
    <n v="3"/>
    <x v="25"/>
    <n v="13"/>
    <n v="15"/>
    <n v="7"/>
  </r>
  <r>
    <n v="38"/>
    <x v="1"/>
    <n v="0"/>
    <s v="Travel_Rarely"/>
    <n v="1380"/>
    <x v="1"/>
    <n v="9"/>
    <n v="2"/>
    <x v="0"/>
    <n v="1"/>
    <n v="245"/>
    <n v="3"/>
    <x v="0"/>
    <n v="75"/>
    <n v="3"/>
    <x v="1"/>
    <x v="2"/>
    <n v="4"/>
    <x v="0"/>
    <n v="2288"/>
    <n v="6319"/>
    <n v="1"/>
    <s v="Y"/>
    <x v="1"/>
    <n v="12"/>
    <n v="3"/>
    <n v="3"/>
    <n v="80"/>
    <n v="0"/>
    <n v="2"/>
    <n v="3"/>
    <n v="3"/>
    <x v="4"/>
    <n v="2"/>
    <n v="2"/>
    <n v="1"/>
  </r>
  <r>
    <n v="31"/>
    <x v="1"/>
    <n v="0"/>
    <s v="Travel_Rarely"/>
    <n v="140"/>
    <x v="1"/>
    <n v="12"/>
    <n v="1"/>
    <x v="2"/>
    <n v="1"/>
    <n v="246"/>
    <n v="3"/>
    <x v="0"/>
    <n v="95"/>
    <n v="3"/>
    <x v="1"/>
    <x v="1"/>
    <n v="4"/>
    <x v="1"/>
    <n v="3929"/>
    <n v="6984"/>
    <n v="8"/>
    <s v="Y"/>
    <x v="0"/>
    <n v="23"/>
    <n v="4"/>
    <n v="3"/>
    <n v="80"/>
    <n v="1"/>
    <n v="7"/>
    <n v="0"/>
    <n v="3"/>
    <x v="9"/>
    <n v="2"/>
    <n v="0"/>
    <n v="2"/>
  </r>
  <r>
    <n v="34"/>
    <x v="1"/>
    <n v="0"/>
    <s v="Travel_Rarely"/>
    <n v="629"/>
    <x v="1"/>
    <n v="27"/>
    <n v="2"/>
    <x v="2"/>
    <n v="1"/>
    <n v="247"/>
    <n v="4"/>
    <x v="0"/>
    <n v="95"/>
    <n v="3"/>
    <x v="1"/>
    <x v="1"/>
    <n v="2"/>
    <x v="0"/>
    <n v="2311"/>
    <n v="5711"/>
    <n v="2"/>
    <s v="Y"/>
    <x v="1"/>
    <n v="15"/>
    <n v="3"/>
    <n v="4"/>
    <n v="80"/>
    <n v="0"/>
    <n v="9"/>
    <n v="3"/>
    <n v="3"/>
    <x v="11"/>
    <n v="2"/>
    <n v="1"/>
    <n v="2"/>
  </r>
  <r>
    <n v="41"/>
    <x v="0"/>
    <n v="1"/>
    <s v="Travel_Rarely"/>
    <n v="1356"/>
    <x v="0"/>
    <n v="20"/>
    <n v="2"/>
    <x v="3"/>
    <n v="1"/>
    <n v="248"/>
    <n v="2"/>
    <x v="0"/>
    <n v="70"/>
    <n v="3"/>
    <x v="1"/>
    <x v="6"/>
    <n v="2"/>
    <x v="0"/>
    <n v="3140"/>
    <n v="21728"/>
    <n v="1"/>
    <s v="Y"/>
    <x v="0"/>
    <n v="22"/>
    <n v="4"/>
    <n v="4"/>
    <n v="80"/>
    <n v="0"/>
    <n v="4"/>
    <n v="5"/>
    <n v="2"/>
    <x v="9"/>
    <n v="3"/>
    <n v="0"/>
    <n v="2"/>
  </r>
  <r>
    <n v="50"/>
    <x v="1"/>
    <n v="0"/>
    <s v="Travel_Rarely"/>
    <n v="328"/>
    <x v="1"/>
    <n v="1"/>
    <n v="3"/>
    <x v="2"/>
    <n v="1"/>
    <n v="249"/>
    <n v="3"/>
    <x v="1"/>
    <n v="86"/>
    <n v="2"/>
    <x v="1"/>
    <x v="2"/>
    <n v="3"/>
    <x v="1"/>
    <n v="3690"/>
    <n v="3425"/>
    <n v="2"/>
    <s v="Y"/>
    <x v="1"/>
    <n v="15"/>
    <n v="3"/>
    <n v="4"/>
    <n v="80"/>
    <n v="1"/>
    <n v="5"/>
    <n v="2"/>
    <n v="2"/>
    <x v="11"/>
    <n v="2"/>
    <n v="0"/>
    <n v="2"/>
  </r>
  <r>
    <n v="53"/>
    <x v="1"/>
    <n v="0"/>
    <s v="Travel_Rarely"/>
    <n v="1084"/>
    <x v="1"/>
    <n v="13"/>
    <n v="2"/>
    <x v="2"/>
    <n v="1"/>
    <n v="250"/>
    <n v="4"/>
    <x v="0"/>
    <n v="57"/>
    <n v="4"/>
    <x v="0"/>
    <x v="3"/>
    <n v="1"/>
    <x v="2"/>
    <n v="4450"/>
    <n v="26250"/>
    <n v="1"/>
    <s v="Y"/>
    <x v="1"/>
    <n v="11"/>
    <n v="3"/>
    <n v="3"/>
    <n v="80"/>
    <n v="2"/>
    <n v="5"/>
    <n v="3"/>
    <n v="3"/>
    <x v="9"/>
    <n v="2"/>
    <n v="1"/>
    <n v="3"/>
  </r>
  <r>
    <n v="33"/>
    <x v="1"/>
    <n v="0"/>
    <s v="Travel_Rarely"/>
    <n v="931"/>
    <x v="1"/>
    <n v="14"/>
    <n v="3"/>
    <x v="2"/>
    <n v="1"/>
    <n v="252"/>
    <n v="4"/>
    <x v="0"/>
    <n v="72"/>
    <n v="3"/>
    <x v="1"/>
    <x v="1"/>
    <n v="2"/>
    <x v="1"/>
    <n v="2756"/>
    <n v="4673"/>
    <n v="1"/>
    <s v="Y"/>
    <x v="1"/>
    <n v="13"/>
    <n v="3"/>
    <n v="4"/>
    <n v="80"/>
    <n v="1"/>
    <n v="8"/>
    <n v="5"/>
    <n v="3"/>
    <x v="3"/>
    <n v="7"/>
    <n v="1"/>
    <n v="6"/>
  </r>
  <r>
    <n v="40"/>
    <x v="1"/>
    <n v="0"/>
    <s v="Travel_Rarely"/>
    <n v="989"/>
    <x v="1"/>
    <n v="4"/>
    <n v="1"/>
    <x v="2"/>
    <n v="1"/>
    <n v="253"/>
    <n v="4"/>
    <x v="0"/>
    <n v="46"/>
    <n v="3"/>
    <x v="4"/>
    <x v="5"/>
    <n v="3"/>
    <x v="1"/>
    <n v="19033"/>
    <n v="6499"/>
    <n v="1"/>
    <s v="Y"/>
    <x v="1"/>
    <n v="14"/>
    <n v="3"/>
    <n v="2"/>
    <n v="80"/>
    <n v="1"/>
    <n v="21"/>
    <n v="2"/>
    <n v="3"/>
    <x v="23"/>
    <n v="8"/>
    <n v="9"/>
    <n v="9"/>
  </r>
  <r>
    <n v="55"/>
    <x v="1"/>
    <n v="0"/>
    <s v="Travel_Rarely"/>
    <n v="692"/>
    <x v="1"/>
    <n v="14"/>
    <n v="4"/>
    <x v="2"/>
    <n v="1"/>
    <n v="254"/>
    <n v="3"/>
    <x v="1"/>
    <n v="61"/>
    <n v="4"/>
    <x v="4"/>
    <x v="7"/>
    <n v="2"/>
    <x v="0"/>
    <n v="18722"/>
    <n v="13339"/>
    <n v="8"/>
    <s v="Y"/>
    <x v="1"/>
    <n v="11"/>
    <n v="3"/>
    <n v="4"/>
    <n v="80"/>
    <n v="0"/>
    <n v="36"/>
    <n v="3"/>
    <n v="3"/>
    <x v="25"/>
    <n v="15"/>
    <n v="2"/>
    <n v="15"/>
  </r>
  <r>
    <n v="34"/>
    <x v="1"/>
    <n v="0"/>
    <s v="Travel_Frequently"/>
    <n v="1069"/>
    <x v="1"/>
    <n v="2"/>
    <n v="1"/>
    <x v="0"/>
    <n v="1"/>
    <n v="256"/>
    <n v="4"/>
    <x v="1"/>
    <n v="45"/>
    <n v="2"/>
    <x v="0"/>
    <x v="3"/>
    <n v="3"/>
    <x v="1"/>
    <n v="9547"/>
    <n v="14074"/>
    <n v="1"/>
    <s v="Y"/>
    <x v="1"/>
    <n v="17"/>
    <n v="3"/>
    <n v="3"/>
    <n v="80"/>
    <n v="0"/>
    <n v="10"/>
    <n v="2"/>
    <n v="2"/>
    <x v="1"/>
    <n v="9"/>
    <n v="1"/>
    <n v="9"/>
  </r>
  <r>
    <n v="51"/>
    <x v="1"/>
    <n v="0"/>
    <s v="Travel_Rarely"/>
    <n v="313"/>
    <x v="1"/>
    <n v="3"/>
    <n v="3"/>
    <x v="2"/>
    <n v="1"/>
    <n v="258"/>
    <n v="4"/>
    <x v="0"/>
    <n v="98"/>
    <n v="3"/>
    <x v="3"/>
    <x v="4"/>
    <n v="2"/>
    <x v="0"/>
    <n v="13734"/>
    <n v="7192"/>
    <n v="3"/>
    <s v="Y"/>
    <x v="1"/>
    <n v="18"/>
    <n v="3"/>
    <n v="3"/>
    <n v="80"/>
    <n v="0"/>
    <n v="21"/>
    <n v="6"/>
    <n v="3"/>
    <x v="5"/>
    <n v="7"/>
    <n v="1"/>
    <n v="0"/>
  </r>
  <r>
    <n v="52"/>
    <x v="1"/>
    <n v="0"/>
    <s v="Travel_Rarely"/>
    <n v="699"/>
    <x v="1"/>
    <n v="1"/>
    <n v="4"/>
    <x v="0"/>
    <n v="1"/>
    <n v="259"/>
    <n v="3"/>
    <x v="1"/>
    <n v="65"/>
    <n v="2"/>
    <x v="4"/>
    <x v="5"/>
    <n v="3"/>
    <x v="1"/>
    <n v="19999"/>
    <n v="5678"/>
    <n v="0"/>
    <s v="Y"/>
    <x v="1"/>
    <n v="14"/>
    <n v="3"/>
    <n v="1"/>
    <n v="80"/>
    <n v="1"/>
    <n v="34"/>
    <n v="5"/>
    <n v="3"/>
    <x v="26"/>
    <n v="18"/>
    <n v="11"/>
    <n v="9"/>
  </r>
  <r>
    <n v="27"/>
    <x v="1"/>
    <n v="0"/>
    <s v="Travel_Rarely"/>
    <n v="894"/>
    <x v="1"/>
    <n v="9"/>
    <n v="3"/>
    <x v="2"/>
    <n v="1"/>
    <n v="260"/>
    <n v="4"/>
    <x v="0"/>
    <n v="99"/>
    <n v="3"/>
    <x v="1"/>
    <x v="1"/>
    <n v="2"/>
    <x v="0"/>
    <n v="2279"/>
    <n v="11781"/>
    <n v="1"/>
    <s v="Y"/>
    <x v="1"/>
    <n v="16"/>
    <n v="3"/>
    <n v="4"/>
    <n v="80"/>
    <n v="0"/>
    <n v="7"/>
    <n v="2"/>
    <n v="2"/>
    <x v="5"/>
    <n v="7"/>
    <n v="0"/>
    <n v="3"/>
  </r>
  <r>
    <n v="35"/>
    <x v="0"/>
    <n v="1"/>
    <s v="Travel_Rarely"/>
    <n v="556"/>
    <x v="1"/>
    <n v="23"/>
    <n v="2"/>
    <x v="0"/>
    <n v="1"/>
    <n v="261"/>
    <n v="2"/>
    <x v="1"/>
    <n v="50"/>
    <n v="2"/>
    <x v="0"/>
    <x v="3"/>
    <n v="3"/>
    <x v="1"/>
    <n v="5916"/>
    <n v="15497"/>
    <n v="3"/>
    <s v="Y"/>
    <x v="0"/>
    <n v="13"/>
    <n v="3"/>
    <n v="1"/>
    <n v="80"/>
    <n v="0"/>
    <n v="8"/>
    <n v="1"/>
    <n v="3"/>
    <x v="6"/>
    <n v="0"/>
    <n v="0"/>
    <n v="1"/>
  </r>
  <r>
    <n v="43"/>
    <x v="1"/>
    <n v="0"/>
    <s v="Non-Travel"/>
    <n v="1344"/>
    <x v="1"/>
    <n v="7"/>
    <n v="3"/>
    <x v="2"/>
    <n v="1"/>
    <n v="262"/>
    <n v="4"/>
    <x v="1"/>
    <n v="37"/>
    <n v="4"/>
    <x v="1"/>
    <x v="1"/>
    <n v="4"/>
    <x v="2"/>
    <n v="2089"/>
    <n v="5228"/>
    <n v="4"/>
    <s v="Y"/>
    <x v="1"/>
    <n v="14"/>
    <n v="3"/>
    <n v="4"/>
    <n v="80"/>
    <n v="3"/>
    <n v="7"/>
    <n v="3"/>
    <n v="4"/>
    <x v="8"/>
    <n v="4"/>
    <n v="2"/>
    <n v="2"/>
  </r>
  <r>
    <n v="45"/>
    <x v="1"/>
    <n v="0"/>
    <s v="Non-Travel"/>
    <n v="1195"/>
    <x v="1"/>
    <n v="2"/>
    <n v="2"/>
    <x v="2"/>
    <n v="1"/>
    <n v="264"/>
    <n v="1"/>
    <x v="1"/>
    <n v="65"/>
    <n v="2"/>
    <x v="3"/>
    <x v="5"/>
    <n v="4"/>
    <x v="1"/>
    <n v="16792"/>
    <n v="20462"/>
    <n v="9"/>
    <s v="Y"/>
    <x v="1"/>
    <n v="23"/>
    <n v="4"/>
    <n v="4"/>
    <n v="80"/>
    <n v="1"/>
    <n v="22"/>
    <n v="1"/>
    <n v="3"/>
    <x v="23"/>
    <n v="8"/>
    <n v="11"/>
    <n v="8"/>
  </r>
  <r>
    <n v="37"/>
    <x v="1"/>
    <n v="0"/>
    <s v="Travel_Rarely"/>
    <n v="290"/>
    <x v="1"/>
    <n v="21"/>
    <n v="3"/>
    <x v="0"/>
    <n v="1"/>
    <n v="267"/>
    <n v="2"/>
    <x v="1"/>
    <n v="65"/>
    <n v="4"/>
    <x v="1"/>
    <x v="1"/>
    <n v="1"/>
    <x v="1"/>
    <n v="3564"/>
    <n v="22977"/>
    <n v="1"/>
    <s v="Y"/>
    <x v="0"/>
    <n v="12"/>
    <n v="3"/>
    <n v="1"/>
    <n v="80"/>
    <n v="1"/>
    <n v="8"/>
    <n v="3"/>
    <n v="2"/>
    <x v="3"/>
    <n v="7"/>
    <n v="1"/>
    <n v="7"/>
  </r>
  <r>
    <n v="35"/>
    <x v="1"/>
    <n v="0"/>
    <s v="Travel_Frequently"/>
    <n v="138"/>
    <x v="1"/>
    <n v="2"/>
    <n v="3"/>
    <x v="2"/>
    <n v="1"/>
    <n v="269"/>
    <n v="2"/>
    <x v="0"/>
    <n v="37"/>
    <n v="3"/>
    <x v="0"/>
    <x v="2"/>
    <n v="2"/>
    <x v="0"/>
    <n v="4425"/>
    <n v="15986"/>
    <n v="5"/>
    <s v="Y"/>
    <x v="1"/>
    <n v="11"/>
    <n v="3"/>
    <n v="4"/>
    <n v="80"/>
    <n v="0"/>
    <n v="10"/>
    <n v="5"/>
    <n v="3"/>
    <x v="0"/>
    <n v="2"/>
    <n v="1"/>
    <n v="2"/>
  </r>
  <r>
    <n v="42"/>
    <x v="1"/>
    <n v="0"/>
    <s v="Non-Travel"/>
    <n v="926"/>
    <x v="1"/>
    <n v="21"/>
    <n v="2"/>
    <x v="2"/>
    <n v="1"/>
    <n v="270"/>
    <n v="3"/>
    <x v="0"/>
    <n v="36"/>
    <n v="3"/>
    <x v="0"/>
    <x v="3"/>
    <n v="3"/>
    <x v="2"/>
    <n v="5265"/>
    <n v="16439"/>
    <n v="2"/>
    <s v="Y"/>
    <x v="1"/>
    <n v="16"/>
    <n v="3"/>
    <n v="2"/>
    <n v="80"/>
    <n v="1"/>
    <n v="11"/>
    <n v="5"/>
    <n v="3"/>
    <x v="8"/>
    <n v="3"/>
    <n v="0"/>
    <n v="2"/>
  </r>
  <r>
    <n v="38"/>
    <x v="1"/>
    <n v="0"/>
    <s v="Travel_Rarely"/>
    <n v="1261"/>
    <x v="1"/>
    <n v="2"/>
    <n v="4"/>
    <x v="0"/>
    <n v="1"/>
    <n v="271"/>
    <n v="4"/>
    <x v="1"/>
    <n v="88"/>
    <n v="3"/>
    <x v="0"/>
    <x v="3"/>
    <n v="3"/>
    <x v="1"/>
    <n v="6553"/>
    <n v="7259"/>
    <n v="9"/>
    <s v="Y"/>
    <x v="1"/>
    <n v="14"/>
    <n v="3"/>
    <n v="2"/>
    <n v="80"/>
    <n v="0"/>
    <n v="14"/>
    <n v="3"/>
    <n v="3"/>
    <x v="6"/>
    <n v="0"/>
    <n v="0"/>
    <n v="0"/>
  </r>
  <r>
    <n v="38"/>
    <x v="1"/>
    <n v="0"/>
    <s v="Travel_Rarely"/>
    <n v="1084"/>
    <x v="1"/>
    <n v="29"/>
    <n v="3"/>
    <x v="4"/>
    <n v="1"/>
    <n v="273"/>
    <n v="4"/>
    <x v="1"/>
    <n v="54"/>
    <n v="3"/>
    <x v="0"/>
    <x v="3"/>
    <n v="4"/>
    <x v="1"/>
    <n v="6261"/>
    <n v="4185"/>
    <n v="3"/>
    <s v="Y"/>
    <x v="1"/>
    <n v="18"/>
    <n v="3"/>
    <n v="1"/>
    <n v="80"/>
    <n v="1"/>
    <n v="9"/>
    <n v="3"/>
    <n v="1"/>
    <x v="5"/>
    <n v="7"/>
    <n v="1"/>
    <n v="7"/>
  </r>
  <r>
    <n v="27"/>
    <x v="1"/>
    <n v="0"/>
    <s v="Travel_Frequently"/>
    <n v="472"/>
    <x v="1"/>
    <n v="1"/>
    <n v="1"/>
    <x v="4"/>
    <n v="1"/>
    <n v="274"/>
    <n v="3"/>
    <x v="1"/>
    <n v="60"/>
    <n v="2"/>
    <x v="0"/>
    <x v="3"/>
    <n v="1"/>
    <x v="1"/>
    <n v="4298"/>
    <n v="9679"/>
    <n v="5"/>
    <s v="Y"/>
    <x v="1"/>
    <n v="19"/>
    <n v="3"/>
    <n v="3"/>
    <n v="80"/>
    <n v="1"/>
    <n v="6"/>
    <n v="1"/>
    <n v="3"/>
    <x v="4"/>
    <n v="2"/>
    <n v="2"/>
    <n v="0"/>
  </r>
  <r>
    <n v="49"/>
    <x v="1"/>
    <n v="0"/>
    <s v="Non-Travel"/>
    <n v="1002"/>
    <x v="1"/>
    <n v="18"/>
    <n v="4"/>
    <x v="0"/>
    <n v="1"/>
    <n v="275"/>
    <n v="4"/>
    <x v="1"/>
    <n v="92"/>
    <n v="3"/>
    <x v="0"/>
    <x v="3"/>
    <n v="4"/>
    <x v="2"/>
    <n v="6804"/>
    <n v="23793"/>
    <n v="1"/>
    <s v="Y"/>
    <x v="0"/>
    <n v="15"/>
    <n v="3"/>
    <n v="1"/>
    <n v="80"/>
    <n v="2"/>
    <n v="7"/>
    <n v="0"/>
    <n v="3"/>
    <x v="5"/>
    <n v="7"/>
    <n v="1"/>
    <n v="7"/>
  </r>
  <r>
    <n v="34"/>
    <x v="1"/>
    <n v="0"/>
    <s v="Travel_Frequently"/>
    <n v="878"/>
    <x v="1"/>
    <n v="10"/>
    <n v="4"/>
    <x v="2"/>
    <n v="1"/>
    <n v="277"/>
    <n v="4"/>
    <x v="1"/>
    <n v="43"/>
    <n v="3"/>
    <x v="1"/>
    <x v="1"/>
    <n v="3"/>
    <x v="2"/>
    <n v="3815"/>
    <n v="5972"/>
    <n v="1"/>
    <s v="Y"/>
    <x v="0"/>
    <n v="17"/>
    <n v="3"/>
    <n v="4"/>
    <n v="80"/>
    <n v="1"/>
    <n v="5"/>
    <n v="4"/>
    <n v="4"/>
    <x v="8"/>
    <n v="3"/>
    <n v="2"/>
    <n v="0"/>
  </r>
  <r>
    <n v="40"/>
    <x v="1"/>
    <n v="0"/>
    <s v="Travel_Rarely"/>
    <n v="905"/>
    <x v="1"/>
    <n v="19"/>
    <n v="2"/>
    <x v="2"/>
    <n v="1"/>
    <n v="281"/>
    <n v="3"/>
    <x v="1"/>
    <n v="99"/>
    <n v="3"/>
    <x v="0"/>
    <x v="2"/>
    <n v="4"/>
    <x v="1"/>
    <n v="2741"/>
    <n v="16523"/>
    <n v="8"/>
    <s v="Y"/>
    <x v="0"/>
    <n v="15"/>
    <n v="3"/>
    <n v="3"/>
    <n v="80"/>
    <n v="1"/>
    <n v="15"/>
    <n v="2"/>
    <n v="4"/>
    <x v="5"/>
    <n v="2"/>
    <n v="3"/>
    <n v="7"/>
  </r>
  <r>
    <n v="38"/>
    <x v="0"/>
    <n v="1"/>
    <s v="Travel_Rarely"/>
    <n v="1180"/>
    <x v="1"/>
    <n v="29"/>
    <n v="1"/>
    <x v="2"/>
    <n v="1"/>
    <n v="282"/>
    <n v="2"/>
    <x v="1"/>
    <n v="70"/>
    <n v="3"/>
    <x v="0"/>
    <x v="4"/>
    <n v="1"/>
    <x v="1"/>
    <n v="6673"/>
    <n v="11354"/>
    <n v="7"/>
    <s v="Y"/>
    <x v="0"/>
    <n v="19"/>
    <n v="3"/>
    <n v="2"/>
    <n v="80"/>
    <n v="0"/>
    <n v="17"/>
    <n v="2"/>
    <n v="3"/>
    <x v="6"/>
    <n v="0"/>
    <n v="0"/>
    <n v="0"/>
  </r>
  <r>
    <n v="29"/>
    <x v="0"/>
    <n v="1"/>
    <s v="Travel_Rarely"/>
    <n v="121"/>
    <x v="0"/>
    <n v="27"/>
    <n v="3"/>
    <x v="3"/>
    <n v="1"/>
    <n v="283"/>
    <n v="2"/>
    <x v="0"/>
    <n v="35"/>
    <n v="3"/>
    <x v="2"/>
    <x v="0"/>
    <n v="4"/>
    <x v="1"/>
    <n v="7639"/>
    <n v="24525"/>
    <n v="1"/>
    <s v="Y"/>
    <x v="1"/>
    <n v="22"/>
    <n v="4"/>
    <n v="4"/>
    <n v="80"/>
    <n v="3"/>
    <n v="10"/>
    <n v="3"/>
    <n v="2"/>
    <x v="1"/>
    <n v="4"/>
    <n v="1"/>
    <n v="9"/>
  </r>
  <r>
    <n v="22"/>
    <x v="1"/>
    <n v="0"/>
    <s v="Travel_Rarely"/>
    <n v="1136"/>
    <x v="1"/>
    <n v="5"/>
    <n v="3"/>
    <x v="0"/>
    <n v="1"/>
    <n v="284"/>
    <n v="4"/>
    <x v="1"/>
    <n v="60"/>
    <n v="4"/>
    <x v="1"/>
    <x v="1"/>
    <n v="2"/>
    <x v="2"/>
    <n v="2328"/>
    <n v="12392"/>
    <n v="1"/>
    <s v="Y"/>
    <x v="0"/>
    <n v="16"/>
    <n v="3"/>
    <n v="1"/>
    <n v="80"/>
    <n v="1"/>
    <n v="4"/>
    <n v="2"/>
    <n v="2"/>
    <x v="9"/>
    <n v="2"/>
    <n v="2"/>
    <n v="2"/>
  </r>
  <r>
    <n v="36"/>
    <x v="1"/>
    <n v="0"/>
    <s v="Travel_Frequently"/>
    <n v="635"/>
    <x v="1"/>
    <n v="18"/>
    <n v="1"/>
    <x v="2"/>
    <n v="1"/>
    <n v="286"/>
    <n v="2"/>
    <x v="0"/>
    <n v="73"/>
    <n v="3"/>
    <x v="1"/>
    <x v="2"/>
    <n v="4"/>
    <x v="0"/>
    <n v="2153"/>
    <n v="7703"/>
    <n v="1"/>
    <s v="Y"/>
    <x v="1"/>
    <n v="13"/>
    <n v="3"/>
    <n v="1"/>
    <n v="80"/>
    <n v="0"/>
    <n v="8"/>
    <n v="2"/>
    <n v="3"/>
    <x v="3"/>
    <n v="1"/>
    <n v="1"/>
    <n v="7"/>
  </r>
  <r>
    <n v="40"/>
    <x v="1"/>
    <n v="0"/>
    <s v="Non-Travel"/>
    <n v="1151"/>
    <x v="1"/>
    <n v="9"/>
    <n v="5"/>
    <x v="0"/>
    <n v="1"/>
    <n v="287"/>
    <n v="4"/>
    <x v="1"/>
    <n v="63"/>
    <n v="2"/>
    <x v="0"/>
    <x v="4"/>
    <n v="4"/>
    <x v="1"/>
    <n v="4876"/>
    <n v="14242"/>
    <n v="9"/>
    <s v="Y"/>
    <x v="1"/>
    <n v="14"/>
    <n v="3"/>
    <n v="4"/>
    <n v="80"/>
    <n v="1"/>
    <n v="5"/>
    <n v="5"/>
    <n v="1"/>
    <x v="11"/>
    <n v="2"/>
    <n v="0"/>
    <n v="2"/>
  </r>
  <r>
    <n v="46"/>
    <x v="1"/>
    <n v="0"/>
    <s v="Travel_Rarely"/>
    <n v="644"/>
    <x v="1"/>
    <n v="1"/>
    <n v="4"/>
    <x v="2"/>
    <n v="1"/>
    <n v="288"/>
    <n v="4"/>
    <x v="1"/>
    <n v="97"/>
    <n v="3"/>
    <x v="2"/>
    <x v="4"/>
    <n v="1"/>
    <x v="2"/>
    <n v="9396"/>
    <n v="12368"/>
    <n v="7"/>
    <s v="Y"/>
    <x v="1"/>
    <n v="16"/>
    <n v="3"/>
    <n v="3"/>
    <n v="80"/>
    <n v="1"/>
    <n v="17"/>
    <n v="3"/>
    <n v="3"/>
    <x v="9"/>
    <n v="2"/>
    <n v="0"/>
    <n v="3"/>
  </r>
  <r>
    <n v="32"/>
    <x v="0"/>
    <n v="1"/>
    <s v="Travel_Rarely"/>
    <n v="1045"/>
    <x v="0"/>
    <n v="4"/>
    <n v="4"/>
    <x v="2"/>
    <n v="1"/>
    <n v="291"/>
    <n v="4"/>
    <x v="1"/>
    <n v="32"/>
    <n v="1"/>
    <x v="2"/>
    <x v="0"/>
    <n v="4"/>
    <x v="1"/>
    <n v="10400"/>
    <n v="25812"/>
    <n v="1"/>
    <s v="Y"/>
    <x v="1"/>
    <n v="11"/>
    <n v="3"/>
    <n v="3"/>
    <n v="80"/>
    <n v="0"/>
    <n v="14"/>
    <n v="2"/>
    <n v="2"/>
    <x v="13"/>
    <n v="8"/>
    <n v="9"/>
    <n v="8"/>
  </r>
  <r>
    <n v="30"/>
    <x v="1"/>
    <n v="0"/>
    <s v="Non-Travel"/>
    <n v="829"/>
    <x v="1"/>
    <n v="1"/>
    <n v="1"/>
    <x v="0"/>
    <n v="1"/>
    <n v="292"/>
    <n v="3"/>
    <x v="1"/>
    <n v="88"/>
    <n v="2"/>
    <x v="2"/>
    <x v="3"/>
    <n v="3"/>
    <x v="0"/>
    <n v="8474"/>
    <n v="20925"/>
    <n v="1"/>
    <s v="Y"/>
    <x v="1"/>
    <n v="22"/>
    <n v="4"/>
    <n v="3"/>
    <n v="80"/>
    <n v="0"/>
    <n v="12"/>
    <n v="2"/>
    <n v="3"/>
    <x v="19"/>
    <n v="8"/>
    <n v="5"/>
    <n v="8"/>
  </r>
  <r>
    <n v="27"/>
    <x v="1"/>
    <n v="0"/>
    <s v="Travel_Frequently"/>
    <n v="1242"/>
    <x v="0"/>
    <n v="20"/>
    <n v="3"/>
    <x v="0"/>
    <n v="1"/>
    <n v="293"/>
    <n v="4"/>
    <x v="0"/>
    <n v="90"/>
    <n v="3"/>
    <x v="0"/>
    <x v="0"/>
    <n v="3"/>
    <x v="0"/>
    <n v="9981"/>
    <n v="12916"/>
    <n v="1"/>
    <s v="Y"/>
    <x v="1"/>
    <n v="14"/>
    <n v="3"/>
    <n v="4"/>
    <n v="80"/>
    <n v="0"/>
    <n v="7"/>
    <n v="2"/>
    <n v="3"/>
    <x v="5"/>
    <n v="7"/>
    <n v="0"/>
    <n v="7"/>
  </r>
  <r>
    <n v="51"/>
    <x v="1"/>
    <n v="0"/>
    <s v="Travel_Rarely"/>
    <n v="1469"/>
    <x v="1"/>
    <n v="8"/>
    <n v="4"/>
    <x v="0"/>
    <n v="1"/>
    <n v="296"/>
    <n v="2"/>
    <x v="1"/>
    <n v="81"/>
    <n v="2"/>
    <x v="2"/>
    <x v="7"/>
    <n v="2"/>
    <x v="1"/>
    <n v="12490"/>
    <n v="15736"/>
    <n v="5"/>
    <s v="Y"/>
    <x v="1"/>
    <n v="16"/>
    <n v="3"/>
    <n v="4"/>
    <n v="80"/>
    <n v="2"/>
    <n v="16"/>
    <n v="5"/>
    <n v="1"/>
    <x v="1"/>
    <n v="9"/>
    <n v="4"/>
    <n v="7"/>
  </r>
  <r>
    <n v="30"/>
    <x v="0"/>
    <n v="1"/>
    <s v="Travel_Rarely"/>
    <n v="1005"/>
    <x v="1"/>
    <n v="3"/>
    <n v="3"/>
    <x v="4"/>
    <n v="1"/>
    <n v="297"/>
    <n v="4"/>
    <x v="0"/>
    <n v="88"/>
    <n v="3"/>
    <x v="1"/>
    <x v="1"/>
    <n v="1"/>
    <x v="0"/>
    <n v="2657"/>
    <n v="8556"/>
    <n v="5"/>
    <s v="Y"/>
    <x v="0"/>
    <n v="11"/>
    <n v="3"/>
    <n v="3"/>
    <n v="80"/>
    <n v="0"/>
    <n v="8"/>
    <n v="5"/>
    <n v="3"/>
    <x v="8"/>
    <n v="2"/>
    <n v="0"/>
    <n v="4"/>
  </r>
  <r>
    <n v="41"/>
    <x v="1"/>
    <n v="0"/>
    <s v="Travel_Rarely"/>
    <n v="896"/>
    <x v="0"/>
    <n v="6"/>
    <n v="3"/>
    <x v="0"/>
    <n v="1"/>
    <n v="298"/>
    <n v="4"/>
    <x v="0"/>
    <n v="75"/>
    <n v="3"/>
    <x v="2"/>
    <x v="5"/>
    <n v="4"/>
    <x v="0"/>
    <n v="13591"/>
    <n v="14674"/>
    <n v="3"/>
    <s v="Y"/>
    <x v="0"/>
    <n v="18"/>
    <n v="3"/>
    <n v="3"/>
    <n v="80"/>
    <n v="0"/>
    <n v="16"/>
    <n v="3"/>
    <n v="3"/>
    <x v="6"/>
    <n v="0"/>
    <n v="0"/>
    <n v="0"/>
  </r>
  <r>
    <n v="30"/>
    <x v="0"/>
    <n v="1"/>
    <s v="Travel_Frequently"/>
    <n v="334"/>
    <x v="0"/>
    <n v="26"/>
    <n v="4"/>
    <x v="3"/>
    <n v="1"/>
    <n v="299"/>
    <n v="3"/>
    <x v="0"/>
    <n v="52"/>
    <n v="2"/>
    <x v="0"/>
    <x v="0"/>
    <n v="1"/>
    <x v="0"/>
    <n v="6696"/>
    <n v="22967"/>
    <n v="5"/>
    <s v="Y"/>
    <x v="1"/>
    <n v="15"/>
    <n v="3"/>
    <n v="3"/>
    <n v="80"/>
    <n v="0"/>
    <n v="9"/>
    <n v="5"/>
    <n v="2"/>
    <x v="0"/>
    <n v="3"/>
    <n v="0"/>
    <n v="1"/>
  </r>
  <r>
    <n v="29"/>
    <x v="0"/>
    <n v="1"/>
    <s v="Travel_Rarely"/>
    <n v="992"/>
    <x v="1"/>
    <n v="1"/>
    <n v="3"/>
    <x v="4"/>
    <n v="1"/>
    <n v="300"/>
    <n v="3"/>
    <x v="1"/>
    <n v="85"/>
    <n v="3"/>
    <x v="1"/>
    <x v="1"/>
    <n v="3"/>
    <x v="0"/>
    <n v="2058"/>
    <n v="19757"/>
    <n v="0"/>
    <s v="Y"/>
    <x v="1"/>
    <n v="14"/>
    <n v="3"/>
    <n v="4"/>
    <n v="80"/>
    <n v="0"/>
    <n v="7"/>
    <n v="1"/>
    <n v="2"/>
    <x v="0"/>
    <n v="2"/>
    <n v="1"/>
    <n v="5"/>
  </r>
  <r>
    <n v="45"/>
    <x v="1"/>
    <n v="0"/>
    <s v="Non-Travel"/>
    <n v="1052"/>
    <x v="0"/>
    <n v="6"/>
    <n v="3"/>
    <x v="2"/>
    <n v="1"/>
    <n v="302"/>
    <n v="4"/>
    <x v="0"/>
    <n v="57"/>
    <n v="2"/>
    <x v="2"/>
    <x v="0"/>
    <n v="4"/>
    <x v="0"/>
    <n v="8865"/>
    <n v="16840"/>
    <n v="6"/>
    <s v="Y"/>
    <x v="1"/>
    <n v="12"/>
    <n v="3"/>
    <n v="4"/>
    <n v="80"/>
    <n v="0"/>
    <n v="23"/>
    <n v="2"/>
    <n v="3"/>
    <x v="27"/>
    <n v="7"/>
    <n v="12"/>
    <n v="8"/>
  </r>
  <r>
    <n v="54"/>
    <x v="1"/>
    <n v="0"/>
    <s v="Travel_Rarely"/>
    <n v="1147"/>
    <x v="0"/>
    <n v="3"/>
    <n v="3"/>
    <x v="3"/>
    <n v="1"/>
    <n v="303"/>
    <n v="4"/>
    <x v="0"/>
    <n v="52"/>
    <n v="3"/>
    <x v="0"/>
    <x v="0"/>
    <n v="1"/>
    <x v="1"/>
    <n v="5940"/>
    <n v="17011"/>
    <n v="2"/>
    <s v="Y"/>
    <x v="1"/>
    <n v="14"/>
    <n v="3"/>
    <n v="4"/>
    <n v="80"/>
    <n v="1"/>
    <n v="16"/>
    <n v="4"/>
    <n v="3"/>
    <x v="0"/>
    <n v="2"/>
    <n v="0"/>
    <n v="5"/>
  </r>
  <r>
    <n v="36"/>
    <x v="1"/>
    <n v="0"/>
    <s v="Travel_Rarely"/>
    <n v="1396"/>
    <x v="1"/>
    <n v="5"/>
    <n v="2"/>
    <x v="0"/>
    <n v="1"/>
    <n v="304"/>
    <n v="4"/>
    <x v="1"/>
    <n v="62"/>
    <n v="3"/>
    <x v="0"/>
    <x v="2"/>
    <n v="2"/>
    <x v="0"/>
    <n v="5914"/>
    <n v="9945"/>
    <n v="8"/>
    <s v="Y"/>
    <x v="1"/>
    <n v="16"/>
    <n v="3"/>
    <n v="4"/>
    <n v="80"/>
    <n v="0"/>
    <n v="16"/>
    <n v="3"/>
    <n v="4"/>
    <x v="20"/>
    <n v="11"/>
    <n v="3"/>
    <n v="7"/>
  </r>
  <r>
    <n v="33"/>
    <x v="1"/>
    <n v="0"/>
    <s v="Travel_Rarely"/>
    <n v="147"/>
    <x v="1"/>
    <n v="4"/>
    <n v="4"/>
    <x v="2"/>
    <n v="1"/>
    <n v="305"/>
    <n v="3"/>
    <x v="0"/>
    <n v="47"/>
    <n v="2"/>
    <x v="1"/>
    <x v="1"/>
    <n v="2"/>
    <x v="1"/>
    <n v="2622"/>
    <n v="13248"/>
    <n v="6"/>
    <s v="Y"/>
    <x v="1"/>
    <n v="21"/>
    <n v="4"/>
    <n v="4"/>
    <n v="80"/>
    <n v="0"/>
    <n v="7"/>
    <n v="3"/>
    <n v="3"/>
    <x v="11"/>
    <n v="2"/>
    <n v="1"/>
    <n v="1"/>
  </r>
  <r>
    <n v="37"/>
    <x v="1"/>
    <n v="0"/>
    <s v="Travel_Frequently"/>
    <n v="663"/>
    <x v="1"/>
    <n v="11"/>
    <n v="3"/>
    <x v="1"/>
    <n v="1"/>
    <n v="306"/>
    <n v="2"/>
    <x v="1"/>
    <n v="47"/>
    <n v="3"/>
    <x v="2"/>
    <x v="7"/>
    <n v="4"/>
    <x v="2"/>
    <n v="12185"/>
    <n v="10056"/>
    <n v="1"/>
    <s v="Y"/>
    <x v="0"/>
    <n v="14"/>
    <n v="3"/>
    <n v="3"/>
    <n v="80"/>
    <n v="3"/>
    <n v="10"/>
    <n v="1"/>
    <n v="3"/>
    <x v="1"/>
    <n v="8"/>
    <n v="0"/>
    <n v="7"/>
  </r>
  <r>
    <n v="38"/>
    <x v="1"/>
    <n v="0"/>
    <s v="Travel_Rarely"/>
    <n v="119"/>
    <x v="0"/>
    <n v="3"/>
    <n v="3"/>
    <x v="0"/>
    <n v="1"/>
    <n v="307"/>
    <n v="1"/>
    <x v="1"/>
    <n v="76"/>
    <n v="3"/>
    <x v="2"/>
    <x v="0"/>
    <n v="3"/>
    <x v="2"/>
    <n v="10609"/>
    <n v="9647"/>
    <n v="0"/>
    <s v="Y"/>
    <x v="1"/>
    <n v="12"/>
    <n v="3"/>
    <n v="3"/>
    <n v="80"/>
    <n v="2"/>
    <n v="17"/>
    <n v="6"/>
    <n v="2"/>
    <x v="22"/>
    <n v="10"/>
    <n v="5"/>
    <n v="13"/>
  </r>
  <r>
    <n v="31"/>
    <x v="1"/>
    <n v="0"/>
    <s v="Non-Travel"/>
    <n v="979"/>
    <x v="1"/>
    <n v="1"/>
    <n v="4"/>
    <x v="2"/>
    <n v="1"/>
    <n v="308"/>
    <n v="3"/>
    <x v="1"/>
    <n v="90"/>
    <n v="1"/>
    <x v="0"/>
    <x v="3"/>
    <n v="3"/>
    <x v="1"/>
    <n v="4345"/>
    <n v="4381"/>
    <n v="0"/>
    <s v="Y"/>
    <x v="1"/>
    <n v="12"/>
    <n v="3"/>
    <n v="4"/>
    <n v="80"/>
    <n v="1"/>
    <n v="6"/>
    <n v="2"/>
    <n v="3"/>
    <x v="8"/>
    <n v="4"/>
    <n v="1"/>
    <n v="4"/>
  </r>
  <r>
    <n v="59"/>
    <x v="1"/>
    <n v="0"/>
    <s v="Travel_Rarely"/>
    <n v="142"/>
    <x v="1"/>
    <n v="3"/>
    <n v="3"/>
    <x v="0"/>
    <n v="1"/>
    <n v="309"/>
    <n v="3"/>
    <x v="1"/>
    <n v="70"/>
    <n v="2"/>
    <x v="1"/>
    <x v="1"/>
    <n v="4"/>
    <x v="1"/>
    <n v="2177"/>
    <n v="8456"/>
    <n v="3"/>
    <s v="Y"/>
    <x v="1"/>
    <n v="17"/>
    <n v="3"/>
    <n v="1"/>
    <n v="80"/>
    <n v="1"/>
    <n v="7"/>
    <n v="6"/>
    <n v="3"/>
    <x v="6"/>
    <n v="0"/>
    <n v="0"/>
    <n v="0"/>
  </r>
  <r>
    <n v="37"/>
    <x v="1"/>
    <n v="0"/>
    <s v="Travel_Frequently"/>
    <n v="319"/>
    <x v="0"/>
    <n v="4"/>
    <n v="4"/>
    <x v="3"/>
    <n v="1"/>
    <n v="311"/>
    <n v="1"/>
    <x v="1"/>
    <n v="41"/>
    <n v="3"/>
    <x v="1"/>
    <x v="6"/>
    <n v="4"/>
    <x v="2"/>
    <n v="2793"/>
    <n v="2539"/>
    <n v="4"/>
    <s v="Y"/>
    <x v="1"/>
    <n v="17"/>
    <n v="3"/>
    <n v="3"/>
    <n v="80"/>
    <n v="1"/>
    <n v="13"/>
    <n v="2"/>
    <n v="3"/>
    <x v="7"/>
    <n v="8"/>
    <n v="5"/>
    <n v="8"/>
  </r>
  <r>
    <n v="29"/>
    <x v="1"/>
    <n v="0"/>
    <s v="Travel_Frequently"/>
    <n v="1413"/>
    <x v="0"/>
    <n v="1"/>
    <n v="1"/>
    <x v="2"/>
    <n v="1"/>
    <n v="312"/>
    <n v="2"/>
    <x v="0"/>
    <n v="42"/>
    <n v="3"/>
    <x v="2"/>
    <x v="0"/>
    <n v="4"/>
    <x v="1"/>
    <n v="7918"/>
    <n v="6599"/>
    <n v="1"/>
    <s v="Y"/>
    <x v="1"/>
    <n v="14"/>
    <n v="3"/>
    <n v="4"/>
    <n v="80"/>
    <n v="1"/>
    <n v="11"/>
    <n v="5"/>
    <n v="3"/>
    <x v="19"/>
    <n v="10"/>
    <n v="4"/>
    <n v="1"/>
  </r>
  <r>
    <n v="35"/>
    <x v="1"/>
    <n v="0"/>
    <s v="Travel_Frequently"/>
    <n v="944"/>
    <x v="0"/>
    <n v="1"/>
    <n v="3"/>
    <x v="3"/>
    <n v="1"/>
    <n v="314"/>
    <n v="3"/>
    <x v="0"/>
    <n v="92"/>
    <n v="3"/>
    <x v="2"/>
    <x v="0"/>
    <n v="3"/>
    <x v="0"/>
    <n v="8789"/>
    <n v="9096"/>
    <n v="1"/>
    <s v="Y"/>
    <x v="1"/>
    <n v="14"/>
    <n v="3"/>
    <n v="1"/>
    <n v="80"/>
    <n v="0"/>
    <n v="10"/>
    <n v="3"/>
    <n v="4"/>
    <x v="1"/>
    <n v="7"/>
    <n v="0"/>
    <n v="8"/>
  </r>
  <r>
    <n v="29"/>
    <x v="0"/>
    <n v="1"/>
    <s v="Travel_Rarely"/>
    <n v="896"/>
    <x v="1"/>
    <n v="18"/>
    <n v="1"/>
    <x v="2"/>
    <n v="1"/>
    <n v="315"/>
    <n v="3"/>
    <x v="1"/>
    <n v="86"/>
    <n v="2"/>
    <x v="1"/>
    <x v="1"/>
    <n v="4"/>
    <x v="0"/>
    <n v="2389"/>
    <n v="14961"/>
    <n v="1"/>
    <s v="Y"/>
    <x v="0"/>
    <n v="13"/>
    <n v="3"/>
    <n v="3"/>
    <n v="80"/>
    <n v="0"/>
    <n v="4"/>
    <n v="3"/>
    <n v="2"/>
    <x v="9"/>
    <n v="3"/>
    <n v="0"/>
    <n v="1"/>
  </r>
  <r>
    <n v="52"/>
    <x v="1"/>
    <n v="0"/>
    <s v="Travel_Rarely"/>
    <n v="1323"/>
    <x v="1"/>
    <n v="2"/>
    <n v="3"/>
    <x v="0"/>
    <n v="1"/>
    <n v="316"/>
    <n v="3"/>
    <x v="0"/>
    <n v="89"/>
    <n v="2"/>
    <x v="1"/>
    <x v="2"/>
    <n v="4"/>
    <x v="0"/>
    <n v="3212"/>
    <n v="3300"/>
    <n v="7"/>
    <s v="Y"/>
    <x v="1"/>
    <n v="15"/>
    <n v="3"/>
    <n v="2"/>
    <n v="80"/>
    <n v="0"/>
    <n v="6"/>
    <n v="3"/>
    <n v="2"/>
    <x v="4"/>
    <n v="2"/>
    <n v="2"/>
    <n v="2"/>
  </r>
  <r>
    <n v="42"/>
    <x v="1"/>
    <n v="0"/>
    <s v="Travel_Rarely"/>
    <n v="532"/>
    <x v="1"/>
    <n v="4"/>
    <n v="2"/>
    <x v="4"/>
    <n v="1"/>
    <n v="319"/>
    <n v="3"/>
    <x v="1"/>
    <n v="58"/>
    <n v="3"/>
    <x v="4"/>
    <x v="5"/>
    <n v="4"/>
    <x v="1"/>
    <n v="19232"/>
    <n v="4933"/>
    <n v="1"/>
    <s v="Y"/>
    <x v="1"/>
    <n v="11"/>
    <n v="3"/>
    <n v="4"/>
    <n v="80"/>
    <n v="0"/>
    <n v="22"/>
    <n v="3"/>
    <n v="3"/>
    <x v="14"/>
    <n v="17"/>
    <n v="11"/>
    <n v="15"/>
  </r>
  <r>
    <n v="59"/>
    <x v="1"/>
    <n v="0"/>
    <s v="Travel_Rarely"/>
    <n v="818"/>
    <x v="2"/>
    <n v="6"/>
    <n v="2"/>
    <x v="2"/>
    <n v="1"/>
    <n v="321"/>
    <n v="2"/>
    <x v="1"/>
    <n v="52"/>
    <n v="3"/>
    <x v="1"/>
    <x v="8"/>
    <n v="3"/>
    <x v="1"/>
    <n v="2267"/>
    <n v="25657"/>
    <n v="8"/>
    <s v="Y"/>
    <x v="1"/>
    <n v="17"/>
    <n v="3"/>
    <n v="4"/>
    <n v="80"/>
    <n v="0"/>
    <n v="7"/>
    <n v="2"/>
    <n v="2"/>
    <x v="4"/>
    <n v="2"/>
    <n v="2"/>
    <n v="2"/>
  </r>
  <r>
    <n v="50"/>
    <x v="1"/>
    <n v="0"/>
    <s v="Travel_Rarely"/>
    <n v="854"/>
    <x v="0"/>
    <n v="1"/>
    <n v="4"/>
    <x v="2"/>
    <n v="1"/>
    <n v="323"/>
    <n v="4"/>
    <x v="0"/>
    <n v="68"/>
    <n v="3"/>
    <x v="4"/>
    <x v="5"/>
    <n v="4"/>
    <x v="2"/>
    <n v="19517"/>
    <n v="24118"/>
    <n v="3"/>
    <s v="Y"/>
    <x v="1"/>
    <n v="11"/>
    <n v="3"/>
    <n v="3"/>
    <n v="80"/>
    <n v="1"/>
    <n v="32"/>
    <n v="3"/>
    <n v="2"/>
    <x v="5"/>
    <n v="0"/>
    <n v="0"/>
    <n v="6"/>
  </r>
  <r>
    <n v="33"/>
    <x v="0"/>
    <n v="1"/>
    <s v="Travel_Rarely"/>
    <n v="813"/>
    <x v="1"/>
    <n v="14"/>
    <n v="3"/>
    <x v="2"/>
    <n v="1"/>
    <n v="325"/>
    <n v="3"/>
    <x v="1"/>
    <n v="58"/>
    <n v="3"/>
    <x v="1"/>
    <x v="2"/>
    <n v="4"/>
    <x v="1"/>
    <n v="2436"/>
    <n v="22149"/>
    <n v="5"/>
    <s v="Y"/>
    <x v="0"/>
    <n v="13"/>
    <n v="3"/>
    <n v="3"/>
    <n v="80"/>
    <n v="1"/>
    <n v="8"/>
    <n v="2"/>
    <n v="1"/>
    <x v="8"/>
    <n v="4"/>
    <n v="0"/>
    <n v="4"/>
  </r>
  <r>
    <n v="43"/>
    <x v="1"/>
    <n v="0"/>
    <s v="Travel_Rarely"/>
    <n v="1034"/>
    <x v="0"/>
    <n v="16"/>
    <n v="3"/>
    <x v="3"/>
    <n v="1"/>
    <n v="327"/>
    <n v="4"/>
    <x v="0"/>
    <n v="80"/>
    <n v="3"/>
    <x v="3"/>
    <x v="5"/>
    <n v="4"/>
    <x v="1"/>
    <n v="16064"/>
    <n v="7744"/>
    <n v="5"/>
    <s v="Y"/>
    <x v="0"/>
    <n v="22"/>
    <n v="4"/>
    <n v="3"/>
    <n v="80"/>
    <n v="1"/>
    <n v="22"/>
    <n v="3"/>
    <n v="3"/>
    <x v="18"/>
    <n v="13"/>
    <n v="1"/>
    <n v="9"/>
  </r>
  <r>
    <n v="33"/>
    <x v="0"/>
    <n v="1"/>
    <s v="Travel_Rarely"/>
    <n v="465"/>
    <x v="1"/>
    <n v="2"/>
    <n v="2"/>
    <x v="0"/>
    <n v="1"/>
    <n v="328"/>
    <n v="1"/>
    <x v="0"/>
    <n v="39"/>
    <n v="3"/>
    <x v="1"/>
    <x v="2"/>
    <n v="1"/>
    <x v="1"/>
    <n v="2707"/>
    <n v="21509"/>
    <n v="7"/>
    <s v="Y"/>
    <x v="1"/>
    <n v="20"/>
    <n v="4"/>
    <n v="1"/>
    <n v="80"/>
    <n v="0"/>
    <n v="13"/>
    <n v="3"/>
    <n v="4"/>
    <x v="7"/>
    <n v="7"/>
    <n v="1"/>
    <n v="7"/>
  </r>
  <r>
    <n v="52"/>
    <x v="1"/>
    <n v="0"/>
    <s v="Non-Travel"/>
    <n v="771"/>
    <x v="0"/>
    <n v="2"/>
    <n v="4"/>
    <x v="0"/>
    <n v="1"/>
    <n v="329"/>
    <n v="1"/>
    <x v="1"/>
    <n v="79"/>
    <n v="2"/>
    <x v="4"/>
    <x v="5"/>
    <n v="3"/>
    <x v="0"/>
    <n v="19068"/>
    <n v="21030"/>
    <n v="1"/>
    <s v="Y"/>
    <x v="0"/>
    <n v="18"/>
    <n v="3"/>
    <n v="4"/>
    <n v="80"/>
    <n v="0"/>
    <n v="33"/>
    <n v="2"/>
    <n v="4"/>
    <x v="26"/>
    <n v="7"/>
    <n v="15"/>
    <n v="12"/>
  </r>
  <r>
    <n v="32"/>
    <x v="1"/>
    <n v="0"/>
    <s v="Travel_Rarely"/>
    <n v="1401"/>
    <x v="0"/>
    <n v="4"/>
    <n v="2"/>
    <x v="0"/>
    <n v="1"/>
    <n v="330"/>
    <n v="3"/>
    <x v="0"/>
    <n v="56"/>
    <n v="3"/>
    <x v="1"/>
    <x v="6"/>
    <n v="2"/>
    <x v="1"/>
    <n v="3931"/>
    <n v="20990"/>
    <n v="2"/>
    <s v="Y"/>
    <x v="1"/>
    <n v="11"/>
    <n v="3"/>
    <n v="1"/>
    <n v="80"/>
    <n v="1"/>
    <n v="6"/>
    <n v="5"/>
    <n v="3"/>
    <x v="9"/>
    <n v="3"/>
    <n v="1"/>
    <n v="2"/>
  </r>
  <r>
    <n v="32"/>
    <x v="0"/>
    <n v="1"/>
    <s v="Travel_Rarely"/>
    <n v="515"/>
    <x v="1"/>
    <n v="1"/>
    <n v="3"/>
    <x v="0"/>
    <n v="1"/>
    <n v="331"/>
    <n v="4"/>
    <x v="1"/>
    <n v="62"/>
    <n v="2"/>
    <x v="1"/>
    <x v="2"/>
    <n v="3"/>
    <x v="0"/>
    <n v="3730"/>
    <n v="9571"/>
    <n v="0"/>
    <s v="Y"/>
    <x v="0"/>
    <n v="14"/>
    <n v="3"/>
    <n v="4"/>
    <n v="80"/>
    <n v="0"/>
    <n v="4"/>
    <n v="2"/>
    <n v="1"/>
    <x v="11"/>
    <n v="2"/>
    <n v="1"/>
    <n v="2"/>
  </r>
  <r>
    <n v="39"/>
    <x v="1"/>
    <n v="0"/>
    <s v="Travel_Rarely"/>
    <n v="1431"/>
    <x v="1"/>
    <n v="1"/>
    <n v="4"/>
    <x v="2"/>
    <n v="1"/>
    <n v="332"/>
    <n v="3"/>
    <x v="0"/>
    <n v="96"/>
    <n v="3"/>
    <x v="1"/>
    <x v="2"/>
    <n v="3"/>
    <x v="2"/>
    <n v="2232"/>
    <n v="15417"/>
    <n v="7"/>
    <s v="Y"/>
    <x v="1"/>
    <n v="14"/>
    <n v="3"/>
    <n v="3"/>
    <n v="80"/>
    <n v="3"/>
    <n v="7"/>
    <n v="1"/>
    <n v="3"/>
    <x v="11"/>
    <n v="2"/>
    <n v="1"/>
    <n v="2"/>
  </r>
  <r>
    <n v="32"/>
    <x v="1"/>
    <n v="0"/>
    <s v="Non-Travel"/>
    <n v="976"/>
    <x v="0"/>
    <n v="26"/>
    <n v="4"/>
    <x v="3"/>
    <n v="1"/>
    <n v="333"/>
    <n v="3"/>
    <x v="1"/>
    <n v="100"/>
    <n v="3"/>
    <x v="0"/>
    <x v="0"/>
    <n v="4"/>
    <x v="1"/>
    <n v="4465"/>
    <n v="12069"/>
    <n v="0"/>
    <s v="Y"/>
    <x v="1"/>
    <n v="18"/>
    <n v="3"/>
    <n v="1"/>
    <n v="80"/>
    <n v="0"/>
    <n v="4"/>
    <n v="2"/>
    <n v="3"/>
    <x v="11"/>
    <n v="2"/>
    <n v="2"/>
    <n v="2"/>
  </r>
  <r>
    <n v="41"/>
    <x v="1"/>
    <n v="0"/>
    <s v="Travel_Rarely"/>
    <n v="1411"/>
    <x v="1"/>
    <n v="19"/>
    <n v="2"/>
    <x v="0"/>
    <n v="1"/>
    <n v="334"/>
    <n v="3"/>
    <x v="1"/>
    <n v="36"/>
    <n v="3"/>
    <x v="0"/>
    <x v="1"/>
    <n v="1"/>
    <x v="2"/>
    <n v="3072"/>
    <n v="19877"/>
    <n v="2"/>
    <s v="Y"/>
    <x v="1"/>
    <n v="16"/>
    <n v="3"/>
    <n v="1"/>
    <n v="80"/>
    <n v="2"/>
    <n v="17"/>
    <n v="2"/>
    <n v="2"/>
    <x v="6"/>
    <n v="0"/>
    <n v="0"/>
    <n v="0"/>
  </r>
  <r>
    <n v="40"/>
    <x v="1"/>
    <n v="0"/>
    <s v="Travel_Rarely"/>
    <n v="1300"/>
    <x v="1"/>
    <n v="24"/>
    <n v="2"/>
    <x v="4"/>
    <n v="1"/>
    <n v="335"/>
    <n v="1"/>
    <x v="1"/>
    <n v="62"/>
    <n v="3"/>
    <x v="0"/>
    <x v="1"/>
    <n v="4"/>
    <x v="2"/>
    <n v="3319"/>
    <n v="24447"/>
    <n v="1"/>
    <s v="Y"/>
    <x v="1"/>
    <n v="17"/>
    <n v="3"/>
    <n v="1"/>
    <n v="80"/>
    <n v="2"/>
    <n v="9"/>
    <n v="3"/>
    <n v="3"/>
    <x v="7"/>
    <n v="8"/>
    <n v="4"/>
    <n v="7"/>
  </r>
  <r>
    <n v="45"/>
    <x v="1"/>
    <n v="0"/>
    <s v="Travel_Rarely"/>
    <n v="252"/>
    <x v="1"/>
    <n v="1"/>
    <n v="3"/>
    <x v="1"/>
    <n v="1"/>
    <n v="336"/>
    <n v="3"/>
    <x v="1"/>
    <n v="70"/>
    <n v="4"/>
    <x v="4"/>
    <x v="5"/>
    <n v="4"/>
    <x v="1"/>
    <n v="19202"/>
    <n v="15970"/>
    <n v="0"/>
    <s v="Y"/>
    <x v="1"/>
    <n v="11"/>
    <n v="3"/>
    <n v="3"/>
    <n v="80"/>
    <n v="1"/>
    <n v="25"/>
    <n v="2"/>
    <n v="3"/>
    <x v="25"/>
    <n v="0"/>
    <n v="1"/>
    <n v="7"/>
  </r>
  <r>
    <n v="31"/>
    <x v="1"/>
    <n v="0"/>
    <s v="Travel_Frequently"/>
    <n v="1327"/>
    <x v="1"/>
    <n v="3"/>
    <n v="4"/>
    <x v="2"/>
    <n v="1"/>
    <n v="337"/>
    <n v="2"/>
    <x v="1"/>
    <n v="73"/>
    <n v="3"/>
    <x v="2"/>
    <x v="7"/>
    <n v="3"/>
    <x v="2"/>
    <n v="13675"/>
    <n v="13523"/>
    <n v="9"/>
    <s v="Y"/>
    <x v="1"/>
    <n v="12"/>
    <n v="3"/>
    <n v="1"/>
    <n v="80"/>
    <n v="1"/>
    <n v="9"/>
    <n v="3"/>
    <n v="3"/>
    <x v="4"/>
    <n v="2"/>
    <n v="2"/>
    <n v="2"/>
  </r>
  <r>
    <n v="33"/>
    <x v="1"/>
    <n v="0"/>
    <s v="Travel_Rarely"/>
    <n v="832"/>
    <x v="1"/>
    <n v="5"/>
    <n v="4"/>
    <x v="0"/>
    <n v="1"/>
    <n v="338"/>
    <n v="3"/>
    <x v="0"/>
    <n v="63"/>
    <n v="2"/>
    <x v="1"/>
    <x v="1"/>
    <n v="4"/>
    <x v="1"/>
    <n v="2911"/>
    <n v="14776"/>
    <n v="1"/>
    <s v="Y"/>
    <x v="1"/>
    <n v="13"/>
    <n v="3"/>
    <n v="3"/>
    <n v="80"/>
    <n v="1"/>
    <n v="2"/>
    <n v="2"/>
    <n v="2"/>
    <x v="4"/>
    <n v="2"/>
    <n v="0"/>
    <n v="2"/>
  </r>
  <r>
    <n v="34"/>
    <x v="1"/>
    <n v="0"/>
    <s v="Travel_Rarely"/>
    <n v="470"/>
    <x v="1"/>
    <n v="2"/>
    <n v="4"/>
    <x v="0"/>
    <n v="1"/>
    <n v="339"/>
    <n v="4"/>
    <x v="1"/>
    <n v="84"/>
    <n v="2"/>
    <x v="0"/>
    <x v="3"/>
    <n v="1"/>
    <x v="1"/>
    <n v="5957"/>
    <n v="23687"/>
    <n v="6"/>
    <s v="Y"/>
    <x v="1"/>
    <n v="13"/>
    <n v="3"/>
    <n v="2"/>
    <n v="80"/>
    <n v="1"/>
    <n v="13"/>
    <n v="3"/>
    <n v="3"/>
    <x v="19"/>
    <n v="9"/>
    <n v="5"/>
    <n v="9"/>
  </r>
  <r>
    <n v="37"/>
    <x v="1"/>
    <n v="0"/>
    <s v="Travel_Rarely"/>
    <n v="1017"/>
    <x v="1"/>
    <n v="1"/>
    <n v="2"/>
    <x v="2"/>
    <n v="1"/>
    <n v="340"/>
    <n v="3"/>
    <x v="0"/>
    <n v="83"/>
    <n v="2"/>
    <x v="1"/>
    <x v="1"/>
    <n v="1"/>
    <x v="1"/>
    <n v="3920"/>
    <n v="18697"/>
    <n v="2"/>
    <s v="Y"/>
    <x v="1"/>
    <n v="14"/>
    <n v="3"/>
    <n v="1"/>
    <n v="80"/>
    <n v="1"/>
    <n v="17"/>
    <n v="2"/>
    <n v="2"/>
    <x v="11"/>
    <n v="1"/>
    <n v="0"/>
    <n v="2"/>
  </r>
  <r>
    <n v="45"/>
    <x v="1"/>
    <n v="0"/>
    <s v="Travel_Frequently"/>
    <n v="1199"/>
    <x v="1"/>
    <n v="7"/>
    <n v="4"/>
    <x v="0"/>
    <n v="1"/>
    <n v="341"/>
    <n v="1"/>
    <x v="1"/>
    <n v="77"/>
    <n v="4"/>
    <x v="0"/>
    <x v="3"/>
    <n v="3"/>
    <x v="1"/>
    <n v="6434"/>
    <n v="5118"/>
    <n v="4"/>
    <s v="Y"/>
    <x v="1"/>
    <n v="17"/>
    <n v="3"/>
    <n v="4"/>
    <n v="80"/>
    <n v="1"/>
    <n v="9"/>
    <n v="1"/>
    <n v="3"/>
    <x v="11"/>
    <n v="2"/>
    <n v="0"/>
    <n v="2"/>
  </r>
  <r>
    <n v="37"/>
    <x v="0"/>
    <n v="1"/>
    <s v="Travel_Frequently"/>
    <n v="504"/>
    <x v="1"/>
    <n v="10"/>
    <n v="3"/>
    <x v="2"/>
    <n v="1"/>
    <n v="342"/>
    <n v="1"/>
    <x v="1"/>
    <n v="61"/>
    <n v="3"/>
    <x v="2"/>
    <x v="3"/>
    <n v="3"/>
    <x v="2"/>
    <n v="10048"/>
    <n v="22573"/>
    <n v="6"/>
    <s v="Y"/>
    <x v="1"/>
    <n v="11"/>
    <n v="3"/>
    <n v="2"/>
    <n v="80"/>
    <n v="2"/>
    <n v="17"/>
    <n v="5"/>
    <n v="3"/>
    <x v="6"/>
    <n v="0"/>
    <n v="0"/>
    <n v="0"/>
  </r>
  <r>
    <n v="39"/>
    <x v="1"/>
    <n v="0"/>
    <s v="Travel_Frequently"/>
    <n v="505"/>
    <x v="1"/>
    <n v="2"/>
    <n v="4"/>
    <x v="4"/>
    <n v="1"/>
    <n v="343"/>
    <n v="3"/>
    <x v="0"/>
    <n v="64"/>
    <n v="3"/>
    <x v="2"/>
    <x v="4"/>
    <n v="3"/>
    <x v="0"/>
    <n v="10938"/>
    <n v="6420"/>
    <n v="0"/>
    <s v="Y"/>
    <x v="1"/>
    <n v="25"/>
    <n v="4"/>
    <n v="4"/>
    <n v="80"/>
    <n v="0"/>
    <n v="20"/>
    <n v="1"/>
    <n v="3"/>
    <x v="27"/>
    <n v="6"/>
    <n v="11"/>
    <n v="8"/>
  </r>
  <r>
    <n v="29"/>
    <x v="1"/>
    <n v="0"/>
    <s v="Travel_Rarely"/>
    <n v="665"/>
    <x v="1"/>
    <n v="15"/>
    <n v="3"/>
    <x v="0"/>
    <n v="1"/>
    <n v="346"/>
    <n v="3"/>
    <x v="1"/>
    <n v="60"/>
    <n v="3"/>
    <x v="1"/>
    <x v="1"/>
    <n v="4"/>
    <x v="0"/>
    <n v="2340"/>
    <n v="22673"/>
    <n v="1"/>
    <s v="Y"/>
    <x v="1"/>
    <n v="19"/>
    <n v="3"/>
    <n v="1"/>
    <n v="80"/>
    <n v="0"/>
    <n v="6"/>
    <n v="1"/>
    <n v="3"/>
    <x v="0"/>
    <n v="5"/>
    <n v="1"/>
    <n v="5"/>
  </r>
  <r>
    <n v="42"/>
    <x v="1"/>
    <n v="0"/>
    <s v="Travel_Rarely"/>
    <n v="916"/>
    <x v="1"/>
    <n v="17"/>
    <n v="2"/>
    <x v="0"/>
    <n v="1"/>
    <n v="347"/>
    <n v="4"/>
    <x v="0"/>
    <n v="82"/>
    <n v="4"/>
    <x v="0"/>
    <x v="1"/>
    <n v="1"/>
    <x v="0"/>
    <n v="6545"/>
    <n v="23016"/>
    <n v="3"/>
    <s v="Y"/>
    <x v="0"/>
    <n v="13"/>
    <n v="3"/>
    <n v="3"/>
    <n v="80"/>
    <n v="0"/>
    <n v="10"/>
    <n v="1"/>
    <n v="3"/>
    <x v="11"/>
    <n v="2"/>
    <n v="0"/>
    <n v="2"/>
  </r>
  <r>
    <n v="29"/>
    <x v="1"/>
    <n v="0"/>
    <s v="Travel_Rarely"/>
    <n v="1247"/>
    <x v="0"/>
    <n v="20"/>
    <n v="2"/>
    <x v="3"/>
    <n v="1"/>
    <n v="349"/>
    <n v="4"/>
    <x v="1"/>
    <n v="45"/>
    <n v="3"/>
    <x v="0"/>
    <x v="0"/>
    <n v="4"/>
    <x v="2"/>
    <n v="6931"/>
    <n v="10732"/>
    <n v="2"/>
    <s v="Y"/>
    <x v="1"/>
    <n v="14"/>
    <n v="3"/>
    <n v="4"/>
    <n v="80"/>
    <n v="1"/>
    <n v="10"/>
    <n v="2"/>
    <n v="3"/>
    <x v="11"/>
    <n v="2"/>
    <n v="0"/>
    <n v="2"/>
  </r>
  <r>
    <n v="25"/>
    <x v="1"/>
    <n v="0"/>
    <s v="Travel_Rarely"/>
    <n v="685"/>
    <x v="1"/>
    <n v="1"/>
    <n v="3"/>
    <x v="0"/>
    <n v="1"/>
    <n v="350"/>
    <n v="1"/>
    <x v="0"/>
    <n v="62"/>
    <n v="3"/>
    <x v="0"/>
    <x v="3"/>
    <n v="3"/>
    <x v="1"/>
    <n v="4898"/>
    <n v="7505"/>
    <n v="0"/>
    <s v="Y"/>
    <x v="1"/>
    <n v="12"/>
    <n v="3"/>
    <n v="4"/>
    <n v="80"/>
    <n v="2"/>
    <n v="5"/>
    <n v="3"/>
    <n v="3"/>
    <x v="9"/>
    <n v="2"/>
    <n v="1"/>
    <n v="2"/>
  </r>
  <r>
    <n v="42"/>
    <x v="1"/>
    <n v="0"/>
    <s v="Travel_Rarely"/>
    <n v="269"/>
    <x v="1"/>
    <n v="2"/>
    <n v="3"/>
    <x v="2"/>
    <n v="1"/>
    <n v="351"/>
    <n v="4"/>
    <x v="0"/>
    <n v="56"/>
    <n v="2"/>
    <x v="1"/>
    <x v="2"/>
    <n v="1"/>
    <x v="2"/>
    <n v="2593"/>
    <n v="8007"/>
    <n v="0"/>
    <s v="Y"/>
    <x v="0"/>
    <n v="11"/>
    <n v="3"/>
    <n v="3"/>
    <n v="80"/>
    <n v="1"/>
    <n v="10"/>
    <n v="4"/>
    <n v="3"/>
    <x v="7"/>
    <n v="6"/>
    <n v="7"/>
    <n v="8"/>
  </r>
  <r>
    <n v="40"/>
    <x v="1"/>
    <n v="0"/>
    <s v="Travel_Rarely"/>
    <n v="1416"/>
    <x v="1"/>
    <n v="2"/>
    <n v="2"/>
    <x v="2"/>
    <n v="1"/>
    <n v="352"/>
    <n v="1"/>
    <x v="1"/>
    <n v="49"/>
    <n v="3"/>
    <x v="4"/>
    <x v="7"/>
    <n v="3"/>
    <x v="2"/>
    <n v="19436"/>
    <n v="5949"/>
    <n v="0"/>
    <s v="Y"/>
    <x v="1"/>
    <n v="19"/>
    <n v="3"/>
    <n v="4"/>
    <n v="80"/>
    <n v="1"/>
    <n v="22"/>
    <n v="5"/>
    <n v="3"/>
    <x v="17"/>
    <n v="7"/>
    <n v="3"/>
    <n v="9"/>
  </r>
  <r>
    <n v="51"/>
    <x v="1"/>
    <n v="0"/>
    <s v="Travel_Rarely"/>
    <n v="833"/>
    <x v="1"/>
    <n v="1"/>
    <n v="3"/>
    <x v="0"/>
    <n v="1"/>
    <n v="353"/>
    <n v="3"/>
    <x v="1"/>
    <n v="96"/>
    <n v="3"/>
    <x v="1"/>
    <x v="1"/>
    <n v="4"/>
    <x v="1"/>
    <n v="2723"/>
    <n v="23231"/>
    <n v="1"/>
    <s v="Y"/>
    <x v="1"/>
    <n v="11"/>
    <n v="3"/>
    <n v="2"/>
    <n v="80"/>
    <n v="0"/>
    <n v="1"/>
    <n v="0"/>
    <n v="2"/>
    <x v="6"/>
    <n v="0"/>
    <n v="0"/>
    <n v="0"/>
  </r>
  <r>
    <n v="31"/>
    <x v="0"/>
    <n v="1"/>
    <s v="Travel_Frequently"/>
    <n v="307"/>
    <x v="1"/>
    <n v="29"/>
    <n v="2"/>
    <x v="2"/>
    <n v="1"/>
    <n v="355"/>
    <n v="3"/>
    <x v="1"/>
    <n v="71"/>
    <n v="2"/>
    <x v="1"/>
    <x v="2"/>
    <n v="2"/>
    <x v="0"/>
    <n v="3479"/>
    <n v="11652"/>
    <n v="0"/>
    <s v="Y"/>
    <x v="1"/>
    <n v="11"/>
    <n v="3"/>
    <n v="2"/>
    <n v="80"/>
    <n v="0"/>
    <n v="6"/>
    <n v="2"/>
    <n v="4"/>
    <x v="8"/>
    <n v="4"/>
    <n v="1"/>
    <n v="4"/>
  </r>
  <r>
    <n v="32"/>
    <x v="1"/>
    <n v="0"/>
    <s v="Travel_Frequently"/>
    <n v="1311"/>
    <x v="1"/>
    <n v="7"/>
    <n v="3"/>
    <x v="0"/>
    <n v="1"/>
    <n v="359"/>
    <n v="2"/>
    <x v="1"/>
    <n v="100"/>
    <n v="4"/>
    <x v="1"/>
    <x v="2"/>
    <n v="2"/>
    <x v="1"/>
    <n v="2794"/>
    <n v="26062"/>
    <n v="1"/>
    <s v="Y"/>
    <x v="1"/>
    <n v="20"/>
    <n v="4"/>
    <n v="3"/>
    <n v="80"/>
    <n v="0"/>
    <n v="5"/>
    <n v="3"/>
    <n v="1"/>
    <x v="8"/>
    <n v="1"/>
    <n v="0"/>
    <n v="3"/>
  </r>
  <r>
    <n v="38"/>
    <x v="1"/>
    <n v="0"/>
    <s v="Non-Travel"/>
    <n v="1327"/>
    <x v="0"/>
    <n v="2"/>
    <n v="2"/>
    <x v="0"/>
    <n v="1"/>
    <n v="361"/>
    <n v="4"/>
    <x v="1"/>
    <n v="39"/>
    <n v="2"/>
    <x v="0"/>
    <x v="0"/>
    <n v="4"/>
    <x v="1"/>
    <n v="5249"/>
    <n v="19682"/>
    <n v="3"/>
    <s v="Y"/>
    <x v="1"/>
    <n v="18"/>
    <n v="3"/>
    <n v="4"/>
    <n v="80"/>
    <n v="1"/>
    <n v="13"/>
    <n v="0"/>
    <n v="3"/>
    <x v="3"/>
    <n v="7"/>
    <n v="7"/>
    <n v="5"/>
  </r>
  <r>
    <n v="32"/>
    <x v="1"/>
    <n v="0"/>
    <s v="Travel_Rarely"/>
    <n v="128"/>
    <x v="1"/>
    <n v="2"/>
    <n v="1"/>
    <x v="4"/>
    <n v="1"/>
    <n v="362"/>
    <n v="4"/>
    <x v="1"/>
    <n v="84"/>
    <n v="2"/>
    <x v="0"/>
    <x v="2"/>
    <n v="1"/>
    <x v="0"/>
    <n v="2176"/>
    <n v="19737"/>
    <n v="4"/>
    <s v="Y"/>
    <x v="1"/>
    <n v="13"/>
    <n v="3"/>
    <n v="4"/>
    <n v="80"/>
    <n v="0"/>
    <n v="9"/>
    <n v="5"/>
    <n v="3"/>
    <x v="0"/>
    <n v="2"/>
    <n v="0"/>
    <n v="4"/>
  </r>
  <r>
    <n v="46"/>
    <x v="1"/>
    <n v="0"/>
    <s v="Travel_Rarely"/>
    <n v="488"/>
    <x v="0"/>
    <n v="2"/>
    <n v="3"/>
    <x v="4"/>
    <n v="1"/>
    <n v="363"/>
    <n v="3"/>
    <x v="0"/>
    <n v="75"/>
    <n v="1"/>
    <x v="3"/>
    <x v="5"/>
    <n v="2"/>
    <x v="1"/>
    <n v="16872"/>
    <n v="14977"/>
    <n v="3"/>
    <s v="Y"/>
    <x v="0"/>
    <n v="12"/>
    <n v="3"/>
    <n v="2"/>
    <n v="80"/>
    <n v="1"/>
    <n v="28"/>
    <n v="2"/>
    <n v="2"/>
    <x v="5"/>
    <n v="7"/>
    <n v="7"/>
    <n v="7"/>
  </r>
  <r>
    <n v="28"/>
    <x v="0"/>
    <n v="1"/>
    <s v="Travel_Rarely"/>
    <n v="529"/>
    <x v="1"/>
    <n v="2"/>
    <n v="4"/>
    <x v="0"/>
    <n v="1"/>
    <n v="364"/>
    <n v="1"/>
    <x v="1"/>
    <n v="79"/>
    <n v="3"/>
    <x v="1"/>
    <x v="2"/>
    <n v="3"/>
    <x v="0"/>
    <n v="3485"/>
    <n v="14935"/>
    <n v="2"/>
    <s v="Y"/>
    <x v="1"/>
    <n v="11"/>
    <n v="3"/>
    <n v="3"/>
    <n v="80"/>
    <n v="0"/>
    <n v="5"/>
    <n v="5"/>
    <n v="1"/>
    <x v="2"/>
    <n v="0"/>
    <n v="0"/>
    <n v="0"/>
  </r>
  <r>
    <n v="29"/>
    <x v="1"/>
    <n v="0"/>
    <s v="Travel_Rarely"/>
    <n v="1210"/>
    <x v="0"/>
    <n v="2"/>
    <n v="3"/>
    <x v="2"/>
    <n v="1"/>
    <n v="366"/>
    <n v="1"/>
    <x v="1"/>
    <n v="78"/>
    <n v="2"/>
    <x v="0"/>
    <x v="0"/>
    <n v="2"/>
    <x v="1"/>
    <n v="6644"/>
    <n v="3687"/>
    <n v="2"/>
    <s v="Y"/>
    <x v="1"/>
    <n v="19"/>
    <n v="3"/>
    <n v="2"/>
    <n v="80"/>
    <n v="2"/>
    <n v="10"/>
    <n v="2"/>
    <n v="3"/>
    <x v="2"/>
    <n v="0"/>
    <n v="0"/>
    <n v="0"/>
  </r>
  <r>
    <n v="31"/>
    <x v="1"/>
    <n v="0"/>
    <s v="Travel_Rarely"/>
    <n v="1463"/>
    <x v="1"/>
    <n v="23"/>
    <n v="3"/>
    <x v="2"/>
    <n v="1"/>
    <n v="367"/>
    <n v="2"/>
    <x v="1"/>
    <n v="64"/>
    <n v="2"/>
    <x v="0"/>
    <x v="4"/>
    <n v="4"/>
    <x v="1"/>
    <n v="5582"/>
    <n v="14408"/>
    <n v="0"/>
    <s v="Y"/>
    <x v="1"/>
    <n v="21"/>
    <n v="4"/>
    <n v="2"/>
    <n v="80"/>
    <n v="1"/>
    <n v="10"/>
    <n v="2"/>
    <n v="3"/>
    <x v="7"/>
    <n v="0"/>
    <n v="7"/>
    <n v="8"/>
  </r>
  <r>
    <n v="25"/>
    <x v="1"/>
    <n v="0"/>
    <s v="Non-Travel"/>
    <n v="675"/>
    <x v="1"/>
    <n v="5"/>
    <n v="2"/>
    <x v="0"/>
    <n v="1"/>
    <n v="369"/>
    <n v="2"/>
    <x v="1"/>
    <n v="85"/>
    <n v="4"/>
    <x v="0"/>
    <x v="4"/>
    <n v="1"/>
    <x v="2"/>
    <n v="4000"/>
    <n v="18384"/>
    <n v="1"/>
    <s v="Y"/>
    <x v="1"/>
    <n v="12"/>
    <n v="3"/>
    <n v="4"/>
    <n v="80"/>
    <n v="2"/>
    <n v="6"/>
    <n v="2"/>
    <n v="3"/>
    <x v="0"/>
    <n v="3"/>
    <n v="1"/>
    <n v="5"/>
  </r>
  <r>
    <n v="45"/>
    <x v="1"/>
    <n v="0"/>
    <s v="Travel_Rarely"/>
    <n v="1385"/>
    <x v="1"/>
    <n v="20"/>
    <n v="2"/>
    <x v="2"/>
    <n v="1"/>
    <n v="372"/>
    <n v="3"/>
    <x v="1"/>
    <n v="79"/>
    <n v="3"/>
    <x v="3"/>
    <x v="4"/>
    <n v="4"/>
    <x v="1"/>
    <n v="13496"/>
    <n v="7501"/>
    <n v="0"/>
    <s v="Y"/>
    <x v="0"/>
    <n v="14"/>
    <n v="3"/>
    <n v="2"/>
    <n v="80"/>
    <n v="0"/>
    <n v="21"/>
    <n v="2"/>
    <n v="3"/>
    <x v="23"/>
    <n v="7"/>
    <n v="4"/>
    <n v="10"/>
  </r>
  <r>
    <n v="36"/>
    <x v="1"/>
    <n v="0"/>
    <s v="Travel_Rarely"/>
    <n v="1403"/>
    <x v="1"/>
    <n v="6"/>
    <n v="3"/>
    <x v="0"/>
    <n v="1"/>
    <n v="373"/>
    <n v="4"/>
    <x v="1"/>
    <n v="47"/>
    <n v="3"/>
    <x v="1"/>
    <x v="2"/>
    <n v="4"/>
    <x v="1"/>
    <n v="3210"/>
    <n v="20251"/>
    <n v="0"/>
    <s v="Y"/>
    <x v="1"/>
    <n v="11"/>
    <n v="3"/>
    <n v="3"/>
    <n v="80"/>
    <n v="1"/>
    <n v="16"/>
    <n v="4"/>
    <n v="3"/>
    <x v="15"/>
    <n v="13"/>
    <n v="10"/>
    <n v="11"/>
  </r>
  <r>
    <n v="55"/>
    <x v="1"/>
    <n v="0"/>
    <s v="Travel_Rarely"/>
    <n v="452"/>
    <x v="1"/>
    <n v="1"/>
    <n v="3"/>
    <x v="2"/>
    <n v="1"/>
    <n v="374"/>
    <n v="4"/>
    <x v="1"/>
    <n v="81"/>
    <n v="3"/>
    <x v="4"/>
    <x v="5"/>
    <n v="1"/>
    <x v="0"/>
    <n v="19045"/>
    <n v="18938"/>
    <n v="0"/>
    <s v="Y"/>
    <x v="0"/>
    <n v="14"/>
    <n v="3"/>
    <n v="3"/>
    <n v="80"/>
    <n v="0"/>
    <n v="37"/>
    <n v="2"/>
    <n v="3"/>
    <x v="28"/>
    <n v="10"/>
    <n v="4"/>
    <n v="13"/>
  </r>
  <r>
    <n v="47"/>
    <x v="0"/>
    <n v="1"/>
    <s v="Non-Travel"/>
    <n v="666"/>
    <x v="1"/>
    <n v="29"/>
    <n v="4"/>
    <x v="0"/>
    <n v="1"/>
    <n v="376"/>
    <n v="1"/>
    <x v="1"/>
    <n v="88"/>
    <n v="3"/>
    <x v="2"/>
    <x v="5"/>
    <n v="2"/>
    <x v="1"/>
    <n v="11849"/>
    <n v="10268"/>
    <n v="1"/>
    <s v="Y"/>
    <x v="0"/>
    <n v="12"/>
    <n v="3"/>
    <n v="4"/>
    <n v="80"/>
    <n v="1"/>
    <n v="10"/>
    <n v="2"/>
    <n v="2"/>
    <x v="1"/>
    <n v="7"/>
    <n v="9"/>
    <n v="9"/>
  </r>
  <r>
    <n v="28"/>
    <x v="1"/>
    <n v="0"/>
    <s v="Travel_Rarely"/>
    <n v="1158"/>
    <x v="1"/>
    <n v="9"/>
    <n v="3"/>
    <x v="2"/>
    <n v="1"/>
    <n v="377"/>
    <n v="4"/>
    <x v="1"/>
    <n v="94"/>
    <n v="3"/>
    <x v="1"/>
    <x v="1"/>
    <n v="4"/>
    <x v="1"/>
    <n v="2070"/>
    <n v="2613"/>
    <n v="1"/>
    <s v="Y"/>
    <x v="1"/>
    <n v="23"/>
    <n v="4"/>
    <n v="4"/>
    <n v="80"/>
    <n v="1"/>
    <n v="5"/>
    <n v="3"/>
    <n v="2"/>
    <x v="8"/>
    <n v="2"/>
    <n v="0"/>
    <n v="4"/>
  </r>
  <r>
    <n v="37"/>
    <x v="1"/>
    <n v="0"/>
    <s v="Travel_Rarely"/>
    <n v="228"/>
    <x v="0"/>
    <n v="6"/>
    <n v="4"/>
    <x v="2"/>
    <n v="1"/>
    <n v="378"/>
    <n v="3"/>
    <x v="1"/>
    <n v="98"/>
    <n v="3"/>
    <x v="0"/>
    <x v="0"/>
    <n v="4"/>
    <x v="1"/>
    <n v="6502"/>
    <n v="22825"/>
    <n v="4"/>
    <s v="Y"/>
    <x v="1"/>
    <n v="14"/>
    <n v="3"/>
    <n v="2"/>
    <n v="80"/>
    <n v="1"/>
    <n v="7"/>
    <n v="5"/>
    <n v="4"/>
    <x v="8"/>
    <n v="4"/>
    <n v="0"/>
    <n v="1"/>
  </r>
  <r>
    <n v="21"/>
    <x v="1"/>
    <n v="0"/>
    <s v="Travel_Rarely"/>
    <n v="996"/>
    <x v="1"/>
    <n v="3"/>
    <n v="2"/>
    <x v="2"/>
    <n v="1"/>
    <n v="379"/>
    <n v="4"/>
    <x v="1"/>
    <n v="100"/>
    <n v="2"/>
    <x v="1"/>
    <x v="1"/>
    <n v="3"/>
    <x v="0"/>
    <n v="3230"/>
    <n v="10531"/>
    <n v="1"/>
    <s v="Y"/>
    <x v="1"/>
    <n v="17"/>
    <n v="3"/>
    <n v="1"/>
    <n v="80"/>
    <n v="0"/>
    <n v="3"/>
    <n v="4"/>
    <n v="4"/>
    <x v="11"/>
    <n v="2"/>
    <n v="1"/>
    <n v="0"/>
  </r>
  <r>
    <n v="37"/>
    <x v="1"/>
    <n v="0"/>
    <s v="Non-Travel"/>
    <n v="728"/>
    <x v="1"/>
    <n v="1"/>
    <n v="4"/>
    <x v="2"/>
    <n v="1"/>
    <n v="380"/>
    <n v="1"/>
    <x v="0"/>
    <n v="80"/>
    <n v="3"/>
    <x v="2"/>
    <x v="7"/>
    <n v="4"/>
    <x v="2"/>
    <n v="13603"/>
    <n v="11677"/>
    <n v="2"/>
    <s v="Y"/>
    <x v="0"/>
    <n v="18"/>
    <n v="3"/>
    <n v="1"/>
    <n v="80"/>
    <n v="2"/>
    <n v="15"/>
    <n v="2"/>
    <n v="3"/>
    <x v="8"/>
    <n v="2"/>
    <n v="0"/>
    <n v="2"/>
  </r>
  <r>
    <n v="35"/>
    <x v="1"/>
    <n v="0"/>
    <s v="Travel_Rarely"/>
    <n v="1315"/>
    <x v="1"/>
    <n v="22"/>
    <n v="3"/>
    <x v="0"/>
    <n v="1"/>
    <n v="381"/>
    <n v="2"/>
    <x v="0"/>
    <n v="71"/>
    <n v="4"/>
    <x v="2"/>
    <x v="5"/>
    <n v="2"/>
    <x v="2"/>
    <n v="11996"/>
    <n v="19100"/>
    <n v="7"/>
    <s v="Y"/>
    <x v="1"/>
    <n v="18"/>
    <n v="3"/>
    <n v="2"/>
    <n v="80"/>
    <n v="1"/>
    <n v="10"/>
    <n v="6"/>
    <n v="2"/>
    <x v="5"/>
    <n v="7"/>
    <n v="6"/>
    <n v="2"/>
  </r>
  <r>
    <n v="38"/>
    <x v="1"/>
    <n v="0"/>
    <s v="Travel_Rarely"/>
    <n v="322"/>
    <x v="0"/>
    <n v="7"/>
    <n v="2"/>
    <x v="2"/>
    <n v="1"/>
    <n v="382"/>
    <n v="1"/>
    <x v="0"/>
    <n v="44"/>
    <n v="4"/>
    <x v="0"/>
    <x v="0"/>
    <n v="1"/>
    <x v="2"/>
    <n v="5605"/>
    <n v="19191"/>
    <n v="1"/>
    <s v="Y"/>
    <x v="0"/>
    <n v="24"/>
    <n v="4"/>
    <n v="3"/>
    <n v="80"/>
    <n v="1"/>
    <n v="8"/>
    <n v="3"/>
    <n v="3"/>
    <x v="3"/>
    <n v="0"/>
    <n v="7"/>
    <n v="7"/>
  </r>
  <r>
    <n v="26"/>
    <x v="1"/>
    <n v="0"/>
    <s v="Travel_Frequently"/>
    <n v="1479"/>
    <x v="1"/>
    <n v="1"/>
    <n v="3"/>
    <x v="0"/>
    <n v="1"/>
    <n v="384"/>
    <n v="3"/>
    <x v="0"/>
    <n v="84"/>
    <n v="3"/>
    <x v="0"/>
    <x v="3"/>
    <n v="2"/>
    <x v="2"/>
    <n v="6397"/>
    <n v="26767"/>
    <n v="1"/>
    <s v="Y"/>
    <x v="1"/>
    <n v="20"/>
    <n v="4"/>
    <n v="1"/>
    <n v="80"/>
    <n v="1"/>
    <n v="6"/>
    <n v="6"/>
    <n v="1"/>
    <x v="0"/>
    <n v="5"/>
    <n v="1"/>
    <n v="4"/>
  </r>
  <r>
    <n v="50"/>
    <x v="1"/>
    <n v="0"/>
    <s v="Travel_Rarely"/>
    <n v="797"/>
    <x v="1"/>
    <n v="4"/>
    <n v="1"/>
    <x v="0"/>
    <n v="1"/>
    <n v="385"/>
    <n v="1"/>
    <x v="1"/>
    <n v="96"/>
    <n v="3"/>
    <x v="4"/>
    <x v="7"/>
    <n v="2"/>
    <x v="2"/>
    <n v="19144"/>
    <n v="15815"/>
    <n v="3"/>
    <s v="Y"/>
    <x v="1"/>
    <n v="14"/>
    <n v="3"/>
    <n v="1"/>
    <n v="80"/>
    <n v="2"/>
    <n v="28"/>
    <n v="4"/>
    <n v="2"/>
    <x v="1"/>
    <n v="4"/>
    <n v="1"/>
    <n v="6"/>
  </r>
  <r>
    <n v="53"/>
    <x v="1"/>
    <n v="0"/>
    <s v="Travel_Rarely"/>
    <n v="1070"/>
    <x v="1"/>
    <n v="3"/>
    <n v="4"/>
    <x v="2"/>
    <n v="1"/>
    <n v="386"/>
    <n v="3"/>
    <x v="1"/>
    <n v="45"/>
    <n v="3"/>
    <x v="3"/>
    <x v="7"/>
    <n v="3"/>
    <x v="1"/>
    <n v="17584"/>
    <n v="21016"/>
    <n v="3"/>
    <s v="Y"/>
    <x v="0"/>
    <n v="16"/>
    <n v="3"/>
    <n v="4"/>
    <n v="80"/>
    <n v="3"/>
    <n v="21"/>
    <n v="5"/>
    <n v="2"/>
    <x v="8"/>
    <n v="3"/>
    <n v="1"/>
    <n v="3"/>
  </r>
  <r>
    <n v="42"/>
    <x v="1"/>
    <n v="0"/>
    <s v="Travel_Rarely"/>
    <n v="635"/>
    <x v="0"/>
    <n v="1"/>
    <n v="1"/>
    <x v="0"/>
    <n v="1"/>
    <n v="387"/>
    <n v="2"/>
    <x v="1"/>
    <n v="99"/>
    <n v="3"/>
    <x v="0"/>
    <x v="0"/>
    <n v="3"/>
    <x v="1"/>
    <n v="4907"/>
    <n v="24532"/>
    <n v="1"/>
    <s v="Y"/>
    <x v="1"/>
    <n v="25"/>
    <n v="4"/>
    <n v="3"/>
    <n v="80"/>
    <n v="0"/>
    <n v="20"/>
    <n v="3"/>
    <n v="3"/>
    <x v="23"/>
    <n v="16"/>
    <n v="11"/>
    <n v="6"/>
  </r>
  <r>
    <n v="29"/>
    <x v="1"/>
    <n v="0"/>
    <s v="Travel_Frequently"/>
    <n v="442"/>
    <x v="0"/>
    <n v="2"/>
    <n v="2"/>
    <x v="0"/>
    <n v="1"/>
    <n v="388"/>
    <n v="2"/>
    <x v="1"/>
    <n v="44"/>
    <n v="3"/>
    <x v="0"/>
    <x v="0"/>
    <n v="4"/>
    <x v="0"/>
    <n v="4554"/>
    <n v="20260"/>
    <n v="1"/>
    <s v="Y"/>
    <x v="1"/>
    <n v="18"/>
    <n v="3"/>
    <n v="1"/>
    <n v="80"/>
    <n v="0"/>
    <n v="10"/>
    <n v="3"/>
    <n v="2"/>
    <x v="1"/>
    <n v="7"/>
    <n v="0"/>
    <n v="9"/>
  </r>
  <r>
    <n v="55"/>
    <x v="1"/>
    <n v="0"/>
    <s v="Travel_Rarely"/>
    <n v="147"/>
    <x v="1"/>
    <n v="20"/>
    <n v="2"/>
    <x v="4"/>
    <n v="1"/>
    <n v="389"/>
    <n v="2"/>
    <x v="1"/>
    <n v="37"/>
    <n v="3"/>
    <x v="0"/>
    <x v="2"/>
    <n v="4"/>
    <x v="1"/>
    <n v="5415"/>
    <n v="15972"/>
    <n v="3"/>
    <s v="Y"/>
    <x v="0"/>
    <n v="19"/>
    <n v="3"/>
    <n v="4"/>
    <n v="80"/>
    <n v="1"/>
    <n v="12"/>
    <n v="4"/>
    <n v="3"/>
    <x v="1"/>
    <n v="7"/>
    <n v="0"/>
    <n v="8"/>
  </r>
  <r>
    <n v="26"/>
    <x v="1"/>
    <n v="0"/>
    <s v="Travel_Frequently"/>
    <n v="496"/>
    <x v="1"/>
    <n v="11"/>
    <n v="2"/>
    <x v="2"/>
    <n v="1"/>
    <n v="390"/>
    <n v="1"/>
    <x v="1"/>
    <n v="60"/>
    <n v="3"/>
    <x v="0"/>
    <x v="4"/>
    <n v="1"/>
    <x v="1"/>
    <n v="4741"/>
    <n v="22722"/>
    <n v="1"/>
    <s v="Y"/>
    <x v="0"/>
    <n v="13"/>
    <n v="3"/>
    <n v="3"/>
    <n v="80"/>
    <n v="1"/>
    <n v="5"/>
    <n v="3"/>
    <n v="3"/>
    <x v="8"/>
    <n v="3"/>
    <n v="3"/>
    <n v="3"/>
  </r>
  <r>
    <n v="37"/>
    <x v="1"/>
    <n v="0"/>
    <s v="Travel_Rarely"/>
    <n v="1372"/>
    <x v="1"/>
    <n v="1"/>
    <n v="3"/>
    <x v="0"/>
    <n v="1"/>
    <n v="391"/>
    <n v="4"/>
    <x v="0"/>
    <n v="42"/>
    <n v="3"/>
    <x v="1"/>
    <x v="1"/>
    <n v="4"/>
    <x v="0"/>
    <n v="2115"/>
    <n v="15881"/>
    <n v="1"/>
    <s v="Y"/>
    <x v="1"/>
    <n v="12"/>
    <n v="3"/>
    <n v="2"/>
    <n v="80"/>
    <n v="0"/>
    <n v="17"/>
    <n v="3"/>
    <n v="3"/>
    <x v="18"/>
    <n v="12"/>
    <n v="5"/>
    <n v="7"/>
  </r>
  <r>
    <n v="44"/>
    <x v="0"/>
    <n v="1"/>
    <s v="Travel_Frequently"/>
    <n v="920"/>
    <x v="1"/>
    <n v="24"/>
    <n v="3"/>
    <x v="0"/>
    <n v="1"/>
    <n v="392"/>
    <n v="4"/>
    <x v="1"/>
    <n v="43"/>
    <n v="3"/>
    <x v="1"/>
    <x v="2"/>
    <n v="3"/>
    <x v="2"/>
    <n v="3161"/>
    <n v="19920"/>
    <n v="3"/>
    <s v="Y"/>
    <x v="0"/>
    <n v="22"/>
    <n v="4"/>
    <n v="4"/>
    <n v="80"/>
    <n v="1"/>
    <n v="19"/>
    <n v="0"/>
    <n v="1"/>
    <x v="6"/>
    <n v="0"/>
    <n v="0"/>
    <n v="0"/>
  </r>
  <r>
    <n v="38"/>
    <x v="1"/>
    <n v="0"/>
    <s v="Travel_Rarely"/>
    <n v="688"/>
    <x v="1"/>
    <n v="23"/>
    <n v="4"/>
    <x v="0"/>
    <n v="1"/>
    <n v="393"/>
    <n v="4"/>
    <x v="1"/>
    <n v="82"/>
    <n v="3"/>
    <x v="0"/>
    <x v="4"/>
    <n v="4"/>
    <x v="2"/>
    <n v="5745"/>
    <n v="18899"/>
    <n v="9"/>
    <s v="Y"/>
    <x v="1"/>
    <n v="14"/>
    <n v="3"/>
    <n v="2"/>
    <n v="80"/>
    <n v="1"/>
    <n v="10"/>
    <n v="2"/>
    <n v="3"/>
    <x v="4"/>
    <n v="2"/>
    <n v="1"/>
    <n v="2"/>
  </r>
  <r>
    <n v="26"/>
    <x v="0"/>
    <n v="1"/>
    <s v="Travel_Rarely"/>
    <n v="1449"/>
    <x v="1"/>
    <n v="16"/>
    <n v="4"/>
    <x v="2"/>
    <n v="1"/>
    <n v="394"/>
    <n v="1"/>
    <x v="1"/>
    <n v="45"/>
    <n v="3"/>
    <x v="1"/>
    <x v="2"/>
    <n v="2"/>
    <x v="2"/>
    <n v="2373"/>
    <n v="14180"/>
    <n v="2"/>
    <s v="Y"/>
    <x v="0"/>
    <n v="13"/>
    <n v="3"/>
    <n v="4"/>
    <n v="80"/>
    <n v="1"/>
    <n v="5"/>
    <n v="2"/>
    <n v="3"/>
    <x v="11"/>
    <n v="2"/>
    <n v="0"/>
    <n v="2"/>
  </r>
  <r>
    <n v="28"/>
    <x v="1"/>
    <n v="0"/>
    <s v="Travel_Rarely"/>
    <n v="1117"/>
    <x v="1"/>
    <n v="8"/>
    <n v="2"/>
    <x v="0"/>
    <n v="1"/>
    <n v="395"/>
    <n v="4"/>
    <x v="0"/>
    <n v="66"/>
    <n v="3"/>
    <x v="1"/>
    <x v="1"/>
    <n v="4"/>
    <x v="0"/>
    <n v="3310"/>
    <n v="4488"/>
    <n v="1"/>
    <s v="Y"/>
    <x v="1"/>
    <n v="21"/>
    <n v="4"/>
    <n v="4"/>
    <n v="80"/>
    <n v="0"/>
    <n v="5"/>
    <n v="3"/>
    <n v="3"/>
    <x v="8"/>
    <n v="3"/>
    <n v="0"/>
    <n v="2"/>
  </r>
  <r>
    <n v="49"/>
    <x v="1"/>
    <n v="0"/>
    <s v="Travel_Frequently"/>
    <n v="636"/>
    <x v="1"/>
    <n v="10"/>
    <n v="4"/>
    <x v="0"/>
    <n v="1"/>
    <n v="396"/>
    <n v="3"/>
    <x v="0"/>
    <n v="35"/>
    <n v="3"/>
    <x v="4"/>
    <x v="7"/>
    <n v="1"/>
    <x v="0"/>
    <n v="18665"/>
    <n v="25594"/>
    <n v="9"/>
    <s v="Y"/>
    <x v="0"/>
    <n v="11"/>
    <n v="3"/>
    <n v="4"/>
    <n v="80"/>
    <n v="0"/>
    <n v="22"/>
    <n v="4"/>
    <n v="3"/>
    <x v="11"/>
    <n v="2"/>
    <n v="1"/>
    <n v="2"/>
  </r>
  <r>
    <n v="36"/>
    <x v="1"/>
    <n v="0"/>
    <s v="Travel_Rarely"/>
    <n v="506"/>
    <x v="1"/>
    <n v="3"/>
    <n v="3"/>
    <x v="4"/>
    <n v="1"/>
    <n v="397"/>
    <n v="3"/>
    <x v="1"/>
    <n v="30"/>
    <n v="3"/>
    <x v="0"/>
    <x v="1"/>
    <n v="2"/>
    <x v="0"/>
    <n v="4485"/>
    <n v="26285"/>
    <n v="4"/>
    <s v="Y"/>
    <x v="1"/>
    <n v="12"/>
    <n v="3"/>
    <n v="4"/>
    <n v="80"/>
    <n v="0"/>
    <n v="10"/>
    <n v="2"/>
    <n v="3"/>
    <x v="3"/>
    <n v="0"/>
    <n v="7"/>
    <n v="7"/>
  </r>
  <r>
    <n v="31"/>
    <x v="1"/>
    <n v="0"/>
    <s v="Travel_Frequently"/>
    <n v="444"/>
    <x v="0"/>
    <n v="5"/>
    <n v="3"/>
    <x v="3"/>
    <n v="1"/>
    <n v="399"/>
    <n v="4"/>
    <x v="0"/>
    <n v="84"/>
    <n v="3"/>
    <x v="1"/>
    <x v="6"/>
    <n v="2"/>
    <x v="2"/>
    <n v="2789"/>
    <n v="3909"/>
    <n v="1"/>
    <s v="Y"/>
    <x v="1"/>
    <n v="11"/>
    <n v="3"/>
    <n v="3"/>
    <n v="80"/>
    <n v="1"/>
    <n v="2"/>
    <n v="5"/>
    <n v="2"/>
    <x v="4"/>
    <n v="2"/>
    <n v="2"/>
    <n v="2"/>
  </r>
  <r>
    <n v="26"/>
    <x v="0"/>
    <n v="1"/>
    <s v="Travel_Rarely"/>
    <n v="950"/>
    <x v="0"/>
    <n v="4"/>
    <n v="4"/>
    <x v="3"/>
    <n v="1"/>
    <n v="401"/>
    <n v="4"/>
    <x v="1"/>
    <n v="48"/>
    <n v="2"/>
    <x v="0"/>
    <x v="0"/>
    <n v="4"/>
    <x v="0"/>
    <n v="5828"/>
    <n v="8450"/>
    <n v="1"/>
    <s v="Y"/>
    <x v="0"/>
    <n v="12"/>
    <n v="3"/>
    <n v="2"/>
    <n v="80"/>
    <n v="0"/>
    <n v="8"/>
    <n v="0"/>
    <n v="3"/>
    <x v="3"/>
    <n v="7"/>
    <n v="7"/>
    <n v="4"/>
  </r>
  <r>
    <n v="37"/>
    <x v="1"/>
    <n v="0"/>
    <s v="Travel_Frequently"/>
    <n v="889"/>
    <x v="1"/>
    <n v="9"/>
    <n v="3"/>
    <x v="2"/>
    <n v="1"/>
    <n v="403"/>
    <n v="2"/>
    <x v="1"/>
    <n v="53"/>
    <n v="3"/>
    <x v="1"/>
    <x v="1"/>
    <n v="4"/>
    <x v="1"/>
    <n v="2326"/>
    <n v="11411"/>
    <n v="1"/>
    <s v="Y"/>
    <x v="0"/>
    <n v="12"/>
    <n v="3"/>
    <n v="3"/>
    <n v="80"/>
    <n v="3"/>
    <n v="4"/>
    <n v="3"/>
    <n v="2"/>
    <x v="9"/>
    <n v="2"/>
    <n v="1"/>
    <n v="2"/>
  </r>
  <r>
    <n v="42"/>
    <x v="1"/>
    <n v="0"/>
    <s v="Travel_Frequently"/>
    <n v="555"/>
    <x v="0"/>
    <n v="26"/>
    <n v="3"/>
    <x v="3"/>
    <n v="1"/>
    <n v="404"/>
    <n v="3"/>
    <x v="0"/>
    <n v="77"/>
    <n v="3"/>
    <x v="3"/>
    <x v="0"/>
    <n v="2"/>
    <x v="1"/>
    <n v="13525"/>
    <n v="14864"/>
    <n v="5"/>
    <s v="Y"/>
    <x v="1"/>
    <n v="14"/>
    <n v="3"/>
    <n v="4"/>
    <n v="80"/>
    <n v="1"/>
    <n v="23"/>
    <n v="2"/>
    <n v="4"/>
    <x v="23"/>
    <n v="4"/>
    <n v="4"/>
    <n v="8"/>
  </r>
  <r>
    <n v="18"/>
    <x v="0"/>
    <n v="1"/>
    <s v="Travel_Rarely"/>
    <n v="230"/>
    <x v="1"/>
    <n v="3"/>
    <n v="3"/>
    <x v="0"/>
    <n v="1"/>
    <n v="405"/>
    <n v="3"/>
    <x v="1"/>
    <n v="54"/>
    <n v="3"/>
    <x v="1"/>
    <x v="2"/>
    <n v="3"/>
    <x v="0"/>
    <n v="1420"/>
    <n v="25233"/>
    <n v="1"/>
    <s v="Y"/>
    <x v="1"/>
    <n v="13"/>
    <n v="3"/>
    <n v="3"/>
    <n v="80"/>
    <n v="0"/>
    <n v="0"/>
    <n v="2"/>
    <n v="3"/>
    <x v="2"/>
    <n v="0"/>
    <n v="0"/>
    <n v="0"/>
  </r>
  <r>
    <n v="35"/>
    <x v="1"/>
    <n v="0"/>
    <s v="Travel_Rarely"/>
    <n v="1232"/>
    <x v="0"/>
    <n v="16"/>
    <n v="3"/>
    <x v="3"/>
    <n v="1"/>
    <n v="406"/>
    <n v="3"/>
    <x v="1"/>
    <n v="96"/>
    <n v="3"/>
    <x v="2"/>
    <x v="0"/>
    <n v="2"/>
    <x v="1"/>
    <n v="8020"/>
    <n v="5100"/>
    <n v="0"/>
    <s v="Y"/>
    <x v="1"/>
    <n v="15"/>
    <n v="3"/>
    <n v="3"/>
    <n v="80"/>
    <n v="2"/>
    <n v="12"/>
    <n v="3"/>
    <n v="2"/>
    <x v="19"/>
    <n v="9"/>
    <n v="6"/>
    <n v="9"/>
  </r>
  <r>
    <n v="36"/>
    <x v="1"/>
    <n v="0"/>
    <s v="Travel_Frequently"/>
    <n v="566"/>
    <x v="1"/>
    <n v="18"/>
    <n v="4"/>
    <x v="0"/>
    <n v="1"/>
    <n v="407"/>
    <n v="3"/>
    <x v="1"/>
    <n v="81"/>
    <n v="4"/>
    <x v="1"/>
    <x v="2"/>
    <n v="4"/>
    <x v="1"/>
    <n v="3688"/>
    <n v="7122"/>
    <n v="4"/>
    <s v="Y"/>
    <x v="1"/>
    <n v="18"/>
    <n v="3"/>
    <n v="4"/>
    <n v="80"/>
    <n v="2"/>
    <n v="4"/>
    <n v="2"/>
    <n v="3"/>
    <x v="6"/>
    <n v="0"/>
    <n v="0"/>
    <n v="0"/>
  </r>
  <r>
    <n v="51"/>
    <x v="1"/>
    <n v="0"/>
    <s v="Travel_Rarely"/>
    <n v="1302"/>
    <x v="1"/>
    <n v="2"/>
    <n v="3"/>
    <x v="2"/>
    <n v="1"/>
    <n v="408"/>
    <n v="4"/>
    <x v="1"/>
    <n v="84"/>
    <n v="1"/>
    <x v="0"/>
    <x v="3"/>
    <n v="2"/>
    <x v="2"/>
    <n v="5482"/>
    <n v="16321"/>
    <n v="5"/>
    <s v="Y"/>
    <x v="1"/>
    <n v="18"/>
    <n v="3"/>
    <n v="4"/>
    <n v="80"/>
    <n v="1"/>
    <n v="13"/>
    <n v="3"/>
    <n v="3"/>
    <x v="9"/>
    <n v="1"/>
    <n v="1"/>
    <n v="2"/>
  </r>
  <r>
    <n v="41"/>
    <x v="1"/>
    <n v="0"/>
    <s v="Travel_Rarely"/>
    <n v="334"/>
    <x v="0"/>
    <n v="2"/>
    <n v="4"/>
    <x v="0"/>
    <n v="1"/>
    <n v="410"/>
    <n v="4"/>
    <x v="1"/>
    <n v="88"/>
    <n v="3"/>
    <x v="3"/>
    <x v="5"/>
    <n v="2"/>
    <x v="0"/>
    <n v="16015"/>
    <n v="15896"/>
    <n v="1"/>
    <s v="Y"/>
    <x v="1"/>
    <n v="19"/>
    <n v="3"/>
    <n v="2"/>
    <n v="80"/>
    <n v="0"/>
    <n v="22"/>
    <n v="2"/>
    <n v="3"/>
    <x v="14"/>
    <n v="10"/>
    <n v="0"/>
    <n v="4"/>
  </r>
  <r>
    <n v="18"/>
    <x v="1"/>
    <n v="0"/>
    <s v="Travel_Rarely"/>
    <n v="812"/>
    <x v="0"/>
    <n v="10"/>
    <n v="3"/>
    <x v="2"/>
    <n v="1"/>
    <n v="411"/>
    <n v="4"/>
    <x v="0"/>
    <n v="69"/>
    <n v="2"/>
    <x v="1"/>
    <x v="6"/>
    <n v="3"/>
    <x v="0"/>
    <n v="1200"/>
    <n v="9724"/>
    <n v="1"/>
    <s v="Y"/>
    <x v="1"/>
    <n v="12"/>
    <n v="3"/>
    <n v="1"/>
    <n v="80"/>
    <n v="0"/>
    <n v="0"/>
    <n v="2"/>
    <n v="3"/>
    <x v="2"/>
    <n v="0"/>
    <n v="0"/>
    <n v="0"/>
  </r>
  <r>
    <n v="28"/>
    <x v="1"/>
    <n v="0"/>
    <s v="Travel_Rarely"/>
    <n v="1476"/>
    <x v="1"/>
    <n v="16"/>
    <n v="2"/>
    <x v="2"/>
    <n v="1"/>
    <n v="412"/>
    <n v="2"/>
    <x v="1"/>
    <n v="68"/>
    <n v="4"/>
    <x v="0"/>
    <x v="4"/>
    <n v="1"/>
    <x v="0"/>
    <n v="5661"/>
    <n v="4824"/>
    <n v="0"/>
    <s v="Y"/>
    <x v="1"/>
    <n v="19"/>
    <n v="3"/>
    <n v="3"/>
    <n v="80"/>
    <n v="0"/>
    <n v="9"/>
    <n v="2"/>
    <n v="3"/>
    <x v="3"/>
    <n v="3"/>
    <n v="0"/>
    <n v="7"/>
  </r>
  <r>
    <n v="31"/>
    <x v="1"/>
    <n v="0"/>
    <s v="Travel_Rarely"/>
    <n v="218"/>
    <x v="0"/>
    <n v="7"/>
    <n v="3"/>
    <x v="4"/>
    <n v="1"/>
    <n v="416"/>
    <n v="2"/>
    <x v="1"/>
    <n v="100"/>
    <n v="4"/>
    <x v="0"/>
    <x v="0"/>
    <n v="4"/>
    <x v="1"/>
    <n v="6929"/>
    <n v="12241"/>
    <n v="4"/>
    <s v="Y"/>
    <x v="1"/>
    <n v="11"/>
    <n v="3"/>
    <n v="2"/>
    <n v="80"/>
    <n v="1"/>
    <n v="10"/>
    <n v="3"/>
    <n v="2"/>
    <x v="3"/>
    <n v="7"/>
    <n v="7"/>
    <n v="7"/>
  </r>
  <r>
    <n v="39"/>
    <x v="1"/>
    <n v="0"/>
    <s v="Travel_Rarely"/>
    <n v="1132"/>
    <x v="1"/>
    <n v="1"/>
    <n v="3"/>
    <x v="2"/>
    <n v="1"/>
    <n v="417"/>
    <n v="3"/>
    <x v="1"/>
    <n v="48"/>
    <n v="4"/>
    <x v="2"/>
    <x v="4"/>
    <n v="4"/>
    <x v="2"/>
    <n v="9613"/>
    <n v="10942"/>
    <n v="0"/>
    <s v="Y"/>
    <x v="1"/>
    <n v="17"/>
    <n v="3"/>
    <n v="1"/>
    <n v="80"/>
    <n v="3"/>
    <n v="19"/>
    <n v="5"/>
    <n v="2"/>
    <x v="29"/>
    <n v="10"/>
    <n v="3"/>
    <n v="7"/>
  </r>
  <r>
    <n v="36"/>
    <x v="1"/>
    <n v="0"/>
    <s v="Non-Travel"/>
    <n v="1105"/>
    <x v="1"/>
    <n v="24"/>
    <n v="4"/>
    <x v="0"/>
    <n v="1"/>
    <n v="419"/>
    <n v="2"/>
    <x v="0"/>
    <n v="47"/>
    <n v="3"/>
    <x v="0"/>
    <x v="2"/>
    <n v="2"/>
    <x v="1"/>
    <n v="5674"/>
    <n v="6927"/>
    <n v="7"/>
    <s v="Y"/>
    <x v="1"/>
    <n v="15"/>
    <n v="3"/>
    <n v="3"/>
    <n v="80"/>
    <n v="1"/>
    <n v="11"/>
    <n v="3"/>
    <n v="3"/>
    <x v="7"/>
    <n v="8"/>
    <n v="0"/>
    <n v="8"/>
  </r>
  <r>
    <n v="32"/>
    <x v="1"/>
    <n v="0"/>
    <s v="Travel_Rarely"/>
    <n v="906"/>
    <x v="0"/>
    <n v="7"/>
    <n v="3"/>
    <x v="0"/>
    <n v="1"/>
    <n v="420"/>
    <n v="4"/>
    <x v="1"/>
    <n v="91"/>
    <n v="2"/>
    <x v="0"/>
    <x v="0"/>
    <n v="3"/>
    <x v="1"/>
    <n v="5484"/>
    <n v="16985"/>
    <n v="1"/>
    <s v="Y"/>
    <x v="1"/>
    <n v="14"/>
    <n v="3"/>
    <n v="3"/>
    <n v="80"/>
    <n v="1"/>
    <n v="13"/>
    <n v="3"/>
    <n v="2"/>
    <x v="20"/>
    <n v="8"/>
    <n v="4"/>
    <n v="8"/>
  </r>
  <r>
    <n v="38"/>
    <x v="1"/>
    <n v="0"/>
    <s v="Travel_Rarely"/>
    <n v="849"/>
    <x v="1"/>
    <n v="25"/>
    <n v="2"/>
    <x v="0"/>
    <n v="1"/>
    <n v="421"/>
    <n v="1"/>
    <x v="0"/>
    <n v="81"/>
    <n v="2"/>
    <x v="2"/>
    <x v="7"/>
    <n v="2"/>
    <x v="1"/>
    <n v="12061"/>
    <n v="26707"/>
    <n v="3"/>
    <s v="Y"/>
    <x v="1"/>
    <n v="17"/>
    <n v="3"/>
    <n v="3"/>
    <n v="80"/>
    <n v="1"/>
    <n v="19"/>
    <n v="2"/>
    <n v="3"/>
    <x v="1"/>
    <n v="8"/>
    <n v="0"/>
    <n v="1"/>
  </r>
  <r>
    <n v="58"/>
    <x v="1"/>
    <n v="0"/>
    <s v="Non-Travel"/>
    <n v="390"/>
    <x v="1"/>
    <n v="1"/>
    <n v="4"/>
    <x v="0"/>
    <n v="1"/>
    <n v="422"/>
    <n v="4"/>
    <x v="1"/>
    <n v="32"/>
    <n v="1"/>
    <x v="0"/>
    <x v="4"/>
    <n v="3"/>
    <x v="2"/>
    <n v="5660"/>
    <n v="17056"/>
    <n v="2"/>
    <s v="Y"/>
    <x v="0"/>
    <n v="13"/>
    <n v="3"/>
    <n v="4"/>
    <n v="80"/>
    <n v="1"/>
    <n v="12"/>
    <n v="2"/>
    <n v="3"/>
    <x v="8"/>
    <n v="3"/>
    <n v="1"/>
    <n v="2"/>
  </r>
  <r>
    <n v="31"/>
    <x v="1"/>
    <n v="0"/>
    <s v="Travel_Rarely"/>
    <n v="691"/>
    <x v="1"/>
    <n v="5"/>
    <n v="4"/>
    <x v="4"/>
    <n v="1"/>
    <n v="423"/>
    <n v="3"/>
    <x v="1"/>
    <n v="86"/>
    <n v="3"/>
    <x v="1"/>
    <x v="1"/>
    <n v="4"/>
    <x v="1"/>
    <n v="4821"/>
    <n v="10077"/>
    <n v="0"/>
    <s v="Y"/>
    <x v="0"/>
    <n v="12"/>
    <n v="3"/>
    <n v="3"/>
    <n v="80"/>
    <n v="1"/>
    <n v="6"/>
    <n v="4"/>
    <n v="3"/>
    <x v="8"/>
    <n v="2"/>
    <n v="0"/>
    <n v="3"/>
  </r>
  <r>
    <n v="31"/>
    <x v="1"/>
    <n v="0"/>
    <s v="Travel_Rarely"/>
    <n v="106"/>
    <x v="2"/>
    <n v="2"/>
    <n v="3"/>
    <x v="5"/>
    <n v="1"/>
    <n v="424"/>
    <n v="1"/>
    <x v="1"/>
    <n v="62"/>
    <n v="2"/>
    <x v="0"/>
    <x v="8"/>
    <n v="1"/>
    <x v="1"/>
    <n v="6410"/>
    <n v="17822"/>
    <n v="3"/>
    <s v="Y"/>
    <x v="1"/>
    <n v="12"/>
    <n v="3"/>
    <n v="4"/>
    <n v="80"/>
    <n v="0"/>
    <n v="9"/>
    <n v="1"/>
    <n v="3"/>
    <x v="4"/>
    <n v="2"/>
    <n v="1"/>
    <n v="0"/>
  </r>
  <r>
    <n v="45"/>
    <x v="1"/>
    <n v="0"/>
    <s v="Travel_Frequently"/>
    <n v="1249"/>
    <x v="1"/>
    <n v="7"/>
    <n v="3"/>
    <x v="0"/>
    <n v="1"/>
    <n v="425"/>
    <n v="1"/>
    <x v="1"/>
    <n v="97"/>
    <n v="3"/>
    <x v="2"/>
    <x v="2"/>
    <n v="1"/>
    <x v="2"/>
    <n v="5210"/>
    <n v="20308"/>
    <n v="1"/>
    <s v="Y"/>
    <x v="1"/>
    <n v="18"/>
    <n v="3"/>
    <n v="1"/>
    <n v="80"/>
    <n v="1"/>
    <n v="24"/>
    <n v="2"/>
    <n v="3"/>
    <x v="25"/>
    <n v="9"/>
    <n v="9"/>
    <n v="11"/>
  </r>
  <r>
    <n v="31"/>
    <x v="1"/>
    <n v="0"/>
    <s v="Travel_Rarely"/>
    <n v="192"/>
    <x v="1"/>
    <n v="2"/>
    <n v="4"/>
    <x v="0"/>
    <n v="1"/>
    <n v="426"/>
    <n v="3"/>
    <x v="1"/>
    <n v="32"/>
    <n v="3"/>
    <x v="1"/>
    <x v="1"/>
    <n v="4"/>
    <x v="2"/>
    <n v="2695"/>
    <n v="7747"/>
    <n v="0"/>
    <s v="Y"/>
    <x v="0"/>
    <n v="18"/>
    <n v="3"/>
    <n v="2"/>
    <n v="80"/>
    <n v="1"/>
    <n v="3"/>
    <n v="2"/>
    <n v="1"/>
    <x v="4"/>
    <n v="2"/>
    <n v="2"/>
    <n v="2"/>
  </r>
  <r>
    <n v="33"/>
    <x v="1"/>
    <n v="0"/>
    <s v="Travel_Frequently"/>
    <n v="553"/>
    <x v="1"/>
    <n v="5"/>
    <n v="4"/>
    <x v="0"/>
    <n v="1"/>
    <n v="428"/>
    <n v="4"/>
    <x v="0"/>
    <n v="74"/>
    <n v="3"/>
    <x v="2"/>
    <x v="5"/>
    <n v="2"/>
    <x v="1"/>
    <n v="11878"/>
    <n v="23364"/>
    <n v="6"/>
    <s v="Y"/>
    <x v="1"/>
    <n v="11"/>
    <n v="3"/>
    <n v="2"/>
    <n v="80"/>
    <n v="2"/>
    <n v="12"/>
    <n v="2"/>
    <n v="3"/>
    <x v="1"/>
    <n v="6"/>
    <n v="8"/>
    <n v="8"/>
  </r>
  <r>
    <n v="39"/>
    <x v="1"/>
    <n v="0"/>
    <s v="Travel_Rarely"/>
    <n v="117"/>
    <x v="1"/>
    <n v="10"/>
    <n v="1"/>
    <x v="2"/>
    <n v="1"/>
    <n v="429"/>
    <n v="3"/>
    <x v="1"/>
    <n v="99"/>
    <n v="3"/>
    <x v="3"/>
    <x v="5"/>
    <n v="1"/>
    <x v="1"/>
    <n v="17068"/>
    <n v="5355"/>
    <n v="1"/>
    <s v="Y"/>
    <x v="0"/>
    <n v="14"/>
    <n v="3"/>
    <n v="4"/>
    <n v="80"/>
    <n v="0"/>
    <n v="21"/>
    <n v="3"/>
    <n v="3"/>
    <x v="17"/>
    <n v="9"/>
    <n v="11"/>
    <n v="10"/>
  </r>
  <r>
    <n v="43"/>
    <x v="1"/>
    <n v="0"/>
    <s v="Travel_Frequently"/>
    <n v="185"/>
    <x v="1"/>
    <n v="10"/>
    <n v="4"/>
    <x v="0"/>
    <n v="1"/>
    <n v="430"/>
    <n v="3"/>
    <x v="0"/>
    <n v="33"/>
    <n v="3"/>
    <x v="1"/>
    <x v="2"/>
    <n v="4"/>
    <x v="0"/>
    <n v="2455"/>
    <n v="10675"/>
    <n v="0"/>
    <s v="Y"/>
    <x v="1"/>
    <n v="19"/>
    <n v="3"/>
    <n v="1"/>
    <n v="80"/>
    <n v="0"/>
    <n v="9"/>
    <n v="5"/>
    <n v="3"/>
    <x v="3"/>
    <n v="7"/>
    <n v="1"/>
    <n v="7"/>
  </r>
  <r>
    <n v="49"/>
    <x v="1"/>
    <n v="0"/>
    <s v="Travel_Rarely"/>
    <n v="1091"/>
    <x v="1"/>
    <n v="1"/>
    <n v="2"/>
    <x v="4"/>
    <n v="1"/>
    <n v="431"/>
    <n v="3"/>
    <x v="0"/>
    <n v="90"/>
    <n v="2"/>
    <x v="3"/>
    <x v="4"/>
    <n v="3"/>
    <x v="0"/>
    <n v="13964"/>
    <n v="17810"/>
    <n v="7"/>
    <s v="Y"/>
    <x v="0"/>
    <n v="12"/>
    <n v="3"/>
    <n v="4"/>
    <n v="80"/>
    <n v="0"/>
    <n v="25"/>
    <n v="2"/>
    <n v="3"/>
    <x v="5"/>
    <n v="1"/>
    <n v="0"/>
    <n v="7"/>
  </r>
  <r>
    <n v="52"/>
    <x v="0"/>
    <n v="1"/>
    <s v="Travel_Rarely"/>
    <n v="723"/>
    <x v="1"/>
    <n v="8"/>
    <n v="4"/>
    <x v="2"/>
    <n v="1"/>
    <n v="433"/>
    <n v="3"/>
    <x v="1"/>
    <n v="85"/>
    <n v="2"/>
    <x v="0"/>
    <x v="1"/>
    <n v="2"/>
    <x v="1"/>
    <n v="4941"/>
    <n v="17747"/>
    <n v="2"/>
    <s v="Y"/>
    <x v="1"/>
    <n v="15"/>
    <n v="3"/>
    <n v="1"/>
    <n v="80"/>
    <n v="0"/>
    <n v="11"/>
    <n v="3"/>
    <n v="2"/>
    <x v="3"/>
    <n v="2"/>
    <n v="7"/>
    <n v="7"/>
  </r>
  <r>
    <n v="27"/>
    <x v="1"/>
    <n v="0"/>
    <s v="Travel_Rarely"/>
    <n v="1220"/>
    <x v="1"/>
    <n v="5"/>
    <n v="3"/>
    <x v="0"/>
    <n v="1"/>
    <n v="434"/>
    <n v="3"/>
    <x v="0"/>
    <n v="85"/>
    <n v="3"/>
    <x v="1"/>
    <x v="1"/>
    <n v="2"/>
    <x v="0"/>
    <n v="2478"/>
    <n v="20938"/>
    <n v="1"/>
    <s v="Y"/>
    <x v="0"/>
    <n v="12"/>
    <n v="3"/>
    <n v="2"/>
    <n v="80"/>
    <n v="0"/>
    <n v="4"/>
    <n v="2"/>
    <n v="2"/>
    <x v="9"/>
    <n v="3"/>
    <n v="1"/>
    <n v="2"/>
  </r>
  <r>
    <n v="32"/>
    <x v="1"/>
    <n v="0"/>
    <s v="Travel_Rarely"/>
    <n v="588"/>
    <x v="0"/>
    <n v="8"/>
    <n v="2"/>
    <x v="4"/>
    <n v="1"/>
    <n v="436"/>
    <n v="3"/>
    <x v="0"/>
    <n v="65"/>
    <n v="2"/>
    <x v="0"/>
    <x v="0"/>
    <n v="2"/>
    <x v="1"/>
    <n v="5228"/>
    <n v="24624"/>
    <n v="1"/>
    <s v="Y"/>
    <x v="0"/>
    <n v="11"/>
    <n v="3"/>
    <n v="4"/>
    <n v="80"/>
    <n v="0"/>
    <n v="13"/>
    <n v="2"/>
    <n v="3"/>
    <x v="20"/>
    <n v="12"/>
    <n v="11"/>
    <n v="9"/>
  </r>
  <r>
    <n v="27"/>
    <x v="1"/>
    <n v="0"/>
    <s v="Travel_Rarely"/>
    <n v="1377"/>
    <x v="0"/>
    <n v="2"/>
    <n v="3"/>
    <x v="0"/>
    <n v="1"/>
    <n v="437"/>
    <n v="4"/>
    <x v="1"/>
    <n v="74"/>
    <n v="3"/>
    <x v="0"/>
    <x v="0"/>
    <n v="3"/>
    <x v="0"/>
    <n v="4478"/>
    <n v="5242"/>
    <n v="1"/>
    <s v="Y"/>
    <x v="0"/>
    <n v="11"/>
    <n v="3"/>
    <n v="1"/>
    <n v="80"/>
    <n v="0"/>
    <n v="5"/>
    <n v="3"/>
    <n v="3"/>
    <x v="8"/>
    <n v="4"/>
    <n v="0"/>
    <n v="4"/>
  </r>
  <r>
    <n v="31"/>
    <x v="1"/>
    <n v="0"/>
    <s v="Travel_Rarely"/>
    <n v="691"/>
    <x v="0"/>
    <n v="7"/>
    <n v="3"/>
    <x v="3"/>
    <n v="1"/>
    <n v="438"/>
    <n v="4"/>
    <x v="1"/>
    <n v="73"/>
    <n v="3"/>
    <x v="0"/>
    <x v="0"/>
    <n v="4"/>
    <x v="2"/>
    <n v="7547"/>
    <n v="7143"/>
    <n v="4"/>
    <s v="Y"/>
    <x v="1"/>
    <n v="12"/>
    <n v="3"/>
    <n v="4"/>
    <n v="80"/>
    <n v="3"/>
    <n v="13"/>
    <n v="3"/>
    <n v="3"/>
    <x v="5"/>
    <n v="7"/>
    <n v="1"/>
    <n v="7"/>
  </r>
  <r>
    <n v="32"/>
    <x v="1"/>
    <n v="0"/>
    <s v="Travel_Rarely"/>
    <n v="1018"/>
    <x v="1"/>
    <n v="2"/>
    <n v="4"/>
    <x v="2"/>
    <n v="1"/>
    <n v="439"/>
    <n v="1"/>
    <x v="0"/>
    <n v="74"/>
    <n v="4"/>
    <x v="0"/>
    <x v="1"/>
    <n v="4"/>
    <x v="0"/>
    <n v="5055"/>
    <n v="10557"/>
    <n v="7"/>
    <s v="Y"/>
    <x v="1"/>
    <n v="16"/>
    <n v="3"/>
    <n v="3"/>
    <n v="80"/>
    <n v="0"/>
    <n v="10"/>
    <n v="0"/>
    <n v="2"/>
    <x v="5"/>
    <n v="7"/>
    <n v="0"/>
    <n v="7"/>
  </r>
  <r>
    <n v="28"/>
    <x v="0"/>
    <n v="1"/>
    <s v="Travel_Rarely"/>
    <n v="1157"/>
    <x v="1"/>
    <n v="2"/>
    <n v="4"/>
    <x v="2"/>
    <n v="1"/>
    <n v="440"/>
    <n v="1"/>
    <x v="1"/>
    <n v="84"/>
    <n v="1"/>
    <x v="1"/>
    <x v="1"/>
    <n v="4"/>
    <x v="1"/>
    <n v="3464"/>
    <n v="24737"/>
    <n v="5"/>
    <s v="Y"/>
    <x v="0"/>
    <n v="13"/>
    <n v="3"/>
    <n v="4"/>
    <n v="80"/>
    <n v="0"/>
    <n v="5"/>
    <n v="4"/>
    <n v="2"/>
    <x v="11"/>
    <n v="2"/>
    <n v="2"/>
    <n v="2"/>
  </r>
  <r>
    <n v="30"/>
    <x v="1"/>
    <n v="0"/>
    <s v="Travel_Rarely"/>
    <n v="1275"/>
    <x v="1"/>
    <n v="28"/>
    <n v="2"/>
    <x v="2"/>
    <n v="1"/>
    <n v="441"/>
    <n v="4"/>
    <x v="0"/>
    <n v="64"/>
    <n v="3"/>
    <x v="0"/>
    <x v="1"/>
    <n v="4"/>
    <x v="1"/>
    <n v="5775"/>
    <n v="11934"/>
    <n v="1"/>
    <s v="Y"/>
    <x v="1"/>
    <n v="13"/>
    <n v="3"/>
    <n v="4"/>
    <n v="80"/>
    <n v="2"/>
    <n v="11"/>
    <n v="2"/>
    <n v="3"/>
    <x v="1"/>
    <n v="8"/>
    <n v="1"/>
    <n v="9"/>
  </r>
  <r>
    <n v="31"/>
    <x v="1"/>
    <n v="0"/>
    <s v="Travel_Frequently"/>
    <n v="798"/>
    <x v="1"/>
    <n v="7"/>
    <n v="2"/>
    <x v="0"/>
    <n v="1"/>
    <n v="442"/>
    <n v="3"/>
    <x v="0"/>
    <n v="48"/>
    <n v="2"/>
    <x v="2"/>
    <x v="3"/>
    <n v="3"/>
    <x v="1"/>
    <n v="8943"/>
    <n v="14034"/>
    <n v="1"/>
    <s v="Y"/>
    <x v="1"/>
    <n v="24"/>
    <n v="4"/>
    <n v="1"/>
    <n v="80"/>
    <n v="1"/>
    <n v="10"/>
    <n v="2"/>
    <n v="3"/>
    <x v="1"/>
    <n v="9"/>
    <n v="8"/>
    <n v="9"/>
  </r>
  <r>
    <n v="39"/>
    <x v="1"/>
    <n v="0"/>
    <s v="Travel_Frequently"/>
    <n v="672"/>
    <x v="1"/>
    <n v="7"/>
    <n v="2"/>
    <x v="2"/>
    <n v="1"/>
    <n v="444"/>
    <n v="3"/>
    <x v="1"/>
    <n v="54"/>
    <n v="2"/>
    <x v="4"/>
    <x v="5"/>
    <n v="4"/>
    <x v="1"/>
    <n v="19272"/>
    <n v="21141"/>
    <n v="1"/>
    <s v="Y"/>
    <x v="1"/>
    <n v="15"/>
    <n v="3"/>
    <n v="1"/>
    <n v="80"/>
    <n v="1"/>
    <n v="21"/>
    <n v="2"/>
    <n v="3"/>
    <x v="17"/>
    <n v="9"/>
    <n v="13"/>
    <n v="3"/>
  </r>
  <r>
    <n v="39"/>
    <x v="0"/>
    <n v="1"/>
    <s v="Travel_Rarely"/>
    <n v="1162"/>
    <x v="0"/>
    <n v="3"/>
    <n v="2"/>
    <x v="2"/>
    <n v="1"/>
    <n v="445"/>
    <n v="4"/>
    <x v="0"/>
    <n v="41"/>
    <n v="3"/>
    <x v="0"/>
    <x v="0"/>
    <n v="3"/>
    <x v="1"/>
    <n v="5238"/>
    <n v="17778"/>
    <n v="4"/>
    <s v="Y"/>
    <x v="0"/>
    <n v="18"/>
    <n v="3"/>
    <n v="1"/>
    <n v="80"/>
    <n v="0"/>
    <n v="12"/>
    <n v="3"/>
    <n v="2"/>
    <x v="6"/>
    <n v="0"/>
    <n v="0"/>
    <n v="0"/>
  </r>
  <r>
    <n v="33"/>
    <x v="1"/>
    <n v="0"/>
    <s v="Travel_Frequently"/>
    <n v="508"/>
    <x v="0"/>
    <n v="10"/>
    <n v="3"/>
    <x v="3"/>
    <n v="1"/>
    <n v="446"/>
    <n v="2"/>
    <x v="1"/>
    <n v="46"/>
    <n v="2"/>
    <x v="0"/>
    <x v="0"/>
    <n v="4"/>
    <x v="0"/>
    <n v="4682"/>
    <n v="4317"/>
    <n v="3"/>
    <s v="Y"/>
    <x v="1"/>
    <n v="14"/>
    <n v="3"/>
    <n v="3"/>
    <n v="80"/>
    <n v="0"/>
    <n v="9"/>
    <n v="6"/>
    <n v="2"/>
    <x v="5"/>
    <n v="7"/>
    <n v="0"/>
    <n v="1"/>
  </r>
  <r>
    <n v="47"/>
    <x v="1"/>
    <n v="0"/>
    <s v="Travel_Rarely"/>
    <n v="1482"/>
    <x v="1"/>
    <n v="5"/>
    <n v="5"/>
    <x v="0"/>
    <n v="1"/>
    <n v="447"/>
    <n v="4"/>
    <x v="1"/>
    <n v="42"/>
    <n v="3"/>
    <x v="4"/>
    <x v="7"/>
    <n v="3"/>
    <x v="1"/>
    <n v="18300"/>
    <n v="16375"/>
    <n v="4"/>
    <s v="Y"/>
    <x v="1"/>
    <n v="11"/>
    <n v="3"/>
    <n v="2"/>
    <n v="80"/>
    <n v="1"/>
    <n v="21"/>
    <n v="2"/>
    <n v="3"/>
    <x v="11"/>
    <n v="2"/>
    <n v="1"/>
    <n v="1"/>
  </r>
  <r>
    <n v="43"/>
    <x v="1"/>
    <n v="0"/>
    <s v="Travel_Frequently"/>
    <n v="559"/>
    <x v="1"/>
    <n v="10"/>
    <n v="4"/>
    <x v="0"/>
    <n v="1"/>
    <n v="448"/>
    <n v="3"/>
    <x v="0"/>
    <n v="82"/>
    <n v="2"/>
    <x v="0"/>
    <x v="2"/>
    <n v="3"/>
    <x v="2"/>
    <n v="5257"/>
    <n v="6227"/>
    <n v="1"/>
    <s v="Y"/>
    <x v="1"/>
    <n v="11"/>
    <n v="3"/>
    <n v="2"/>
    <n v="80"/>
    <n v="1"/>
    <n v="9"/>
    <n v="3"/>
    <n v="4"/>
    <x v="7"/>
    <n v="7"/>
    <n v="0"/>
    <n v="0"/>
  </r>
  <r>
    <n v="27"/>
    <x v="1"/>
    <n v="0"/>
    <s v="Non-Travel"/>
    <n v="210"/>
    <x v="0"/>
    <n v="1"/>
    <n v="1"/>
    <x v="3"/>
    <n v="1"/>
    <n v="449"/>
    <n v="3"/>
    <x v="1"/>
    <n v="73"/>
    <n v="3"/>
    <x v="0"/>
    <x v="0"/>
    <n v="2"/>
    <x v="1"/>
    <n v="6349"/>
    <n v="22107"/>
    <n v="0"/>
    <s v="Y"/>
    <x v="0"/>
    <n v="13"/>
    <n v="3"/>
    <n v="4"/>
    <n v="80"/>
    <n v="1"/>
    <n v="6"/>
    <n v="0"/>
    <n v="3"/>
    <x v="8"/>
    <n v="4"/>
    <n v="1"/>
    <n v="4"/>
  </r>
  <r>
    <n v="54"/>
    <x v="1"/>
    <n v="0"/>
    <s v="Travel_Frequently"/>
    <n v="928"/>
    <x v="1"/>
    <n v="20"/>
    <n v="4"/>
    <x v="0"/>
    <n v="1"/>
    <n v="450"/>
    <n v="4"/>
    <x v="0"/>
    <n v="31"/>
    <n v="3"/>
    <x v="0"/>
    <x v="1"/>
    <n v="3"/>
    <x v="0"/>
    <n v="4869"/>
    <n v="16885"/>
    <n v="3"/>
    <s v="Y"/>
    <x v="1"/>
    <n v="12"/>
    <n v="3"/>
    <n v="4"/>
    <n v="80"/>
    <n v="0"/>
    <n v="20"/>
    <n v="4"/>
    <n v="2"/>
    <x v="9"/>
    <n v="3"/>
    <n v="0"/>
    <n v="3"/>
  </r>
  <r>
    <n v="43"/>
    <x v="1"/>
    <n v="0"/>
    <s v="Travel_Rarely"/>
    <n v="1001"/>
    <x v="1"/>
    <n v="7"/>
    <n v="3"/>
    <x v="0"/>
    <n v="1"/>
    <n v="451"/>
    <n v="3"/>
    <x v="0"/>
    <n v="43"/>
    <n v="3"/>
    <x v="2"/>
    <x v="4"/>
    <n v="1"/>
    <x v="1"/>
    <n v="9985"/>
    <n v="9262"/>
    <n v="8"/>
    <s v="Y"/>
    <x v="1"/>
    <n v="16"/>
    <n v="3"/>
    <n v="1"/>
    <n v="80"/>
    <n v="1"/>
    <n v="10"/>
    <n v="1"/>
    <n v="2"/>
    <x v="6"/>
    <n v="0"/>
    <n v="0"/>
    <n v="0"/>
  </r>
  <r>
    <n v="45"/>
    <x v="1"/>
    <n v="0"/>
    <s v="Travel_Rarely"/>
    <n v="549"/>
    <x v="1"/>
    <n v="8"/>
    <n v="4"/>
    <x v="1"/>
    <n v="1"/>
    <n v="452"/>
    <n v="4"/>
    <x v="1"/>
    <n v="75"/>
    <n v="3"/>
    <x v="0"/>
    <x v="1"/>
    <n v="4"/>
    <x v="1"/>
    <n v="3697"/>
    <n v="9278"/>
    <n v="9"/>
    <s v="Y"/>
    <x v="1"/>
    <n v="14"/>
    <n v="3"/>
    <n v="1"/>
    <n v="80"/>
    <n v="2"/>
    <n v="12"/>
    <n v="3"/>
    <n v="3"/>
    <x v="1"/>
    <n v="9"/>
    <n v="9"/>
    <n v="8"/>
  </r>
  <r>
    <n v="40"/>
    <x v="1"/>
    <n v="0"/>
    <s v="Travel_Rarely"/>
    <n v="1124"/>
    <x v="0"/>
    <n v="1"/>
    <n v="2"/>
    <x v="2"/>
    <n v="1"/>
    <n v="453"/>
    <n v="2"/>
    <x v="1"/>
    <n v="57"/>
    <n v="1"/>
    <x v="0"/>
    <x v="0"/>
    <n v="4"/>
    <x v="1"/>
    <n v="7457"/>
    <n v="13273"/>
    <n v="2"/>
    <s v="Y"/>
    <x v="0"/>
    <n v="22"/>
    <n v="4"/>
    <n v="3"/>
    <n v="80"/>
    <n v="3"/>
    <n v="6"/>
    <n v="2"/>
    <n v="2"/>
    <x v="9"/>
    <n v="3"/>
    <n v="0"/>
    <n v="2"/>
  </r>
  <r>
    <n v="29"/>
    <x v="0"/>
    <n v="1"/>
    <s v="Travel_Rarely"/>
    <n v="318"/>
    <x v="1"/>
    <n v="8"/>
    <n v="4"/>
    <x v="1"/>
    <n v="1"/>
    <n v="454"/>
    <n v="2"/>
    <x v="1"/>
    <n v="77"/>
    <n v="1"/>
    <x v="1"/>
    <x v="2"/>
    <n v="1"/>
    <x v="1"/>
    <n v="2119"/>
    <n v="4759"/>
    <n v="1"/>
    <s v="Y"/>
    <x v="0"/>
    <n v="11"/>
    <n v="3"/>
    <n v="4"/>
    <n v="80"/>
    <n v="0"/>
    <n v="7"/>
    <n v="4"/>
    <n v="2"/>
    <x v="5"/>
    <n v="7"/>
    <n v="0"/>
    <n v="7"/>
  </r>
  <r>
    <n v="29"/>
    <x v="1"/>
    <n v="0"/>
    <s v="Travel_Rarely"/>
    <n v="738"/>
    <x v="1"/>
    <n v="9"/>
    <n v="5"/>
    <x v="1"/>
    <n v="1"/>
    <n v="455"/>
    <n v="2"/>
    <x v="1"/>
    <n v="30"/>
    <n v="2"/>
    <x v="1"/>
    <x v="2"/>
    <n v="4"/>
    <x v="0"/>
    <n v="3983"/>
    <n v="7621"/>
    <n v="0"/>
    <s v="Y"/>
    <x v="1"/>
    <n v="17"/>
    <n v="3"/>
    <n v="3"/>
    <n v="80"/>
    <n v="0"/>
    <n v="4"/>
    <n v="2"/>
    <n v="3"/>
    <x v="11"/>
    <n v="2"/>
    <n v="2"/>
    <n v="2"/>
  </r>
  <r>
    <n v="30"/>
    <x v="1"/>
    <n v="0"/>
    <s v="Travel_Rarely"/>
    <n v="570"/>
    <x v="0"/>
    <n v="5"/>
    <n v="3"/>
    <x v="3"/>
    <n v="1"/>
    <n v="456"/>
    <n v="4"/>
    <x v="0"/>
    <n v="30"/>
    <n v="2"/>
    <x v="0"/>
    <x v="0"/>
    <n v="3"/>
    <x v="2"/>
    <n v="6118"/>
    <n v="5431"/>
    <n v="1"/>
    <s v="Y"/>
    <x v="1"/>
    <n v="13"/>
    <n v="3"/>
    <n v="3"/>
    <n v="80"/>
    <n v="3"/>
    <n v="10"/>
    <n v="2"/>
    <n v="3"/>
    <x v="1"/>
    <n v="9"/>
    <n v="1"/>
    <n v="2"/>
  </r>
  <r>
    <n v="27"/>
    <x v="1"/>
    <n v="0"/>
    <s v="Travel_Rarely"/>
    <n v="1130"/>
    <x v="0"/>
    <n v="8"/>
    <n v="4"/>
    <x v="3"/>
    <n v="1"/>
    <n v="458"/>
    <n v="2"/>
    <x v="0"/>
    <n v="56"/>
    <n v="3"/>
    <x v="0"/>
    <x v="0"/>
    <n v="2"/>
    <x v="1"/>
    <n v="6214"/>
    <n v="3415"/>
    <n v="1"/>
    <s v="Y"/>
    <x v="1"/>
    <n v="18"/>
    <n v="3"/>
    <n v="1"/>
    <n v="80"/>
    <n v="1"/>
    <n v="8"/>
    <n v="3"/>
    <n v="3"/>
    <x v="3"/>
    <n v="7"/>
    <n v="0"/>
    <n v="7"/>
  </r>
  <r>
    <n v="37"/>
    <x v="1"/>
    <n v="0"/>
    <s v="Travel_Rarely"/>
    <n v="1192"/>
    <x v="1"/>
    <n v="5"/>
    <n v="2"/>
    <x v="2"/>
    <n v="1"/>
    <n v="460"/>
    <n v="4"/>
    <x v="1"/>
    <n v="61"/>
    <n v="3"/>
    <x v="0"/>
    <x v="3"/>
    <n v="4"/>
    <x v="2"/>
    <n v="6347"/>
    <n v="23177"/>
    <n v="7"/>
    <s v="Y"/>
    <x v="1"/>
    <n v="16"/>
    <n v="3"/>
    <n v="3"/>
    <n v="80"/>
    <n v="2"/>
    <n v="8"/>
    <n v="2"/>
    <n v="2"/>
    <x v="0"/>
    <n v="2"/>
    <n v="0"/>
    <n v="4"/>
  </r>
  <r>
    <n v="38"/>
    <x v="1"/>
    <n v="0"/>
    <s v="Travel_Rarely"/>
    <n v="343"/>
    <x v="1"/>
    <n v="15"/>
    <n v="2"/>
    <x v="0"/>
    <n v="1"/>
    <n v="461"/>
    <n v="3"/>
    <x v="1"/>
    <n v="92"/>
    <n v="2"/>
    <x v="2"/>
    <x v="7"/>
    <n v="4"/>
    <x v="2"/>
    <n v="11510"/>
    <n v="15682"/>
    <n v="0"/>
    <s v="Y"/>
    <x v="0"/>
    <n v="14"/>
    <n v="3"/>
    <n v="2"/>
    <n v="80"/>
    <n v="1"/>
    <n v="12"/>
    <n v="3"/>
    <n v="3"/>
    <x v="19"/>
    <n v="10"/>
    <n v="2"/>
    <n v="9"/>
  </r>
  <r>
    <n v="31"/>
    <x v="1"/>
    <n v="0"/>
    <s v="Travel_Rarely"/>
    <n v="1232"/>
    <x v="1"/>
    <n v="7"/>
    <n v="4"/>
    <x v="2"/>
    <n v="1"/>
    <n v="462"/>
    <n v="3"/>
    <x v="0"/>
    <n v="39"/>
    <n v="3"/>
    <x v="2"/>
    <x v="3"/>
    <n v="4"/>
    <x v="0"/>
    <n v="7143"/>
    <n v="25713"/>
    <n v="1"/>
    <s v="Y"/>
    <x v="0"/>
    <n v="14"/>
    <n v="3"/>
    <n v="3"/>
    <n v="80"/>
    <n v="0"/>
    <n v="11"/>
    <n v="2"/>
    <n v="2"/>
    <x v="19"/>
    <n v="9"/>
    <n v="4"/>
    <n v="10"/>
  </r>
  <r>
    <n v="29"/>
    <x v="1"/>
    <n v="0"/>
    <s v="Travel_Rarely"/>
    <n v="144"/>
    <x v="0"/>
    <n v="10"/>
    <n v="1"/>
    <x v="3"/>
    <n v="1"/>
    <n v="463"/>
    <n v="4"/>
    <x v="0"/>
    <n v="39"/>
    <n v="2"/>
    <x v="0"/>
    <x v="0"/>
    <n v="2"/>
    <x v="2"/>
    <n v="8268"/>
    <n v="11866"/>
    <n v="1"/>
    <s v="Y"/>
    <x v="0"/>
    <n v="14"/>
    <n v="3"/>
    <n v="1"/>
    <n v="80"/>
    <n v="2"/>
    <n v="7"/>
    <n v="2"/>
    <n v="3"/>
    <x v="5"/>
    <n v="7"/>
    <n v="1"/>
    <n v="7"/>
  </r>
  <r>
    <n v="35"/>
    <x v="1"/>
    <n v="0"/>
    <s v="Travel_Rarely"/>
    <n v="1296"/>
    <x v="1"/>
    <n v="5"/>
    <n v="4"/>
    <x v="4"/>
    <n v="1"/>
    <n v="464"/>
    <n v="3"/>
    <x v="1"/>
    <n v="62"/>
    <n v="3"/>
    <x v="2"/>
    <x v="3"/>
    <n v="2"/>
    <x v="0"/>
    <n v="8095"/>
    <n v="18264"/>
    <n v="0"/>
    <s v="Y"/>
    <x v="1"/>
    <n v="13"/>
    <n v="3"/>
    <n v="4"/>
    <n v="80"/>
    <n v="0"/>
    <n v="17"/>
    <n v="5"/>
    <n v="3"/>
    <x v="22"/>
    <n v="6"/>
    <n v="0"/>
    <n v="13"/>
  </r>
  <r>
    <n v="23"/>
    <x v="1"/>
    <n v="0"/>
    <s v="Travel_Rarely"/>
    <n v="1309"/>
    <x v="1"/>
    <n v="26"/>
    <n v="1"/>
    <x v="0"/>
    <n v="1"/>
    <n v="465"/>
    <n v="3"/>
    <x v="1"/>
    <n v="83"/>
    <n v="3"/>
    <x v="1"/>
    <x v="1"/>
    <n v="4"/>
    <x v="2"/>
    <n v="2904"/>
    <n v="16092"/>
    <n v="1"/>
    <s v="Y"/>
    <x v="1"/>
    <n v="12"/>
    <n v="3"/>
    <n v="3"/>
    <n v="80"/>
    <n v="2"/>
    <n v="4"/>
    <n v="2"/>
    <n v="2"/>
    <x v="9"/>
    <n v="2"/>
    <n v="0"/>
    <n v="2"/>
  </r>
  <r>
    <n v="41"/>
    <x v="1"/>
    <n v="0"/>
    <s v="Travel_Rarely"/>
    <n v="483"/>
    <x v="1"/>
    <n v="6"/>
    <n v="3"/>
    <x v="2"/>
    <n v="1"/>
    <n v="466"/>
    <n v="4"/>
    <x v="1"/>
    <n v="95"/>
    <n v="2"/>
    <x v="0"/>
    <x v="3"/>
    <n v="2"/>
    <x v="0"/>
    <n v="6032"/>
    <n v="10110"/>
    <n v="6"/>
    <s v="Y"/>
    <x v="0"/>
    <n v="15"/>
    <n v="3"/>
    <n v="4"/>
    <n v="80"/>
    <n v="0"/>
    <n v="8"/>
    <n v="3"/>
    <n v="3"/>
    <x v="8"/>
    <n v="4"/>
    <n v="1"/>
    <n v="2"/>
  </r>
  <r>
    <n v="47"/>
    <x v="1"/>
    <n v="0"/>
    <s v="Travel_Frequently"/>
    <n v="1309"/>
    <x v="0"/>
    <n v="4"/>
    <n v="1"/>
    <x v="2"/>
    <n v="1"/>
    <n v="467"/>
    <n v="2"/>
    <x v="1"/>
    <n v="99"/>
    <n v="3"/>
    <x v="0"/>
    <x v="6"/>
    <n v="3"/>
    <x v="0"/>
    <n v="2976"/>
    <n v="25751"/>
    <n v="3"/>
    <s v="Y"/>
    <x v="1"/>
    <n v="19"/>
    <n v="3"/>
    <n v="1"/>
    <n v="80"/>
    <n v="0"/>
    <n v="5"/>
    <n v="3"/>
    <n v="3"/>
    <x v="2"/>
    <n v="0"/>
    <n v="0"/>
    <n v="0"/>
  </r>
  <r>
    <n v="42"/>
    <x v="1"/>
    <n v="0"/>
    <s v="Travel_Rarely"/>
    <n v="810"/>
    <x v="1"/>
    <n v="23"/>
    <n v="5"/>
    <x v="0"/>
    <n v="1"/>
    <n v="468"/>
    <n v="1"/>
    <x v="0"/>
    <n v="44"/>
    <n v="3"/>
    <x v="3"/>
    <x v="7"/>
    <n v="4"/>
    <x v="0"/>
    <n v="15992"/>
    <n v="15901"/>
    <n v="2"/>
    <s v="Y"/>
    <x v="1"/>
    <n v="14"/>
    <n v="3"/>
    <n v="2"/>
    <n v="80"/>
    <n v="0"/>
    <n v="16"/>
    <n v="2"/>
    <n v="3"/>
    <x v="6"/>
    <n v="0"/>
    <n v="0"/>
    <n v="0"/>
  </r>
  <r>
    <n v="29"/>
    <x v="1"/>
    <n v="0"/>
    <s v="Non-Travel"/>
    <n v="746"/>
    <x v="0"/>
    <n v="2"/>
    <n v="3"/>
    <x v="0"/>
    <n v="1"/>
    <n v="469"/>
    <n v="4"/>
    <x v="1"/>
    <n v="61"/>
    <n v="3"/>
    <x v="0"/>
    <x v="0"/>
    <n v="3"/>
    <x v="1"/>
    <n v="4649"/>
    <n v="16928"/>
    <n v="1"/>
    <s v="Y"/>
    <x v="1"/>
    <n v="14"/>
    <n v="3"/>
    <n v="1"/>
    <n v="80"/>
    <n v="1"/>
    <n v="4"/>
    <n v="3"/>
    <n v="2"/>
    <x v="9"/>
    <n v="3"/>
    <n v="0"/>
    <n v="2"/>
  </r>
  <r>
    <n v="42"/>
    <x v="1"/>
    <n v="0"/>
    <s v="Travel_Rarely"/>
    <n v="544"/>
    <x v="2"/>
    <n v="2"/>
    <n v="1"/>
    <x v="4"/>
    <n v="1"/>
    <n v="470"/>
    <n v="3"/>
    <x v="1"/>
    <n v="52"/>
    <n v="3"/>
    <x v="1"/>
    <x v="8"/>
    <n v="3"/>
    <x v="2"/>
    <n v="2696"/>
    <n v="24017"/>
    <n v="0"/>
    <s v="Y"/>
    <x v="0"/>
    <n v="11"/>
    <n v="3"/>
    <n v="3"/>
    <n v="80"/>
    <n v="1"/>
    <n v="4"/>
    <n v="5"/>
    <n v="3"/>
    <x v="11"/>
    <n v="2"/>
    <n v="1"/>
    <n v="0"/>
  </r>
  <r>
    <n v="32"/>
    <x v="1"/>
    <n v="0"/>
    <s v="Travel_Rarely"/>
    <n v="1062"/>
    <x v="1"/>
    <n v="2"/>
    <n v="3"/>
    <x v="2"/>
    <n v="1"/>
    <n v="471"/>
    <n v="3"/>
    <x v="0"/>
    <n v="75"/>
    <n v="3"/>
    <x v="1"/>
    <x v="2"/>
    <n v="2"/>
    <x v="1"/>
    <n v="2370"/>
    <n v="3956"/>
    <n v="1"/>
    <s v="Y"/>
    <x v="1"/>
    <n v="13"/>
    <n v="3"/>
    <n v="3"/>
    <n v="80"/>
    <n v="1"/>
    <n v="8"/>
    <n v="4"/>
    <n v="3"/>
    <x v="3"/>
    <n v="0"/>
    <n v="0"/>
    <n v="7"/>
  </r>
  <r>
    <n v="48"/>
    <x v="1"/>
    <n v="0"/>
    <s v="Travel_Rarely"/>
    <n v="530"/>
    <x v="0"/>
    <n v="29"/>
    <n v="1"/>
    <x v="2"/>
    <n v="1"/>
    <n v="473"/>
    <n v="1"/>
    <x v="0"/>
    <n v="91"/>
    <n v="3"/>
    <x v="2"/>
    <x v="5"/>
    <n v="3"/>
    <x v="1"/>
    <n v="12504"/>
    <n v="23978"/>
    <n v="3"/>
    <s v="Y"/>
    <x v="1"/>
    <n v="21"/>
    <n v="4"/>
    <n v="2"/>
    <n v="80"/>
    <n v="1"/>
    <n v="15"/>
    <n v="3"/>
    <n v="1"/>
    <x v="2"/>
    <n v="0"/>
    <n v="0"/>
    <n v="0"/>
  </r>
  <r>
    <n v="37"/>
    <x v="1"/>
    <n v="0"/>
    <s v="Travel_Rarely"/>
    <n v="1319"/>
    <x v="1"/>
    <n v="6"/>
    <n v="3"/>
    <x v="2"/>
    <n v="1"/>
    <n v="474"/>
    <n v="3"/>
    <x v="1"/>
    <n v="51"/>
    <n v="4"/>
    <x v="0"/>
    <x v="1"/>
    <n v="1"/>
    <x v="2"/>
    <n v="5974"/>
    <n v="17001"/>
    <n v="4"/>
    <s v="Y"/>
    <x v="0"/>
    <n v="13"/>
    <n v="3"/>
    <n v="1"/>
    <n v="80"/>
    <n v="2"/>
    <n v="13"/>
    <n v="2"/>
    <n v="3"/>
    <x v="5"/>
    <n v="7"/>
    <n v="6"/>
    <n v="7"/>
  </r>
  <r>
    <n v="30"/>
    <x v="1"/>
    <n v="0"/>
    <s v="Non-Travel"/>
    <n v="641"/>
    <x v="0"/>
    <n v="25"/>
    <n v="2"/>
    <x v="4"/>
    <n v="1"/>
    <n v="475"/>
    <n v="4"/>
    <x v="0"/>
    <n v="85"/>
    <n v="3"/>
    <x v="0"/>
    <x v="0"/>
    <n v="3"/>
    <x v="1"/>
    <n v="4736"/>
    <n v="6069"/>
    <n v="7"/>
    <s v="Y"/>
    <x v="0"/>
    <n v="12"/>
    <n v="3"/>
    <n v="2"/>
    <n v="80"/>
    <n v="1"/>
    <n v="4"/>
    <n v="2"/>
    <n v="4"/>
    <x v="4"/>
    <n v="2"/>
    <n v="2"/>
    <n v="2"/>
  </r>
  <r>
    <n v="26"/>
    <x v="1"/>
    <n v="0"/>
    <s v="Travel_Rarely"/>
    <n v="933"/>
    <x v="0"/>
    <n v="1"/>
    <n v="3"/>
    <x v="0"/>
    <n v="1"/>
    <n v="476"/>
    <n v="3"/>
    <x v="1"/>
    <n v="57"/>
    <n v="3"/>
    <x v="0"/>
    <x v="0"/>
    <n v="3"/>
    <x v="1"/>
    <n v="5296"/>
    <n v="20156"/>
    <n v="1"/>
    <s v="Y"/>
    <x v="1"/>
    <n v="17"/>
    <n v="3"/>
    <n v="2"/>
    <n v="80"/>
    <n v="1"/>
    <n v="8"/>
    <n v="3"/>
    <n v="3"/>
    <x v="3"/>
    <n v="7"/>
    <n v="7"/>
    <n v="7"/>
  </r>
  <r>
    <n v="42"/>
    <x v="1"/>
    <n v="0"/>
    <s v="Travel_Rarely"/>
    <n v="1332"/>
    <x v="1"/>
    <n v="2"/>
    <n v="4"/>
    <x v="1"/>
    <n v="1"/>
    <n v="477"/>
    <n v="1"/>
    <x v="1"/>
    <n v="98"/>
    <n v="2"/>
    <x v="0"/>
    <x v="4"/>
    <n v="4"/>
    <x v="0"/>
    <n v="6781"/>
    <n v="17078"/>
    <n v="3"/>
    <s v="Y"/>
    <x v="1"/>
    <n v="23"/>
    <n v="4"/>
    <n v="2"/>
    <n v="80"/>
    <n v="0"/>
    <n v="14"/>
    <n v="6"/>
    <n v="3"/>
    <x v="6"/>
    <n v="0"/>
    <n v="0"/>
    <n v="0"/>
  </r>
  <r>
    <n v="21"/>
    <x v="0"/>
    <n v="1"/>
    <s v="Travel_Frequently"/>
    <n v="756"/>
    <x v="0"/>
    <n v="1"/>
    <n v="1"/>
    <x v="4"/>
    <n v="1"/>
    <n v="478"/>
    <n v="1"/>
    <x v="0"/>
    <n v="99"/>
    <n v="2"/>
    <x v="1"/>
    <x v="6"/>
    <n v="2"/>
    <x v="0"/>
    <n v="2174"/>
    <n v="9150"/>
    <n v="1"/>
    <s v="Y"/>
    <x v="0"/>
    <n v="11"/>
    <n v="3"/>
    <n v="3"/>
    <n v="80"/>
    <n v="0"/>
    <n v="3"/>
    <n v="3"/>
    <n v="3"/>
    <x v="11"/>
    <n v="2"/>
    <n v="1"/>
    <n v="2"/>
  </r>
  <r>
    <n v="36"/>
    <x v="1"/>
    <n v="0"/>
    <s v="Non-Travel"/>
    <n v="845"/>
    <x v="0"/>
    <n v="1"/>
    <n v="5"/>
    <x v="2"/>
    <n v="1"/>
    <n v="479"/>
    <n v="4"/>
    <x v="0"/>
    <n v="45"/>
    <n v="3"/>
    <x v="0"/>
    <x v="0"/>
    <n v="4"/>
    <x v="0"/>
    <n v="6653"/>
    <n v="15276"/>
    <n v="4"/>
    <s v="Y"/>
    <x v="1"/>
    <n v="15"/>
    <n v="3"/>
    <n v="2"/>
    <n v="80"/>
    <n v="0"/>
    <n v="7"/>
    <n v="6"/>
    <n v="3"/>
    <x v="6"/>
    <n v="0"/>
    <n v="0"/>
    <n v="0"/>
  </r>
  <r>
    <n v="36"/>
    <x v="1"/>
    <n v="0"/>
    <s v="Travel_Frequently"/>
    <n v="541"/>
    <x v="0"/>
    <n v="3"/>
    <n v="4"/>
    <x v="2"/>
    <n v="1"/>
    <n v="481"/>
    <n v="1"/>
    <x v="1"/>
    <n v="48"/>
    <n v="2"/>
    <x v="2"/>
    <x v="0"/>
    <n v="4"/>
    <x v="1"/>
    <n v="9699"/>
    <n v="7246"/>
    <n v="4"/>
    <s v="Y"/>
    <x v="1"/>
    <n v="11"/>
    <n v="3"/>
    <n v="1"/>
    <n v="80"/>
    <n v="1"/>
    <n v="16"/>
    <n v="2"/>
    <n v="3"/>
    <x v="20"/>
    <n v="9"/>
    <n v="1"/>
    <n v="12"/>
  </r>
  <r>
    <n v="57"/>
    <x v="1"/>
    <n v="0"/>
    <s v="Travel_Rarely"/>
    <n v="593"/>
    <x v="1"/>
    <n v="1"/>
    <n v="4"/>
    <x v="2"/>
    <n v="1"/>
    <n v="482"/>
    <n v="4"/>
    <x v="1"/>
    <n v="88"/>
    <n v="3"/>
    <x v="0"/>
    <x v="4"/>
    <n v="3"/>
    <x v="1"/>
    <n v="6755"/>
    <n v="2967"/>
    <n v="2"/>
    <s v="Y"/>
    <x v="1"/>
    <n v="11"/>
    <n v="3"/>
    <n v="3"/>
    <n v="80"/>
    <n v="0"/>
    <n v="15"/>
    <n v="2"/>
    <n v="3"/>
    <x v="11"/>
    <n v="2"/>
    <n v="1"/>
    <n v="2"/>
  </r>
  <r>
    <n v="40"/>
    <x v="1"/>
    <n v="0"/>
    <s v="Travel_Rarely"/>
    <n v="1171"/>
    <x v="1"/>
    <n v="10"/>
    <n v="4"/>
    <x v="0"/>
    <n v="1"/>
    <n v="483"/>
    <n v="4"/>
    <x v="0"/>
    <n v="46"/>
    <n v="4"/>
    <x v="1"/>
    <x v="2"/>
    <n v="3"/>
    <x v="1"/>
    <n v="2213"/>
    <n v="22495"/>
    <n v="3"/>
    <s v="Y"/>
    <x v="0"/>
    <n v="13"/>
    <n v="3"/>
    <n v="3"/>
    <n v="80"/>
    <n v="1"/>
    <n v="10"/>
    <n v="3"/>
    <n v="3"/>
    <x v="5"/>
    <n v="7"/>
    <n v="1"/>
    <n v="7"/>
  </r>
  <r>
    <n v="21"/>
    <x v="1"/>
    <n v="0"/>
    <s v="Non-Travel"/>
    <n v="895"/>
    <x v="0"/>
    <n v="9"/>
    <n v="2"/>
    <x v="2"/>
    <n v="1"/>
    <n v="484"/>
    <n v="1"/>
    <x v="1"/>
    <n v="39"/>
    <n v="3"/>
    <x v="1"/>
    <x v="6"/>
    <n v="4"/>
    <x v="0"/>
    <n v="2610"/>
    <n v="2851"/>
    <n v="1"/>
    <s v="Y"/>
    <x v="1"/>
    <n v="24"/>
    <n v="4"/>
    <n v="3"/>
    <n v="80"/>
    <n v="0"/>
    <n v="3"/>
    <n v="3"/>
    <n v="2"/>
    <x v="11"/>
    <n v="2"/>
    <n v="2"/>
    <n v="2"/>
  </r>
  <r>
    <n v="33"/>
    <x v="0"/>
    <n v="1"/>
    <s v="Travel_Rarely"/>
    <n v="350"/>
    <x v="0"/>
    <n v="5"/>
    <n v="3"/>
    <x v="3"/>
    <n v="1"/>
    <n v="485"/>
    <n v="4"/>
    <x v="0"/>
    <n v="34"/>
    <n v="3"/>
    <x v="1"/>
    <x v="6"/>
    <n v="3"/>
    <x v="0"/>
    <n v="2851"/>
    <n v="9150"/>
    <n v="1"/>
    <s v="Y"/>
    <x v="0"/>
    <n v="13"/>
    <n v="3"/>
    <n v="2"/>
    <n v="80"/>
    <n v="0"/>
    <n v="1"/>
    <n v="2"/>
    <n v="3"/>
    <x v="6"/>
    <n v="0"/>
    <n v="0"/>
    <n v="0"/>
  </r>
  <r>
    <n v="37"/>
    <x v="1"/>
    <n v="0"/>
    <s v="Travel_Rarely"/>
    <n v="921"/>
    <x v="1"/>
    <n v="10"/>
    <n v="3"/>
    <x v="2"/>
    <n v="1"/>
    <n v="486"/>
    <n v="3"/>
    <x v="0"/>
    <n v="98"/>
    <n v="3"/>
    <x v="1"/>
    <x v="2"/>
    <n v="1"/>
    <x v="1"/>
    <n v="3452"/>
    <n v="17663"/>
    <n v="6"/>
    <s v="Y"/>
    <x v="1"/>
    <n v="20"/>
    <n v="4"/>
    <n v="2"/>
    <n v="80"/>
    <n v="1"/>
    <n v="17"/>
    <n v="3"/>
    <n v="3"/>
    <x v="8"/>
    <n v="4"/>
    <n v="0"/>
    <n v="3"/>
  </r>
  <r>
    <n v="46"/>
    <x v="1"/>
    <n v="0"/>
    <s v="Non-Travel"/>
    <n v="1144"/>
    <x v="1"/>
    <n v="7"/>
    <n v="4"/>
    <x v="2"/>
    <n v="1"/>
    <n v="487"/>
    <n v="3"/>
    <x v="0"/>
    <n v="30"/>
    <n v="3"/>
    <x v="0"/>
    <x v="3"/>
    <n v="3"/>
    <x v="1"/>
    <n v="5258"/>
    <n v="16044"/>
    <n v="2"/>
    <s v="Y"/>
    <x v="1"/>
    <n v="14"/>
    <n v="3"/>
    <n v="3"/>
    <n v="80"/>
    <n v="0"/>
    <n v="7"/>
    <n v="2"/>
    <n v="4"/>
    <x v="6"/>
    <n v="0"/>
    <n v="0"/>
    <n v="0"/>
  </r>
  <r>
    <n v="41"/>
    <x v="0"/>
    <n v="1"/>
    <s v="Travel_Frequently"/>
    <n v="143"/>
    <x v="0"/>
    <n v="4"/>
    <n v="3"/>
    <x v="3"/>
    <n v="1"/>
    <n v="488"/>
    <n v="1"/>
    <x v="1"/>
    <n v="56"/>
    <n v="3"/>
    <x v="0"/>
    <x v="0"/>
    <n v="2"/>
    <x v="0"/>
    <n v="9355"/>
    <n v="9558"/>
    <n v="1"/>
    <s v="Y"/>
    <x v="1"/>
    <n v="18"/>
    <n v="3"/>
    <n v="3"/>
    <n v="80"/>
    <n v="0"/>
    <n v="8"/>
    <n v="5"/>
    <n v="3"/>
    <x v="3"/>
    <n v="7"/>
    <n v="7"/>
    <n v="7"/>
  </r>
  <r>
    <n v="50"/>
    <x v="1"/>
    <n v="0"/>
    <s v="Travel_Rarely"/>
    <n v="1046"/>
    <x v="1"/>
    <n v="10"/>
    <n v="3"/>
    <x v="4"/>
    <n v="1"/>
    <n v="491"/>
    <n v="4"/>
    <x v="1"/>
    <n v="100"/>
    <n v="2"/>
    <x v="2"/>
    <x v="4"/>
    <n v="4"/>
    <x v="0"/>
    <n v="10496"/>
    <n v="2755"/>
    <n v="6"/>
    <s v="Y"/>
    <x v="1"/>
    <n v="15"/>
    <n v="3"/>
    <n v="4"/>
    <n v="80"/>
    <n v="0"/>
    <n v="20"/>
    <n v="2"/>
    <n v="3"/>
    <x v="9"/>
    <n v="3"/>
    <n v="1"/>
    <n v="3"/>
  </r>
  <r>
    <n v="40"/>
    <x v="0"/>
    <n v="1"/>
    <s v="Travel_Rarely"/>
    <n v="575"/>
    <x v="0"/>
    <n v="22"/>
    <n v="2"/>
    <x v="3"/>
    <n v="1"/>
    <n v="492"/>
    <n v="3"/>
    <x v="1"/>
    <n v="68"/>
    <n v="2"/>
    <x v="0"/>
    <x v="0"/>
    <n v="3"/>
    <x v="1"/>
    <n v="6380"/>
    <n v="6110"/>
    <n v="2"/>
    <s v="Y"/>
    <x v="0"/>
    <n v="12"/>
    <n v="3"/>
    <n v="1"/>
    <n v="80"/>
    <n v="2"/>
    <n v="8"/>
    <n v="6"/>
    <n v="3"/>
    <x v="0"/>
    <n v="4"/>
    <n v="1"/>
    <n v="0"/>
  </r>
  <r>
    <n v="31"/>
    <x v="1"/>
    <n v="0"/>
    <s v="Travel_Rarely"/>
    <n v="408"/>
    <x v="1"/>
    <n v="9"/>
    <n v="4"/>
    <x v="0"/>
    <n v="1"/>
    <n v="493"/>
    <n v="3"/>
    <x v="1"/>
    <n v="42"/>
    <n v="2"/>
    <x v="1"/>
    <x v="1"/>
    <n v="2"/>
    <x v="0"/>
    <n v="2657"/>
    <n v="7551"/>
    <n v="0"/>
    <s v="Y"/>
    <x v="0"/>
    <n v="16"/>
    <n v="3"/>
    <n v="4"/>
    <n v="80"/>
    <n v="0"/>
    <n v="3"/>
    <n v="5"/>
    <n v="3"/>
    <x v="4"/>
    <n v="2"/>
    <n v="2"/>
    <n v="2"/>
  </r>
  <r>
    <n v="21"/>
    <x v="0"/>
    <n v="1"/>
    <s v="Travel_Rarely"/>
    <n v="156"/>
    <x v="0"/>
    <n v="12"/>
    <n v="3"/>
    <x v="0"/>
    <n v="1"/>
    <n v="494"/>
    <n v="3"/>
    <x v="0"/>
    <n v="90"/>
    <n v="4"/>
    <x v="1"/>
    <x v="6"/>
    <n v="2"/>
    <x v="0"/>
    <n v="2716"/>
    <n v="25422"/>
    <n v="1"/>
    <s v="Y"/>
    <x v="1"/>
    <n v="15"/>
    <n v="3"/>
    <n v="4"/>
    <n v="80"/>
    <n v="0"/>
    <n v="1"/>
    <n v="0"/>
    <n v="3"/>
    <x v="6"/>
    <n v="0"/>
    <n v="0"/>
    <n v="0"/>
  </r>
  <r>
    <n v="29"/>
    <x v="1"/>
    <n v="0"/>
    <s v="Travel_Rarely"/>
    <n v="1283"/>
    <x v="1"/>
    <n v="23"/>
    <n v="3"/>
    <x v="0"/>
    <n v="1"/>
    <n v="495"/>
    <n v="4"/>
    <x v="1"/>
    <n v="54"/>
    <n v="3"/>
    <x v="1"/>
    <x v="1"/>
    <n v="4"/>
    <x v="0"/>
    <n v="2201"/>
    <n v="18168"/>
    <n v="9"/>
    <s v="Y"/>
    <x v="1"/>
    <n v="16"/>
    <n v="3"/>
    <n v="4"/>
    <n v="80"/>
    <n v="0"/>
    <n v="6"/>
    <n v="4"/>
    <n v="3"/>
    <x v="11"/>
    <n v="2"/>
    <n v="1"/>
    <n v="2"/>
  </r>
  <r>
    <n v="35"/>
    <x v="1"/>
    <n v="0"/>
    <s v="Travel_Rarely"/>
    <n v="755"/>
    <x v="1"/>
    <n v="9"/>
    <n v="4"/>
    <x v="0"/>
    <n v="1"/>
    <n v="496"/>
    <n v="3"/>
    <x v="1"/>
    <n v="97"/>
    <n v="2"/>
    <x v="0"/>
    <x v="4"/>
    <n v="2"/>
    <x v="0"/>
    <n v="6540"/>
    <n v="19394"/>
    <n v="9"/>
    <s v="Y"/>
    <x v="1"/>
    <n v="19"/>
    <n v="3"/>
    <n v="3"/>
    <n v="80"/>
    <n v="0"/>
    <n v="10"/>
    <n v="5"/>
    <n v="3"/>
    <x v="6"/>
    <n v="1"/>
    <n v="0"/>
    <n v="0"/>
  </r>
  <r>
    <n v="27"/>
    <x v="1"/>
    <n v="0"/>
    <s v="Travel_Rarely"/>
    <n v="1469"/>
    <x v="1"/>
    <n v="1"/>
    <n v="2"/>
    <x v="2"/>
    <n v="1"/>
    <n v="497"/>
    <n v="4"/>
    <x v="1"/>
    <n v="82"/>
    <n v="3"/>
    <x v="1"/>
    <x v="2"/>
    <n v="2"/>
    <x v="2"/>
    <n v="3816"/>
    <n v="17881"/>
    <n v="1"/>
    <s v="Y"/>
    <x v="1"/>
    <n v="11"/>
    <n v="3"/>
    <n v="2"/>
    <n v="80"/>
    <n v="1"/>
    <n v="5"/>
    <n v="2"/>
    <n v="3"/>
    <x v="8"/>
    <n v="2"/>
    <n v="0"/>
    <n v="4"/>
  </r>
  <r>
    <n v="28"/>
    <x v="1"/>
    <n v="0"/>
    <s v="Travel_Rarely"/>
    <n v="304"/>
    <x v="0"/>
    <n v="9"/>
    <n v="4"/>
    <x v="0"/>
    <n v="1"/>
    <n v="498"/>
    <n v="2"/>
    <x v="1"/>
    <n v="92"/>
    <n v="3"/>
    <x v="0"/>
    <x v="0"/>
    <n v="4"/>
    <x v="0"/>
    <n v="5253"/>
    <n v="20750"/>
    <n v="1"/>
    <s v="Y"/>
    <x v="1"/>
    <n v="16"/>
    <n v="3"/>
    <n v="4"/>
    <n v="80"/>
    <n v="0"/>
    <n v="7"/>
    <n v="1"/>
    <n v="3"/>
    <x v="5"/>
    <n v="5"/>
    <n v="0"/>
    <n v="7"/>
  </r>
  <r>
    <n v="49"/>
    <x v="1"/>
    <n v="0"/>
    <s v="Travel_Rarely"/>
    <n v="1261"/>
    <x v="1"/>
    <n v="7"/>
    <n v="3"/>
    <x v="1"/>
    <n v="1"/>
    <n v="499"/>
    <n v="2"/>
    <x v="1"/>
    <n v="31"/>
    <n v="2"/>
    <x v="2"/>
    <x v="4"/>
    <n v="3"/>
    <x v="0"/>
    <n v="10965"/>
    <n v="12066"/>
    <n v="8"/>
    <s v="Y"/>
    <x v="1"/>
    <n v="24"/>
    <n v="4"/>
    <n v="3"/>
    <n v="80"/>
    <n v="0"/>
    <n v="26"/>
    <n v="2"/>
    <n v="3"/>
    <x v="8"/>
    <n v="2"/>
    <n v="0"/>
    <n v="0"/>
  </r>
  <r>
    <n v="51"/>
    <x v="1"/>
    <n v="0"/>
    <s v="Travel_Rarely"/>
    <n v="1178"/>
    <x v="0"/>
    <n v="14"/>
    <n v="2"/>
    <x v="0"/>
    <n v="1"/>
    <n v="500"/>
    <n v="3"/>
    <x v="0"/>
    <n v="87"/>
    <n v="3"/>
    <x v="0"/>
    <x v="0"/>
    <n v="4"/>
    <x v="1"/>
    <n v="4936"/>
    <n v="14862"/>
    <n v="4"/>
    <s v="Y"/>
    <x v="1"/>
    <n v="11"/>
    <n v="3"/>
    <n v="3"/>
    <n v="80"/>
    <n v="1"/>
    <n v="18"/>
    <n v="2"/>
    <n v="2"/>
    <x v="5"/>
    <n v="7"/>
    <n v="0"/>
    <n v="7"/>
  </r>
  <r>
    <n v="36"/>
    <x v="1"/>
    <n v="0"/>
    <s v="Travel_Rarely"/>
    <n v="329"/>
    <x v="1"/>
    <n v="2"/>
    <n v="3"/>
    <x v="0"/>
    <n v="1"/>
    <n v="501"/>
    <n v="4"/>
    <x v="0"/>
    <n v="96"/>
    <n v="3"/>
    <x v="1"/>
    <x v="1"/>
    <n v="3"/>
    <x v="1"/>
    <n v="2543"/>
    <n v="11868"/>
    <n v="4"/>
    <s v="Y"/>
    <x v="1"/>
    <n v="13"/>
    <n v="3"/>
    <n v="2"/>
    <n v="80"/>
    <n v="1"/>
    <n v="6"/>
    <n v="3"/>
    <n v="3"/>
    <x v="4"/>
    <n v="2"/>
    <n v="2"/>
    <n v="2"/>
  </r>
  <r>
    <n v="34"/>
    <x v="0"/>
    <n v="1"/>
    <s v="Non-Travel"/>
    <n v="1362"/>
    <x v="0"/>
    <n v="19"/>
    <n v="3"/>
    <x v="3"/>
    <n v="1"/>
    <n v="502"/>
    <n v="1"/>
    <x v="1"/>
    <n v="67"/>
    <n v="4"/>
    <x v="0"/>
    <x v="0"/>
    <n v="4"/>
    <x v="0"/>
    <n v="5304"/>
    <n v="4652"/>
    <n v="8"/>
    <s v="Y"/>
    <x v="0"/>
    <n v="13"/>
    <n v="3"/>
    <n v="2"/>
    <n v="80"/>
    <n v="0"/>
    <n v="9"/>
    <n v="3"/>
    <n v="2"/>
    <x v="8"/>
    <n v="2"/>
    <n v="0"/>
    <n v="4"/>
  </r>
  <r>
    <n v="55"/>
    <x v="1"/>
    <n v="0"/>
    <s v="Travel_Rarely"/>
    <n v="1311"/>
    <x v="1"/>
    <n v="2"/>
    <n v="3"/>
    <x v="0"/>
    <n v="1"/>
    <n v="505"/>
    <n v="3"/>
    <x v="0"/>
    <n v="97"/>
    <n v="3"/>
    <x v="3"/>
    <x v="5"/>
    <n v="4"/>
    <x v="0"/>
    <n v="16659"/>
    <n v="23258"/>
    <n v="2"/>
    <s v="Y"/>
    <x v="0"/>
    <n v="13"/>
    <n v="3"/>
    <n v="3"/>
    <n v="80"/>
    <n v="0"/>
    <n v="30"/>
    <n v="2"/>
    <n v="3"/>
    <x v="8"/>
    <n v="4"/>
    <n v="1"/>
    <n v="2"/>
  </r>
  <r>
    <n v="24"/>
    <x v="1"/>
    <n v="0"/>
    <s v="Travel_Rarely"/>
    <n v="1371"/>
    <x v="0"/>
    <n v="10"/>
    <n v="4"/>
    <x v="3"/>
    <n v="1"/>
    <n v="507"/>
    <n v="4"/>
    <x v="0"/>
    <n v="77"/>
    <n v="3"/>
    <x v="0"/>
    <x v="0"/>
    <n v="3"/>
    <x v="2"/>
    <n v="4260"/>
    <n v="5915"/>
    <n v="1"/>
    <s v="Y"/>
    <x v="0"/>
    <n v="12"/>
    <n v="3"/>
    <n v="4"/>
    <n v="80"/>
    <n v="1"/>
    <n v="5"/>
    <n v="2"/>
    <n v="4"/>
    <x v="8"/>
    <n v="2"/>
    <n v="0"/>
    <n v="3"/>
  </r>
  <r>
    <n v="30"/>
    <x v="1"/>
    <n v="0"/>
    <s v="Travel_Rarely"/>
    <n v="202"/>
    <x v="0"/>
    <n v="2"/>
    <n v="1"/>
    <x v="4"/>
    <n v="1"/>
    <n v="508"/>
    <n v="3"/>
    <x v="1"/>
    <n v="72"/>
    <n v="3"/>
    <x v="1"/>
    <x v="6"/>
    <n v="2"/>
    <x v="1"/>
    <n v="2476"/>
    <n v="17434"/>
    <n v="1"/>
    <s v="Y"/>
    <x v="1"/>
    <n v="18"/>
    <n v="3"/>
    <n v="1"/>
    <n v="80"/>
    <n v="1"/>
    <n v="1"/>
    <n v="3"/>
    <n v="3"/>
    <x v="6"/>
    <n v="0"/>
    <n v="0"/>
    <n v="0"/>
  </r>
  <r>
    <n v="26"/>
    <x v="0"/>
    <n v="1"/>
    <s v="Travel_Frequently"/>
    <n v="575"/>
    <x v="1"/>
    <n v="3"/>
    <n v="1"/>
    <x v="4"/>
    <n v="1"/>
    <n v="510"/>
    <n v="3"/>
    <x v="1"/>
    <n v="73"/>
    <n v="3"/>
    <x v="1"/>
    <x v="1"/>
    <n v="1"/>
    <x v="0"/>
    <n v="3102"/>
    <n v="6582"/>
    <n v="0"/>
    <s v="Y"/>
    <x v="1"/>
    <n v="22"/>
    <n v="4"/>
    <n v="3"/>
    <n v="80"/>
    <n v="0"/>
    <n v="7"/>
    <n v="2"/>
    <n v="3"/>
    <x v="0"/>
    <n v="4"/>
    <n v="0"/>
    <n v="4"/>
  </r>
  <r>
    <n v="22"/>
    <x v="1"/>
    <n v="0"/>
    <s v="Travel_Rarely"/>
    <n v="253"/>
    <x v="1"/>
    <n v="11"/>
    <n v="3"/>
    <x v="2"/>
    <n v="1"/>
    <n v="511"/>
    <n v="1"/>
    <x v="0"/>
    <n v="43"/>
    <n v="3"/>
    <x v="1"/>
    <x v="1"/>
    <n v="2"/>
    <x v="1"/>
    <n v="2244"/>
    <n v="24440"/>
    <n v="1"/>
    <s v="Y"/>
    <x v="1"/>
    <n v="13"/>
    <n v="3"/>
    <n v="4"/>
    <n v="80"/>
    <n v="1"/>
    <n v="2"/>
    <n v="1"/>
    <n v="3"/>
    <x v="4"/>
    <n v="1"/>
    <n v="1"/>
    <n v="2"/>
  </r>
  <r>
    <n v="36"/>
    <x v="1"/>
    <n v="0"/>
    <s v="Travel_Rarely"/>
    <n v="164"/>
    <x v="0"/>
    <n v="2"/>
    <n v="2"/>
    <x v="2"/>
    <n v="1"/>
    <n v="513"/>
    <n v="2"/>
    <x v="1"/>
    <n v="61"/>
    <n v="2"/>
    <x v="2"/>
    <x v="0"/>
    <n v="3"/>
    <x v="1"/>
    <n v="7596"/>
    <n v="3809"/>
    <n v="1"/>
    <s v="Y"/>
    <x v="1"/>
    <n v="13"/>
    <n v="3"/>
    <n v="2"/>
    <n v="80"/>
    <n v="2"/>
    <n v="10"/>
    <n v="2"/>
    <n v="3"/>
    <x v="1"/>
    <n v="9"/>
    <n v="9"/>
    <n v="0"/>
  </r>
  <r>
    <n v="30"/>
    <x v="0"/>
    <n v="1"/>
    <s v="Travel_Frequently"/>
    <n v="464"/>
    <x v="1"/>
    <n v="4"/>
    <n v="3"/>
    <x v="4"/>
    <n v="1"/>
    <n v="514"/>
    <n v="3"/>
    <x v="1"/>
    <n v="40"/>
    <n v="3"/>
    <x v="1"/>
    <x v="1"/>
    <n v="4"/>
    <x v="0"/>
    <n v="2285"/>
    <n v="3427"/>
    <n v="9"/>
    <s v="Y"/>
    <x v="0"/>
    <n v="23"/>
    <n v="4"/>
    <n v="3"/>
    <n v="80"/>
    <n v="0"/>
    <n v="3"/>
    <n v="4"/>
    <n v="3"/>
    <x v="6"/>
    <n v="0"/>
    <n v="0"/>
    <n v="0"/>
  </r>
  <r>
    <n v="37"/>
    <x v="1"/>
    <n v="0"/>
    <s v="Travel_Rarely"/>
    <n v="1107"/>
    <x v="1"/>
    <n v="14"/>
    <n v="3"/>
    <x v="0"/>
    <n v="1"/>
    <n v="515"/>
    <n v="4"/>
    <x v="0"/>
    <n v="95"/>
    <n v="3"/>
    <x v="1"/>
    <x v="2"/>
    <n v="1"/>
    <x v="2"/>
    <n v="3034"/>
    <n v="26914"/>
    <n v="1"/>
    <s v="Y"/>
    <x v="1"/>
    <n v="12"/>
    <n v="3"/>
    <n v="3"/>
    <n v="80"/>
    <n v="1"/>
    <n v="18"/>
    <n v="2"/>
    <n v="2"/>
    <x v="29"/>
    <n v="7"/>
    <n v="12"/>
    <n v="17"/>
  </r>
  <r>
    <n v="40"/>
    <x v="1"/>
    <n v="0"/>
    <s v="Travel_Rarely"/>
    <n v="759"/>
    <x v="0"/>
    <n v="2"/>
    <n v="2"/>
    <x v="3"/>
    <n v="1"/>
    <n v="516"/>
    <n v="4"/>
    <x v="0"/>
    <n v="46"/>
    <n v="3"/>
    <x v="0"/>
    <x v="0"/>
    <n v="2"/>
    <x v="2"/>
    <n v="5715"/>
    <n v="22553"/>
    <n v="7"/>
    <s v="Y"/>
    <x v="1"/>
    <n v="12"/>
    <n v="3"/>
    <n v="3"/>
    <n v="80"/>
    <n v="2"/>
    <n v="8"/>
    <n v="5"/>
    <n v="3"/>
    <x v="8"/>
    <n v="4"/>
    <n v="1"/>
    <n v="3"/>
  </r>
  <r>
    <n v="42"/>
    <x v="1"/>
    <n v="0"/>
    <s v="Travel_Rarely"/>
    <n v="201"/>
    <x v="1"/>
    <n v="1"/>
    <n v="4"/>
    <x v="0"/>
    <n v="1"/>
    <n v="517"/>
    <n v="2"/>
    <x v="0"/>
    <n v="95"/>
    <n v="3"/>
    <x v="1"/>
    <x v="2"/>
    <n v="1"/>
    <x v="2"/>
    <n v="2576"/>
    <n v="20490"/>
    <n v="3"/>
    <s v="Y"/>
    <x v="1"/>
    <n v="16"/>
    <n v="3"/>
    <n v="2"/>
    <n v="80"/>
    <n v="1"/>
    <n v="8"/>
    <n v="5"/>
    <n v="3"/>
    <x v="8"/>
    <n v="2"/>
    <n v="1"/>
    <n v="2"/>
  </r>
  <r>
    <n v="37"/>
    <x v="1"/>
    <n v="0"/>
    <s v="Travel_Rarely"/>
    <n v="1305"/>
    <x v="1"/>
    <n v="10"/>
    <n v="4"/>
    <x v="0"/>
    <n v="1"/>
    <n v="518"/>
    <n v="3"/>
    <x v="1"/>
    <n v="49"/>
    <n v="3"/>
    <x v="0"/>
    <x v="3"/>
    <n v="2"/>
    <x v="0"/>
    <n v="4197"/>
    <n v="21123"/>
    <n v="2"/>
    <s v="Y"/>
    <x v="0"/>
    <n v="12"/>
    <n v="3"/>
    <n v="4"/>
    <n v="80"/>
    <n v="0"/>
    <n v="18"/>
    <n v="2"/>
    <n v="2"/>
    <x v="6"/>
    <n v="0"/>
    <n v="0"/>
    <n v="1"/>
  </r>
  <r>
    <n v="43"/>
    <x v="1"/>
    <n v="0"/>
    <s v="Travel_Rarely"/>
    <n v="982"/>
    <x v="1"/>
    <n v="12"/>
    <n v="3"/>
    <x v="0"/>
    <n v="1"/>
    <n v="520"/>
    <n v="1"/>
    <x v="1"/>
    <n v="59"/>
    <n v="2"/>
    <x v="3"/>
    <x v="7"/>
    <n v="2"/>
    <x v="2"/>
    <n v="14336"/>
    <n v="4345"/>
    <n v="1"/>
    <s v="Y"/>
    <x v="1"/>
    <n v="11"/>
    <n v="3"/>
    <n v="3"/>
    <n v="80"/>
    <n v="1"/>
    <n v="25"/>
    <n v="3"/>
    <n v="3"/>
    <x v="10"/>
    <n v="10"/>
    <n v="3"/>
    <n v="9"/>
  </r>
  <r>
    <n v="40"/>
    <x v="1"/>
    <n v="0"/>
    <s v="Travel_Rarely"/>
    <n v="555"/>
    <x v="1"/>
    <n v="2"/>
    <n v="3"/>
    <x v="2"/>
    <n v="1"/>
    <n v="521"/>
    <n v="2"/>
    <x v="0"/>
    <n v="78"/>
    <n v="2"/>
    <x v="0"/>
    <x v="2"/>
    <n v="3"/>
    <x v="1"/>
    <n v="3448"/>
    <n v="13436"/>
    <n v="6"/>
    <s v="Y"/>
    <x v="1"/>
    <n v="22"/>
    <n v="4"/>
    <n v="2"/>
    <n v="80"/>
    <n v="1"/>
    <n v="20"/>
    <n v="3"/>
    <n v="3"/>
    <x v="6"/>
    <n v="0"/>
    <n v="0"/>
    <n v="0"/>
  </r>
  <r>
    <n v="54"/>
    <x v="1"/>
    <n v="0"/>
    <s v="Travel_Rarely"/>
    <n v="821"/>
    <x v="1"/>
    <n v="5"/>
    <n v="2"/>
    <x v="2"/>
    <n v="1"/>
    <n v="522"/>
    <n v="1"/>
    <x v="1"/>
    <n v="86"/>
    <n v="3"/>
    <x v="4"/>
    <x v="7"/>
    <n v="1"/>
    <x v="1"/>
    <n v="19406"/>
    <n v="8509"/>
    <n v="4"/>
    <s v="Y"/>
    <x v="1"/>
    <n v="11"/>
    <n v="3"/>
    <n v="3"/>
    <n v="80"/>
    <n v="1"/>
    <n v="24"/>
    <n v="4"/>
    <n v="2"/>
    <x v="9"/>
    <n v="2"/>
    <n v="1"/>
    <n v="2"/>
  </r>
  <r>
    <n v="34"/>
    <x v="1"/>
    <n v="0"/>
    <s v="Non-Travel"/>
    <n v="1381"/>
    <x v="0"/>
    <n v="4"/>
    <n v="4"/>
    <x v="3"/>
    <n v="1"/>
    <n v="523"/>
    <n v="3"/>
    <x v="0"/>
    <n v="72"/>
    <n v="3"/>
    <x v="0"/>
    <x v="0"/>
    <n v="3"/>
    <x v="1"/>
    <n v="6538"/>
    <n v="12740"/>
    <n v="9"/>
    <s v="Y"/>
    <x v="1"/>
    <n v="15"/>
    <n v="3"/>
    <n v="1"/>
    <n v="80"/>
    <n v="1"/>
    <n v="6"/>
    <n v="3"/>
    <n v="3"/>
    <x v="11"/>
    <n v="2"/>
    <n v="1"/>
    <n v="2"/>
  </r>
  <r>
    <n v="31"/>
    <x v="1"/>
    <n v="0"/>
    <s v="Travel_Rarely"/>
    <n v="480"/>
    <x v="1"/>
    <n v="7"/>
    <n v="2"/>
    <x v="2"/>
    <n v="1"/>
    <n v="524"/>
    <n v="2"/>
    <x v="0"/>
    <n v="31"/>
    <n v="3"/>
    <x v="0"/>
    <x v="3"/>
    <n v="1"/>
    <x v="1"/>
    <n v="4306"/>
    <n v="4156"/>
    <n v="1"/>
    <s v="Y"/>
    <x v="1"/>
    <n v="12"/>
    <n v="3"/>
    <n v="2"/>
    <n v="80"/>
    <n v="1"/>
    <n v="13"/>
    <n v="5"/>
    <n v="1"/>
    <x v="20"/>
    <n v="10"/>
    <n v="3"/>
    <n v="12"/>
  </r>
  <r>
    <n v="43"/>
    <x v="1"/>
    <n v="0"/>
    <s v="Travel_Frequently"/>
    <n v="313"/>
    <x v="1"/>
    <n v="21"/>
    <n v="3"/>
    <x v="2"/>
    <n v="1"/>
    <n v="525"/>
    <n v="4"/>
    <x v="1"/>
    <n v="61"/>
    <n v="3"/>
    <x v="1"/>
    <x v="2"/>
    <n v="4"/>
    <x v="1"/>
    <n v="2258"/>
    <n v="15238"/>
    <n v="7"/>
    <s v="Y"/>
    <x v="1"/>
    <n v="20"/>
    <n v="4"/>
    <n v="1"/>
    <n v="80"/>
    <n v="1"/>
    <n v="8"/>
    <n v="1"/>
    <n v="3"/>
    <x v="11"/>
    <n v="2"/>
    <n v="1"/>
    <n v="2"/>
  </r>
  <r>
    <n v="43"/>
    <x v="1"/>
    <n v="0"/>
    <s v="Travel_Rarely"/>
    <n v="1473"/>
    <x v="1"/>
    <n v="8"/>
    <n v="4"/>
    <x v="1"/>
    <n v="1"/>
    <n v="526"/>
    <n v="3"/>
    <x v="0"/>
    <n v="74"/>
    <n v="3"/>
    <x v="0"/>
    <x v="4"/>
    <n v="3"/>
    <x v="2"/>
    <n v="4522"/>
    <n v="2227"/>
    <n v="4"/>
    <s v="Y"/>
    <x v="0"/>
    <n v="14"/>
    <n v="3"/>
    <n v="4"/>
    <n v="80"/>
    <n v="0"/>
    <n v="8"/>
    <n v="3"/>
    <n v="3"/>
    <x v="8"/>
    <n v="2"/>
    <n v="0"/>
    <n v="2"/>
  </r>
  <r>
    <n v="25"/>
    <x v="1"/>
    <n v="0"/>
    <s v="Travel_Rarely"/>
    <n v="891"/>
    <x v="0"/>
    <n v="4"/>
    <n v="2"/>
    <x v="0"/>
    <n v="1"/>
    <n v="527"/>
    <n v="2"/>
    <x v="0"/>
    <n v="99"/>
    <n v="2"/>
    <x v="0"/>
    <x v="0"/>
    <n v="4"/>
    <x v="0"/>
    <n v="4487"/>
    <n v="12090"/>
    <n v="1"/>
    <s v="Y"/>
    <x v="0"/>
    <n v="11"/>
    <n v="3"/>
    <n v="2"/>
    <n v="80"/>
    <n v="0"/>
    <n v="5"/>
    <n v="3"/>
    <n v="3"/>
    <x v="8"/>
    <n v="4"/>
    <n v="1"/>
    <n v="3"/>
  </r>
  <r>
    <n v="37"/>
    <x v="1"/>
    <n v="0"/>
    <s v="Non-Travel"/>
    <n v="1063"/>
    <x v="1"/>
    <n v="25"/>
    <n v="5"/>
    <x v="2"/>
    <n v="1"/>
    <n v="529"/>
    <n v="2"/>
    <x v="0"/>
    <n v="72"/>
    <n v="3"/>
    <x v="0"/>
    <x v="1"/>
    <n v="3"/>
    <x v="1"/>
    <n v="4449"/>
    <n v="23866"/>
    <n v="3"/>
    <s v="Y"/>
    <x v="0"/>
    <n v="15"/>
    <n v="3"/>
    <n v="1"/>
    <n v="80"/>
    <n v="2"/>
    <n v="15"/>
    <n v="2"/>
    <n v="3"/>
    <x v="20"/>
    <n v="11"/>
    <n v="10"/>
    <n v="7"/>
  </r>
  <r>
    <n v="31"/>
    <x v="1"/>
    <n v="0"/>
    <s v="Travel_Rarely"/>
    <n v="329"/>
    <x v="1"/>
    <n v="1"/>
    <n v="2"/>
    <x v="0"/>
    <n v="1"/>
    <n v="530"/>
    <n v="4"/>
    <x v="1"/>
    <n v="98"/>
    <n v="2"/>
    <x v="1"/>
    <x v="2"/>
    <n v="1"/>
    <x v="1"/>
    <n v="2218"/>
    <n v="16193"/>
    <n v="1"/>
    <s v="Y"/>
    <x v="1"/>
    <n v="12"/>
    <n v="3"/>
    <n v="3"/>
    <n v="80"/>
    <n v="1"/>
    <n v="4"/>
    <n v="3"/>
    <n v="3"/>
    <x v="9"/>
    <n v="2"/>
    <n v="3"/>
    <n v="2"/>
  </r>
  <r>
    <n v="39"/>
    <x v="1"/>
    <n v="0"/>
    <s v="Travel_Frequently"/>
    <n v="1218"/>
    <x v="1"/>
    <n v="1"/>
    <n v="1"/>
    <x v="0"/>
    <n v="1"/>
    <n v="531"/>
    <n v="2"/>
    <x v="1"/>
    <n v="52"/>
    <n v="3"/>
    <x v="4"/>
    <x v="5"/>
    <n v="3"/>
    <x v="2"/>
    <n v="19197"/>
    <n v="8213"/>
    <n v="1"/>
    <s v="Y"/>
    <x v="0"/>
    <n v="14"/>
    <n v="3"/>
    <n v="3"/>
    <n v="80"/>
    <n v="1"/>
    <n v="21"/>
    <n v="3"/>
    <n v="3"/>
    <x v="17"/>
    <n v="8"/>
    <n v="1"/>
    <n v="6"/>
  </r>
  <r>
    <n v="56"/>
    <x v="1"/>
    <n v="0"/>
    <s v="Travel_Frequently"/>
    <n v="906"/>
    <x v="0"/>
    <n v="6"/>
    <n v="3"/>
    <x v="0"/>
    <n v="1"/>
    <n v="532"/>
    <n v="3"/>
    <x v="0"/>
    <n v="86"/>
    <n v="4"/>
    <x v="3"/>
    <x v="0"/>
    <n v="1"/>
    <x v="1"/>
    <n v="13212"/>
    <n v="18256"/>
    <n v="9"/>
    <s v="Y"/>
    <x v="1"/>
    <n v="11"/>
    <n v="3"/>
    <n v="4"/>
    <n v="80"/>
    <n v="3"/>
    <n v="36"/>
    <n v="0"/>
    <n v="2"/>
    <x v="5"/>
    <n v="7"/>
    <n v="7"/>
    <n v="7"/>
  </r>
  <r>
    <n v="30"/>
    <x v="1"/>
    <n v="0"/>
    <s v="Travel_Rarely"/>
    <n v="1082"/>
    <x v="0"/>
    <n v="12"/>
    <n v="3"/>
    <x v="4"/>
    <n v="1"/>
    <n v="533"/>
    <n v="2"/>
    <x v="0"/>
    <n v="83"/>
    <n v="3"/>
    <x v="0"/>
    <x v="0"/>
    <n v="3"/>
    <x v="0"/>
    <n v="6577"/>
    <n v="19558"/>
    <n v="0"/>
    <s v="Y"/>
    <x v="1"/>
    <n v="11"/>
    <n v="3"/>
    <n v="2"/>
    <n v="80"/>
    <n v="0"/>
    <n v="6"/>
    <n v="6"/>
    <n v="3"/>
    <x v="8"/>
    <n v="4"/>
    <n v="4"/>
    <n v="4"/>
  </r>
  <r>
    <n v="41"/>
    <x v="1"/>
    <n v="0"/>
    <s v="Travel_Rarely"/>
    <n v="645"/>
    <x v="0"/>
    <n v="1"/>
    <n v="3"/>
    <x v="3"/>
    <n v="1"/>
    <n v="534"/>
    <n v="2"/>
    <x v="1"/>
    <n v="49"/>
    <n v="4"/>
    <x v="2"/>
    <x v="0"/>
    <n v="1"/>
    <x v="1"/>
    <n v="8392"/>
    <n v="19566"/>
    <n v="1"/>
    <s v="Y"/>
    <x v="1"/>
    <n v="16"/>
    <n v="3"/>
    <n v="3"/>
    <n v="80"/>
    <n v="1"/>
    <n v="10"/>
    <n v="2"/>
    <n v="3"/>
    <x v="1"/>
    <n v="7"/>
    <n v="0"/>
    <n v="7"/>
  </r>
  <r>
    <n v="28"/>
    <x v="1"/>
    <n v="0"/>
    <s v="Travel_Rarely"/>
    <n v="1300"/>
    <x v="1"/>
    <n v="17"/>
    <n v="2"/>
    <x v="2"/>
    <n v="1"/>
    <n v="536"/>
    <n v="3"/>
    <x v="1"/>
    <n v="79"/>
    <n v="3"/>
    <x v="0"/>
    <x v="2"/>
    <n v="1"/>
    <x v="2"/>
    <n v="4558"/>
    <n v="13535"/>
    <n v="1"/>
    <s v="Y"/>
    <x v="1"/>
    <n v="12"/>
    <n v="3"/>
    <n v="4"/>
    <n v="80"/>
    <n v="1"/>
    <n v="10"/>
    <n v="2"/>
    <n v="3"/>
    <x v="1"/>
    <n v="0"/>
    <n v="1"/>
    <n v="8"/>
  </r>
  <r>
    <n v="25"/>
    <x v="0"/>
    <n v="1"/>
    <s v="Travel_Rarely"/>
    <n v="688"/>
    <x v="1"/>
    <n v="3"/>
    <n v="3"/>
    <x v="2"/>
    <n v="1"/>
    <n v="538"/>
    <n v="1"/>
    <x v="1"/>
    <n v="91"/>
    <n v="3"/>
    <x v="1"/>
    <x v="2"/>
    <n v="1"/>
    <x v="1"/>
    <n v="4031"/>
    <n v="9396"/>
    <n v="5"/>
    <s v="Y"/>
    <x v="1"/>
    <n v="13"/>
    <n v="3"/>
    <n v="3"/>
    <n v="80"/>
    <n v="1"/>
    <n v="6"/>
    <n v="5"/>
    <n v="3"/>
    <x v="4"/>
    <n v="2"/>
    <n v="0"/>
    <n v="2"/>
  </r>
  <r>
    <n v="52"/>
    <x v="1"/>
    <n v="0"/>
    <s v="Travel_Rarely"/>
    <n v="319"/>
    <x v="1"/>
    <n v="3"/>
    <n v="3"/>
    <x v="2"/>
    <n v="1"/>
    <n v="543"/>
    <n v="4"/>
    <x v="1"/>
    <n v="39"/>
    <n v="2"/>
    <x v="2"/>
    <x v="3"/>
    <n v="3"/>
    <x v="1"/>
    <n v="7969"/>
    <n v="19609"/>
    <n v="2"/>
    <s v="Y"/>
    <x v="0"/>
    <n v="14"/>
    <n v="3"/>
    <n v="3"/>
    <n v="80"/>
    <n v="0"/>
    <n v="28"/>
    <n v="4"/>
    <n v="3"/>
    <x v="8"/>
    <n v="4"/>
    <n v="0"/>
    <n v="4"/>
  </r>
  <r>
    <n v="45"/>
    <x v="1"/>
    <n v="0"/>
    <s v="Travel_Rarely"/>
    <n v="192"/>
    <x v="1"/>
    <n v="10"/>
    <n v="2"/>
    <x v="0"/>
    <n v="1"/>
    <n v="544"/>
    <n v="1"/>
    <x v="1"/>
    <n v="69"/>
    <n v="3"/>
    <x v="1"/>
    <x v="1"/>
    <n v="4"/>
    <x v="1"/>
    <n v="2654"/>
    <n v="9655"/>
    <n v="3"/>
    <s v="Y"/>
    <x v="1"/>
    <n v="21"/>
    <n v="4"/>
    <n v="4"/>
    <n v="80"/>
    <n v="2"/>
    <n v="8"/>
    <n v="3"/>
    <n v="2"/>
    <x v="4"/>
    <n v="2"/>
    <n v="0"/>
    <n v="2"/>
  </r>
  <r>
    <n v="52"/>
    <x v="1"/>
    <n v="0"/>
    <s v="Travel_Rarely"/>
    <n v="1490"/>
    <x v="1"/>
    <n v="4"/>
    <n v="2"/>
    <x v="0"/>
    <n v="1"/>
    <n v="546"/>
    <n v="4"/>
    <x v="0"/>
    <n v="30"/>
    <n v="3"/>
    <x v="3"/>
    <x v="5"/>
    <n v="4"/>
    <x v="1"/>
    <n v="16555"/>
    <n v="10310"/>
    <n v="2"/>
    <s v="Y"/>
    <x v="1"/>
    <n v="13"/>
    <n v="3"/>
    <n v="4"/>
    <n v="80"/>
    <n v="0"/>
    <n v="31"/>
    <n v="2"/>
    <n v="1"/>
    <x v="8"/>
    <n v="2"/>
    <n v="1"/>
    <n v="4"/>
  </r>
  <r>
    <n v="42"/>
    <x v="1"/>
    <n v="0"/>
    <s v="Travel_Frequently"/>
    <n v="532"/>
    <x v="1"/>
    <n v="29"/>
    <n v="2"/>
    <x v="0"/>
    <n v="1"/>
    <n v="547"/>
    <n v="1"/>
    <x v="0"/>
    <n v="92"/>
    <n v="3"/>
    <x v="0"/>
    <x v="1"/>
    <n v="3"/>
    <x v="2"/>
    <n v="4556"/>
    <n v="12932"/>
    <n v="2"/>
    <s v="Y"/>
    <x v="1"/>
    <n v="11"/>
    <n v="3"/>
    <n v="2"/>
    <n v="80"/>
    <n v="1"/>
    <n v="19"/>
    <n v="3"/>
    <n v="3"/>
    <x v="8"/>
    <n v="4"/>
    <n v="0"/>
    <n v="2"/>
  </r>
  <r>
    <n v="30"/>
    <x v="1"/>
    <n v="0"/>
    <s v="Travel_Rarely"/>
    <n v="317"/>
    <x v="1"/>
    <n v="2"/>
    <n v="3"/>
    <x v="0"/>
    <n v="1"/>
    <n v="548"/>
    <n v="3"/>
    <x v="0"/>
    <n v="43"/>
    <n v="1"/>
    <x v="0"/>
    <x v="3"/>
    <n v="4"/>
    <x v="0"/>
    <n v="6091"/>
    <n v="24793"/>
    <n v="2"/>
    <s v="Y"/>
    <x v="1"/>
    <n v="20"/>
    <n v="4"/>
    <n v="3"/>
    <n v="80"/>
    <n v="0"/>
    <n v="11"/>
    <n v="2"/>
    <n v="3"/>
    <x v="8"/>
    <n v="4"/>
    <n v="0"/>
    <n v="2"/>
  </r>
  <r>
    <n v="60"/>
    <x v="1"/>
    <n v="0"/>
    <s v="Travel_Rarely"/>
    <n v="422"/>
    <x v="1"/>
    <n v="7"/>
    <n v="3"/>
    <x v="0"/>
    <n v="1"/>
    <n v="549"/>
    <n v="1"/>
    <x v="0"/>
    <n v="41"/>
    <n v="3"/>
    <x v="4"/>
    <x v="5"/>
    <n v="1"/>
    <x v="1"/>
    <n v="19566"/>
    <n v="3854"/>
    <n v="5"/>
    <s v="Y"/>
    <x v="1"/>
    <n v="11"/>
    <n v="3"/>
    <n v="4"/>
    <n v="80"/>
    <n v="0"/>
    <n v="33"/>
    <n v="5"/>
    <n v="1"/>
    <x v="30"/>
    <n v="8"/>
    <n v="11"/>
    <n v="10"/>
  </r>
  <r>
    <n v="46"/>
    <x v="1"/>
    <n v="0"/>
    <s v="Travel_Rarely"/>
    <n v="1485"/>
    <x v="1"/>
    <n v="18"/>
    <n v="3"/>
    <x v="2"/>
    <n v="1"/>
    <n v="550"/>
    <n v="3"/>
    <x v="0"/>
    <n v="87"/>
    <n v="3"/>
    <x v="0"/>
    <x v="3"/>
    <n v="3"/>
    <x v="2"/>
    <n v="4810"/>
    <n v="26314"/>
    <n v="2"/>
    <s v="Y"/>
    <x v="1"/>
    <n v="14"/>
    <n v="3"/>
    <n v="3"/>
    <n v="80"/>
    <n v="1"/>
    <n v="19"/>
    <n v="5"/>
    <n v="2"/>
    <x v="1"/>
    <n v="7"/>
    <n v="0"/>
    <n v="8"/>
  </r>
  <r>
    <n v="42"/>
    <x v="1"/>
    <n v="0"/>
    <s v="Travel_Frequently"/>
    <n v="1368"/>
    <x v="1"/>
    <n v="28"/>
    <n v="4"/>
    <x v="4"/>
    <n v="1"/>
    <n v="551"/>
    <n v="4"/>
    <x v="0"/>
    <n v="88"/>
    <n v="2"/>
    <x v="0"/>
    <x v="4"/>
    <n v="4"/>
    <x v="1"/>
    <n v="4523"/>
    <n v="4386"/>
    <n v="0"/>
    <s v="Y"/>
    <x v="1"/>
    <n v="11"/>
    <n v="3"/>
    <n v="4"/>
    <n v="80"/>
    <n v="3"/>
    <n v="7"/>
    <n v="4"/>
    <n v="4"/>
    <x v="0"/>
    <n v="5"/>
    <n v="0"/>
    <n v="4"/>
  </r>
  <r>
    <n v="24"/>
    <x v="0"/>
    <n v="1"/>
    <s v="Travel_Rarely"/>
    <n v="1448"/>
    <x v="0"/>
    <n v="1"/>
    <n v="1"/>
    <x v="4"/>
    <n v="1"/>
    <n v="554"/>
    <n v="1"/>
    <x v="0"/>
    <n v="62"/>
    <n v="3"/>
    <x v="1"/>
    <x v="6"/>
    <n v="2"/>
    <x v="0"/>
    <n v="3202"/>
    <n v="21972"/>
    <n v="1"/>
    <s v="Y"/>
    <x v="0"/>
    <n v="16"/>
    <n v="3"/>
    <n v="2"/>
    <n v="80"/>
    <n v="0"/>
    <n v="6"/>
    <n v="4"/>
    <n v="3"/>
    <x v="8"/>
    <n v="3"/>
    <n v="1"/>
    <n v="4"/>
  </r>
  <r>
    <n v="34"/>
    <x v="0"/>
    <n v="1"/>
    <s v="Travel_Frequently"/>
    <n v="296"/>
    <x v="0"/>
    <n v="6"/>
    <n v="2"/>
    <x v="3"/>
    <n v="1"/>
    <n v="555"/>
    <n v="4"/>
    <x v="0"/>
    <n v="33"/>
    <n v="1"/>
    <x v="1"/>
    <x v="6"/>
    <n v="3"/>
    <x v="2"/>
    <n v="2351"/>
    <n v="12253"/>
    <n v="0"/>
    <s v="Y"/>
    <x v="1"/>
    <n v="16"/>
    <n v="3"/>
    <n v="4"/>
    <n v="80"/>
    <n v="1"/>
    <n v="3"/>
    <n v="3"/>
    <n v="2"/>
    <x v="4"/>
    <n v="2"/>
    <n v="1"/>
    <n v="0"/>
  </r>
  <r>
    <n v="38"/>
    <x v="1"/>
    <n v="0"/>
    <s v="Travel_Frequently"/>
    <n v="1490"/>
    <x v="1"/>
    <n v="2"/>
    <n v="2"/>
    <x v="0"/>
    <n v="1"/>
    <n v="556"/>
    <n v="4"/>
    <x v="1"/>
    <n v="42"/>
    <n v="3"/>
    <x v="1"/>
    <x v="2"/>
    <n v="4"/>
    <x v="1"/>
    <n v="1702"/>
    <n v="12106"/>
    <n v="1"/>
    <s v="Y"/>
    <x v="0"/>
    <n v="23"/>
    <n v="4"/>
    <n v="3"/>
    <n v="80"/>
    <n v="1"/>
    <n v="1"/>
    <n v="3"/>
    <n v="3"/>
    <x v="6"/>
    <n v="0"/>
    <n v="0"/>
    <n v="0"/>
  </r>
  <r>
    <n v="40"/>
    <x v="1"/>
    <n v="0"/>
    <s v="Travel_Rarely"/>
    <n v="1398"/>
    <x v="0"/>
    <n v="2"/>
    <n v="4"/>
    <x v="0"/>
    <n v="1"/>
    <n v="558"/>
    <n v="3"/>
    <x v="0"/>
    <n v="79"/>
    <n v="3"/>
    <x v="4"/>
    <x v="5"/>
    <n v="3"/>
    <x v="1"/>
    <n v="18041"/>
    <n v="13022"/>
    <n v="0"/>
    <s v="Y"/>
    <x v="1"/>
    <n v="14"/>
    <n v="3"/>
    <n v="4"/>
    <n v="80"/>
    <n v="0"/>
    <n v="21"/>
    <n v="2"/>
    <n v="3"/>
    <x v="23"/>
    <n v="15"/>
    <n v="1"/>
    <n v="12"/>
  </r>
  <r>
    <n v="26"/>
    <x v="1"/>
    <n v="0"/>
    <s v="Travel_Rarely"/>
    <n v="1349"/>
    <x v="1"/>
    <n v="23"/>
    <n v="3"/>
    <x v="0"/>
    <n v="1"/>
    <n v="560"/>
    <n v="1"/>
    <x v="0"/>
    <n v="90"/>
    <n v="3"/>
    <x v="1"/>
    <x v="1"/>
    <n v="4"/>
    <x v="2"/>
    <n v="2886"/>
    <n v="3032"/>
    <n v="1"/>
    <s v="Y"/>
    <x v="1"/>
    <n v="22"/>
    <n v="4"/>
    <n v="2"/>
    <n v="80"/>
    <n v="2"/>
    <n v="3"/>
    <n v="3"/>
    <n v="1"/>
    <x v="11"/>
    <n v="2"/>
    <n v="0"/>
    <n v="2"/>
  </r>
  <r>
    <n v="30"/>
    <x v="1"/>
    <n v="0"/>
    <s v="Non-Travel"/>
    <n v="1400"/>
    <x v="1"/>
    <n v="3"/>
    <n v="3"/>
    <x v="0"/>
    <n v="1"/>
    <n v="562"/>
    <n v="3"/>
    <x v="1"/>
    <n v="53"/>
    <n v="3"/>
    <x v="1"/>
    <x v="2"/>
    <n v="4"/>
    <x v="1"/>
    <n v="2097"/>
    <n v="16734"/>
    <n v="4"/>
    <s v="Y"/>
    <x v="1"/>
    <n v="15"/>
    <n v="3"/>
    <n v="3"/>
    <n v="80"/>
    <n v="1"/>
    <n v="9"/>
    <n v="3"/>
    <n v="1"/>
    <x v="8"/>
    <n v="3"/>
    <n v="1"/>
    <n v="4"/>
  </r>
  <r>
    <n v="29"/>
    <x v="1"/>
    <n v="0"/>
    <s v="Travel_Rarely"/>
    <n v="986"/>
    <x v="1"/>
    <n v="3"/>
    <n v="4"/>
    <x v="2"/>
    <n v="1"/>
    <n v="564"/>
    <n v="2"/>
    <x v="1"/>
    <n v="93"/>
    <n v="2"/>
    <x v="2"/>
    <x v="7"/>
    <n v="3"/>
    <x v="1"/>
    <n v="11935"/>
    <n v="21526"/>
    <n v="1"/>
    <s v="Y"/>
    <x v="1"/>
    <n v="18"/>
    <n v="3"/>
    <n v="3"/>
    <n v="80"/>
    <n v="0"/>
    <n v="10"/>
    <n v="2"/>
    <n v="3"/>
    <x v="1"/>
    <n v="2"/>
    <n v="0"/>
    <n v="7"/>
  </r>
  <r>
    <n v="29"/>
    <x v="0"/>
    <n v="1"/>
    <s v="Travel_Rarely"/>
    <n v="408"/>
    <x v="1"/>
    <n v="25"/>
    <n v="5"/>
    <x v="4"/>
    <n v="1"/>
    <n v="565"/>
    <n v="3"/>
    <x v="0"/>
    <n v="71"/>
    <n v="2"/>
    <x v="1"/>
    <x v="1"/>
    <n v="2"/>
    <x v="1"/>
    <n v="2546"/>
    <n v="18300"/>
    <n v="5"/>
    <s v="Y"/>
    <x v="1"/>
    <n v="16"/>
    <n v="3"/>
    <n v="2"/>
    <n v="80"/>
    <n v="0"/>
    <n v="6"/>
    <n v="2"/>
    <n v="4"/>
    <x v="4"/>
    <n v="2"/>
    <n v="1"/>
    <n v="1"/>
  </r>
  <r>
    <n v="19"/>
    <x v="0"/>
    <n v="1"/>
    <s v="Travel_Rarely"/>
    <n v="489"/>
    <x v="2"/>
    <n v="2"/>
    <n v="2"/>
    <x v="4"/>
    <n v="1"/>
    <n v="566"/>
    <n v="1"/>
    <x v="1"/>
    <n v="52"/>
    <n v="2"/>
    <x v="1"/>
    <x v="8"/>
    <n v="4"/>
    <x v="0"/>
    <n v="2564"/>
    <n v="18437"/>
    <n v="1"/>
    <s v="Y"/>
    <x v="1"/>
    <n v="12"/>
    <n v="3"/>
    <n v="3"/>
    <n v="80"/>
    <n v="0"/>
    <n v="1"/>
    <n v="3"/>
    <n v="4"/>
    <x v="6"/>
    <n v="0"/>
    <n v="0"/>
    <n v="0"/>
  </r>
  <r>
    <n v="30"/>
    <x v="1"/>
    <n v="0"/>
    <s v="Non-Travel"/>
    <n v="1398"/>
    <x v="0"/>
    <n v="22"/>
    <n v="4"/>
    <x v="1"/>
    <n v="1"/>
    <n v="567"/>
    <n v="3"/>
    <x v="0"/>
    <n v="69"/>
    <n v="3"/>
    <x v="2"/>
    <x v="0"/>
    <n v="1"/>
    <x v="1"/>
    <n v="8412"/>
    <n v="2890"/>
    <n v="0"/>
    <s v="Y"/>
    <x v="1"/>
    <n v="11"/>
    <n v="3"/>
    <n v="3"/>
    <n v="80"/>
    <n v="0"/>
    <n v="10"/>
    <n v="3"/>
    <n v="3"/>
    <x v="7"/>
    <n v="8"/>
    <n v="7"/>
    <n v="8"/>
  </r>
  <r>
    <n v="57"/>
    <x v="1"/>
    <n v="0"/>
    <s v="Travel_Rarely"/>
    <n v="210"/>
    <x v="0"/>
    <n v="29"/>
    <n v="3"/>
    <x v="3"/>
    <n v="1"/>
    <n v="568"/>
    <n v="1"/>
    <x v="1"/>
    <n v="56"/>
    <n v="2"/>
    <x v="3"/>
    <x v="5"/>
    <n v="4"/>
    <x v="2"/>
    <n v="14118"/>
    <n v="22102"/>
    <n v="3"/>
    <s v="Y"/>
    <x v="1"/>
    <n v="12"/>
    <n v="3"/>
    <n v="3"/>
    <n v="80"/>
    <n v="1"/>
    <n v="32"/>
    <n v="3"/>
    <n v="2"/>
    <x v="6"/>
    <n v="0"/>
    <n v="0"/>
    <n v="0"/>
  </r>
  <r>
    <n v="50"/>
    <x v="1"/>
    <n v="0"/>
    <s v="Travel_Rarely"/>
    <n v="1099"/>
    <x v="1"/>
    <n v="29"/>
    <n v="4"/>
    <x v="0"/>
    <n v="1"/>
    <n v="569"/>
    <n v="2"/>
    <x v="1"/>
    <n v="88"/>
    <n v="2"/>
    <x v="3"/>
    <x v="5"/>
    <n v="3"/>
    <x v="1"/>
    <n v="17046"/>
    <n v="9314"/>
    <n v="0"/>
    <s v="Y"/>
    <x v="1"/>
    <n v="15"/>
    <n v="3"/>
    <n v="2"/>
    <n v="80"/>
    <n v="1"/>
    <n v="28"/>
    <n v="2"/>
    <n v="3"/>
    <x v="16"/>
    <n v="10"/>
    <n v="15"/>
    <n v="7"/>
  </r>
  <r>
    <n v="30"/>
    <x v="1"/>
    <n v="0"/>
    <s v="Non-Travel"/>
    <n v="1116"/>
    <x v="1"/>
    <n v="2"/>
    <n v="3"/>
    <x v="2"/>
    <n v="1"/>
    <n v="571"/>
    <n v="3"/>
    <x v="0"/>
    <n v="49"/>
    <n v="3"/>
    <x v="1"/>
    <x v="2"/>
    <n v="4"/>
    <x v="0"/>
    <n v="2564"/>
    <n v="7181"/>
    <n v="0"/>
    <s v="Y"/>
    <x v="1"/>
    <n v="14"/>
    <n v="3"/>
    <n v="3"/>
    <n v="80"/>
    <n v="0"/>
    <n v="12"/>
    <n v="2"/>
    <n v="2"/>
    <x v="19"/>
    <n v="7"/>
    <n v="6"/>
    <n v="7"/>
  </r>
  <r>
    <n v="60"/>
    <x v="1"/>
    <n v="0"/>
    <s v="Travel_Frequently"/>
    <n v="1499"/>
    <x v="0"/>
    <n v="28"/>
    <n v="3"/>
    <x v="3"/>
    <n v="1"/>
    <n v="573"/>
    <n v="3"/>
    <x v="0"/>
    <n v="80"/>
    <n v="2"/>
    <x v="2"/>
    <x v="0"/>
    <n v="1"/>
    <x v="1"/>
    <n v="10266"/>
    <n v="2845"/>
    <n v="4"/>
    <s v="Y"/>
    <x v="1"/>
    <n v="19"/>
    <n v="3"/>
    <n v="4"/>
    <n v="80"/>
    <n v="0"/>
    <n v="22"/>
    <n v="5"/>
    <n v="4"/>
    <x v="29"/>
    <n v="13"/>
    <n v="13"/>
    <n v="11"/>
  </r>
  <r>
    <n v="47"/>
    <x v="1"/>
    <n v="0"/>
    <s v="Travel_Rarely"/>
    <n v="983"/>
    <x v="1"/>
    <n v="2"/>
    <n v="2"/>
    <x v="2"/>
    <n v="1"/>
    <n v="574"/>
    <n v="1"/>
    <x v="0"/>
    <n v="65"/>
    <n v="3"/>
    <x v="0"/>
    <x v="3"/>
    <n v="4"/>
    <x v="2"/>
    <n v="5070"/>
    <n v="7389"/>
    <n v="5"/>
    <s v="Y"/>
    <x v="1"/>
    <n v="13"/>
    <n v="3"/>
    <n v="3"/>
    <n v="80"/>
    <n v="3"/>
    <n v="20"/>
    <n v="2"/>
    <n v="3"/>
    <x v="8"/>
    <n v="0"/>
    <n v="0"/>
    <n v="4"/>
  </r>
  <r>
    <n v="46"/>
    <x v="1"/>
    <n v="0"/>
    <s v="Travel_Rarely"/>
    <n v="1009"/>
    <x v="1"/>
    <n v="2"/>
    <n v="3"/>
    <x v="0"/>
    <n v="1"/>
    <n v="575"/>
    <n v="1"/>
    <x v="1"/>
    <n v="51"/>
    <n v="3"/>
    <x v="3"/>
    <x v="7"/>
    <n v="3"/>
    <x v="1"/>
    <n v="17861"/>
    <n v="2288"/>
    <n v="6"/>
    <s v="Y"/>
    <x v="1"/>
    <n v="13"/>
    <n v="3"/>
    <n v="3"/>
    <n v="80"/>
    <n v="0"/>
    <n v="26"/>
    <n v="2"/>
    <n v="1"/>
    <x v="11"/>
    <n v="2"/>
    <n v="0"/>
    <n v="1"/>
  </r>
  <r>
    <n v="35"/>
    <x v="1"/>
    <n v="0"/>
    <s v="Travel_Rarely"/>
    <n v="144"/>
    <x v="1"/>
    <n v="22"/>
    <n v="3"/>
    <x v="0"/>
    <n v="1"/>
    <n v="577"/>
    <n v="4"/>
    <x v="1"/>
    <n v="46"/>
    <n v="1"/>
    <x v="1"/>
    <x v="2"/>
    <n v="3"/>
    <x v="0"/>
    <n v="4230"/>
    <n v="19225"/>
    <n v="0"/>
    <s v="Y"/>
    <x v="1"/>
    <n v="15"/>
    <n v="3"/>
    <n v="3"/>
    <n v="80"/>
    <n v="0"/>
    <n v="6"/>
    <n v="2"/>
    <n v="3"/>
    <x v="8"/>
    <n v="4"/>
    <n v="4"/>
    <n v="3"/>
  </r>
  <r>
    <n v="54"/>
    <x v="1"/>
    <n v="0"/>
    <s v="Travel_Rarely"/>
    <n v="548"/>
    <x v="1"/>
    <n v="8"/>
    <n v="4"/>
    <x v="0"/>
    <n v="1"/>
    <n v="578"/>
    <n v="3"/>
    <x v="0"/>
    <n v="42"/>
    <n v="3"/>
    <x v="0"/>
    <x v="2"/>
    <n v="3"/>
    <x v="0"/>
    <n v="3780"/>
    <n v="23428"/>
    <n v="7"/>
    <s v="Y"/>
    <x v="1"/>
    <n v="11"/>
    <n v="3"/>
    <n v="3"/>
    <n v="80"/>
    <n v="0"/>
    <n v="19"/>
    <n v="3"/>
    <n v="3"/>
    <x v="6"/>
    <n v="0"/>
    <n v="0"/>
    <n v="0"/>
  </r>
  <r>
    <n v="34"/>
    <x v="1"/>
    <n v="0"/>
    <s v="Travel_Rarely"/>
    <n v="1303"/>
    <x v="1"/>
    <n v="2"/>
    <n v="4"/>
    <x v="0"/>
    <n v="1"/>
    <n v="579"/>
    <n v="4"/>
    <x v="1"/>
    <n v="62"/>
    <n v="2"/>
    <x v="1"/>
    <x v="1"/>
    <n v="3"/>
    <x v="2"/>
    <n v="2768"/>
    <n v="8416"/>
    <n v="3"/>
    <s v="Y"/>
    <x v="1"/>
    <n v="12"/>
    <n v="3"/>
    <n v="3"/>
    <n v="80"/>
    <n v="1"/>
    <n v="14"/>
    <n v="3"/>
    <n v="3"/>
    <x v="5"/>
    <n v="3"/>
    <n v="5"/>
    <n v="7"/>
  </r>
  <r>
    <n v="46"/>
    <x v="1"/>
    <n v="0"/>
    <s v="Travel_Rarely"/>
    <n v="1125"/>
    <x v="0"/>
    <n v="10"/>
    <n v="3"/>
    <x v="3"/>
    <n v="1"/>
    <n v="580"/>
    <n v="3"/>
    <x v="0"/>
    <n v="94"/>
    <n v="2"/>
    <x v="2"/>
    <x v="0"/>
    <n v="4"/>
    <x v="1"/>
    <n v="9071"/>
    <n v="11563"/>
    <n v="2"/>
    <s v="Y"/>
    <x v="0"/>
    <n v="19"/>
    <n v="3"/>
    <n v="3"/>
    <n v="80"/>
    <n v="1"/>
    <n v="15"/>
    <n v="3"/>
    <n v="3"/>
    <x v="11"/>
    <n v="2"/>
    <n v="1"/>
    <n v="2"/>
  </r>
  <r>
    <n v="31"/>
    <x v="1"/>
    <n v="0"/>
    <s v="Travel_Rarely"/>
    <n v="1274"/>
    <x v="1"/>
    <n v="9"/>
    <n v="1"/>
    <x v="0"/>
    <n v="1"/>
    <n v="581"/>
    <n v="3"/>
    <x v="1"/>
    <n v="33"/>
    <n v="3"/>
    <x v="2"/>
    <x v="3"/>
    <n v="2"/>
    <x v="2"/>
    <n v="10648"/>
    <n v="14394"/>
    <n v="1"/>
    <s v="Y"/>
    <x v="1"/>
    <n v="25"/>
    <n v="4"/>
    <n v="4"/>
    <n v="80"/>
    <n v="1"/>
    <n v="13"/>
    <n v="6"/>
    <n v="4"/>
    <x v="20"/>
    <n v="8"/>
    <n v="0"/>
    <n v="8"/>
  </r>
  <r>
    <n v="33"/>
    <x v="0"/>
    <n v="1"/>
    <s v="Travel_Rarely"/>
    <n v="1277"/>
    <x v="1"/>
    <n v="15"/>
    <n v="1"/>
    <x v="2"/>
    <n v="1"/>
    <n v="582"/>
    <n v="2"/>
    <x v="1"/>
    <n v="56"/>
    <n v="3"/>
    <x v="2"/>
    <x v="5"/>
    <n v="3"/>
    <x v="1"/>
    <n v="13610"/>
    <n v="24619"/>
    <n v="7"/>
    <s v="Y"/>
    <x v="0"/>
    <n v="12"/>
    <n v="3"/>
    <n v="4"/>
    <n v="80"/>
    <n v="0"/>
    <n v="15"/>
    <n v="2"/>
    <n v="4"/>
    <x v="5"/>
    <n v="6"/>
    <n v="7"/>
    <n v="7"/>
  </r>
  <r>
    <n v="33"/>
    <x v="0"/>
    <n v="1"/>
    <s v="Travel_Rarely"/>
    <n v="587"/>
    <x v="1"/>
    <n v="10"/>
    <n v="1"/>
    <x v="2"/>
    <n v="1"/>
    <n v="584"/>
    <n v="1"/>
    <x v="1"/>
    <n v="38"/>
    <n v="1"/>
    <x v="1"/>
    <x v="2"/>
    <n v="4"/>
    <x v="2"/>
    <n v="3408"/>
    <n v="6705"/>
    <n v="7"/>
    <s v="Y"/>
    <x v="1"/>
    <n v="13"/>
    <n v="3"/>
    <n v="1"/>
    <n v="80"/>
    <n v="3"/>
    <n v="8"/>
    <n v="2"/>
    <n v="3"/>
    <x v="9"/>
    <n v="3"/>
    <n v="1"/>
    <n v="3"/>
  </r>
  <r>
    <n v="30"/>
    <x v="1"/>
    <n v="0"/>
    <s v="Travel_Rarely"/>
    <n v="413"/>
    <x v="0"/>
    <n v="7"/>
    <n v="1"/>
    <x v="3"/>
    <n v="1"/>
    <n v="585"/>
    <n v="4"/>
    <x v="1"/>
    <n v="57"/>
    <n v="3"/>
    <x v="1"/>
    <x v="6"/>
    <n v="2"/>
    <x v="0"/>
    <n v="2983"/>
    <n v="18398"/>
    <n v="0"/>
    <s v="Y"/>
    <x v="1"/>
    <n v="14"/>
    <n v="3"/>
    <n v="1"/>
    <n v="80"/>
    <n v="0"/>
    <n v="4"/>
    <n v="3"/>
    <n v="3"/>
    <x v="11"/>
    <n v="2"/>
    <n v="1"/>
    <n v="2"/>
  </r>
  <r>
    <n v="35"/>
    <x v="1"/>
    <n v="0"/>
    <s v="Travel_Rarely"/>
    <n v="1276"/>
    <x v="1"/>
    <n v="16"/>
    <n v="3"/>
    <x v="0"/>
    <n v="1"/>
    <n v="586"/>
    <n v="4"/>
    <x v="1"/>
    <n v="72"/>
    <n v="3"/>
    <x v="2"/>
    <x v="4"/>
    <n v="3"/>
    <x v="1"/>
    <n v="7632"/>
    <n v="14295"/>
    <n v="4"/>
    <s v="Y"/>
    <x v="0"/>
    <n v="12"/>
    <n v="3"/>
    <n v="3"/>
    <n v="80"/>
    <n v="0"/>
    <n v="10"/>
    <n v="2"/>
    <n v="3"/>
    <x v="3"/>
    <n v="7"/>
    <n v="0"/>
    <n v="0"/>
  </r>
  <r>
    <n v="31"/>
    <x v="0"/>
    <n v="1"/>
    <s v="Travel_Frequently"/>
    <n v="534"/>
    <x v="1"/>
    <n v="20"/>
    <n v="3"/>
    <x v="0"/>
    <n v="1"/>
    <n v="587"/>
    <n v="1"/>
    <x v="1"/>
    <n v="66"/>
    <n v="3"/>
    <x v="2"/>
    <x v="4"/>
    <n v="3"/>
    <x v="1"/>
    <n v="9824"/>
    <n v="22908"/>
    <n v="3"/>
    <s v="Y"/>
    <x v="1"/>
    <n v="12"/>
    <n v="3"/>
    <n v="1"/>
    <n v="80"/>
    <n v="0"/>
    <n v="12"/>
    <n v="2"/>
    <n v="3"/>
    <x v="6"/>
    <n v="0"/>
    <n v="0"/>
    <n v="0"/>
  </r>
  <r>
    <n v="34"/>
    <x v="0"/>
    <n v="1"/>
    <s v="Travel_Frequently"/>
    <n v="988"/>
    <x v="2"/>
    <n v="23"/>
    <n v="3"/>
    <x v="5"/>
    <n v="1"/>
    <n v="590"/>
    <n v="2"/>
    <x v="0"/>
    <n v="43"/>
    <n v="3"/>
    <x v="2"/>
    <x v="8"/>
    <n v="1"/>
    <x v="2"/>
    <n v="9950"/>
    <n v="11533"/>
    <n v="9"/>
    <s v="Y"/>
    <x v="0"/>
    <n v="15"/>
    <n v="3"/>
    <n v="3"/>
    <n v="80"/>
    <n v="3"/>
    <n v="11"/>
    <n v="2"/>
    <n v="3"/>
    <x v="11"/>
    <n v="2"/>
    <n v="0"/>
    <n v="2"/>
  </r>
  <r>
    <n v="42"/>
    <x v="1"/>
    <n v="0"/>
    <s v="Travel_Frequently"/>
    <n v="1474"/>
    <x v="1"/>
    <n v="5"/>
    <n v="2"/>
    <x v="1"/>
    <n v="1"/>
    <n v="591"/>
    <n v="2"/>
    <x v="1"/>
    <n v="97"/>
    <n v="3"/>
    <x v="1"/>
    <x v="2"/>
    <n v="3"/>
    <x v="1"/>
    <n v="2093"/>
    <n v="9260"/>
    <n v="4"/>
    <s v="Y"/>
    <x v="1"/>
    <n v="17"/>
    <n v="3"/>
    <n v="4"/>
    <n v="80"/>
    <n v="1"/>
    <n v="8"/>
    <n v="4"/>
    <n v="3"/>
    <x v="4"/>
    <n v="2"/>
    <n v="2"/>
    <n v="0"/>
  </r>
  <r>
    <n v="36"/>
    <x v="1"/>
    <n v="0"/>
    <s v="Non-Travel"/>
    <n v="635"/>
    <x v="0"/>
    <n v="10"/>
    <n v="4"/>
    <x v="2"/>
    <n v="1"/>
    <n v="592"/>
    <n v="2"/>
    <x v="1"/>
    <n v="32"/>
    <n v="3"/>
    <x v="2"/>
    <x v="0"/>
    <n v="4"/>
    <x v="0"/>
    <n v="9980"/>
    <n v="15318"/>
    <n v="1"/>
    <s v="Y"/>
    <x v="1"/>
    <n v="14"/>
    <n v="3"/>
    <n v="4"/>
    <n v="80"/>
    <n v="0"/>
    <n v="10"/>
    <n v="3"/>
    <n v="2"/>
    <x v="1"/>
    <n v="3"/>
    <n v="9"/>
    <n v="7"/>
  </r>
  <r>
    <n v="22"/>
    <x v="0"/>
    <n v="1"/>
    <s v="Travel_Frequently"/>
    <n v="1368"/>
    <x v="1"/>
    <n v="4"/>
    <n v="1"/>
    <x v="4"/>
    <n v="1"/>
    <n v="593"/>
    <n v="3"/>
    <x v="1"/>
    <n v="99"/>
    <n v="2"/>
    <x v="1"/>
    <x v="2"/>
    <n v="3"/>
    <x v="0"/>
    <n v="3894"/>
    <n v="9129"/>
    <n v="5"/>
    <s v="Y"/>
    <x v="1"/>
    <n v="16"/>
    <n v="3"/>
    <n v="3"/>
    <n v="80"/>
    <n v="0"/>
    <n v="4"/>
    <n v="3"/>
    <n v="3"/>
    <x v="4"/>
    <n v="2"/>
    <n v="1"/>
    <n v="2"/>
  </r>
  <r>
    <n v="48"/>
    <x v="1"/>
    <n v="0"/>
    <s v="Travel_Rarely"/>
    <n v="163"/>
    <x v="0"/>
    <n v="2"/>
    <n v="5"/>
    <x v="3"/>
    <n v="1"/>
    <n v="595"/>
    <n v="2"/>
    <x v="0"/>
    <n v="37"/>
    <n v="3"/>
    <x v="0"/>
    <x v="0"/>
    <n v="4"/>
    <x v="1"/>
    <n v="4051"/>
    <n v="19658"/>
    <n v="2"/>
    <s v="Y"/>
    <x v="1"/>
    <n v="14"/>
    <n v="3"/>
    <n v="1"/>
    <n v="80"/>
    <n v="1"/>
    <n v="14"/>
    <n v="2"/>
    <n v="3"/>
    <x v="7"/>
    <n v="7"/>
    <n v="6"/>
    <n v="7"/>
  </r>
  <r>
    <n v="55"/>
    <x v="1"/>
    <n v="0"/>
    <s v="Travel_Rarely"/>
    <n v="1117"/>
    <x v="0"/>
    <n v="18"/>
    <n v="5"/>
    <x v="0"/>
    <n v="1"/>
    <n v="597"/>
    <n v="1"/>
    <x v="0"/>
    <n v="83"/>
    <n v="3"/>
    <x v="3"/>
    <x v="5"/>
    <n v="2"/>
    <x v="0"/>
    <n v="16835"/>
    <n v="9873"/>
    <n v="3"/>
    <s v="Y"/>
    <x v="1"/>
    <n v="23"/>
    <n v="4"/>
    <n v="4"/>
    <n v="80"/>
    <n v="0"/>
    <n v="37"/>
    <n v="2"/>
    <n v="3"/>
    <x v="1"/>
    <n v="9"/>
    <n v="7"/>
    <n v="7"/>
  </r>
  <r>
    <n v="41"/>
    <x v="1"/>
    <n v="0"/>
    <s v="Non-Travel"/>
    <n v="267"/>
    <x v="0"/>
    <n v="10"/>
    <n v="2"/>
    <x v="0"/>
    <n v="1"/>
    <n v="599"/>
    <n v="4"/>
    <x v="1"/>
    <n v="56"/>
    <n v="3"/>
    <x v="0"/>
    <x v="0"/>
    <n v="4"/>
    <x v="0"/>
    <n v="6230"/>
    <n v="13430"/>
    <n v="7"/>
    <s v="Y"/>
    <x v="1"/>
    <n v="14"/>
    <n v="3"/>
    <n v="4"/>
    <n v="80"/>
    <n v="0"/>
    <n v="16"/>
    <n v="3"/>
    <n v="3"/>
    <x v="13"/>
    <n v="3"/>
    <n v="1"/>
    <n v="10"/>
  </r>
  <r>
    <n v="35"/>
    <x v="1"/>
    <n v="0"/>
    <s v="Travel_Rarely"/>
    <n v="619"/>
    <x v="0"/>
    <n v="1"/>
    <n v="3"/>
    <x v="3"/>
    <n v="1"/>
    <n v="600"/>
    <n v="2"/>
    <x v="1"/>
    <n v="85"/>
    <n v="3"/>
    <x v="0"/>
    <x v="0"/>
    <n v="3"/>
    <x v="1"/>
    <n v="4717"/>
    <n v="18659"/>
    <n v="9"/>
    <s v="Y"/>
    <x v="1"/>
    <n v="11"/>
    <n v="3"/>
    <n v="3"/>
    <n v="80"/>
    <n v="0"/>
    <n v="15"/>
    <n v="2"/>
    <n v="3"/>
    <x v="19"/>
    <n v="9"/>
    <n v="6"/>
    <n v="9"/>
  </r>
  <r>
    <n v="40"/>
    <x v="1"/>
    <n v="0"/>
    <s v="Travel_Rarely"/>
    <n v="302"/>
    <x v="1"/>
    <n v="6"/>
    <n v="3"/>
    <x v="0"/>
    <n v="1"/>
    <n v="601"/>
    <n v="2"/>
    <x v="0"/>
    <n v="75"/>
    <n v="3"/>
    <x v="3"/>
    <x v="3"/>
    <n v="3"/>
    <x v="0"/>
    <n v="13237"/>
    <n v="20364"/>
    <n v="7"/>
    <s v="Y"/>
    <x v="1"/>
    <n v="15"/>
    <n v="3"/>
    <n v="3"/>
    <n v="80"/>
    <n v="0"/>
    <n v="22"/>
    <n v="3"/>
    <n v="3"/>
    <x v="23"/>
    <n v="6"/>
    <n v="5"/>
    <n v="13"/>
  </r>
  <r>
    <n v="39"/>
    <x v="1"/>
    <n v="0"/>
    <s v="Travel_Frequently"/>
    <n v="443"/>
    <x v="1"/>
    <n v="8"/>
    <n v="1"/>
    <x v="0"/>
    <n v="1"/>
    <n v="602"/>
    <n v="3"/>
    <x v="0"/>
    <n v="48"/>
    <n v="3"/>
    <x v="1"/>
    <x v="2"/>
    <n v="3"/>
    <x v="1"/>
    <n v="3755"/>
    <n v="17872"/>
    <n v="1"/>
    <s v="Y"/>
    <x v="1"/>
    <n v="11"/>
    <n v="3"/>
    <n v="1"/>
    <n v="80"/>
    <n v="1"/>
    <n v="8"/>
    <n v="3"/>
    <n v="3"/>
    <x v="3"/>
    <n v="3"/>
    <n v="0"/>
    <n v="7"/>
  </r>
  <r>
    <n v="31"/>
    <x v="1"/>
    <n v="0"/>
    <s v="Travel_Rarely"/>
    <n v="828"/>
    <x v="0"/>
    <n v="2"/>
    <n v="1"/>
    <x v="0"/>
    <n v="1"/>
    <n v="604"/>
    <n v="2"/>
    <x v="1"/>
    <n v="77"/>
    <n v="3"/>
    <x v="0"/>
    <x v="0"/>
    <n v="4"/>
    <x v="0"/>
    <n v="6582"/>
    <n v="8346"/>
    <n v="4"/>
    <s v="Y"/>
    <x v="0"/>
    <n v="13"/>
    <n v="3"/>
    <n v="3"/>
    <n v="80"/>
    <n v="0"/>
    <n v="10"/>
    <n v="2"/>
    <n v="4"/>
    <x v="0"/>
    <n v="5"/>
    <n v="0"/>
    <n v="5"/>
  </r>
  <r>
    <n v="42"/>
    <x v="1"/>
    <n v="0"/>
    <s v="Travel_Rarely"/>
    <n v="319"/>
    <x v="1"/>
    <n v="24"/>
    <n v="3"/>
    <x v="2"/>
    <n v="1"/>
    <n v="605"/>
    <n v="4"/>
    <x v="1"/>
    <n v="56"/>
    <n v="3"/>
    <x v="2"/>
    <x v="3"/>
    <n v="1"/>
    <x v="1"/>
    <n v="7406"/>
    <n v="6950"/>
    <n v="1"/>
    <s v="Y"/>
    <x v="0"/>
    <n v="21"/>
    <n v="4"/>
    <n v="4"/>
    <n v="80"/>
    <n v="1"/>
    <n v="10"/>
    <n v="5"/>
    <n v="2"/>
    <x v="1"/>
    <n v="9"/>
    <n v="5"/>
    <n v="8"/>
  </r>
  <r>
    <n v="45"/>
    <x v="1"/>
    <n v="0"/>
    <s v="Travel_Rarely"/>
    <n v="561"/>
    <x v="0"/>
    <n v="2"/>
    <n v="3"/>
    <x v="1"/>
    <n v="1"/>
    <n v="606"/>
    <n v="4"/>
    <x v="1"/>
    <n v="61"/>
    <n v="3"/>
    <x v="0"/>
    <x v="0"/>
    <n v="2"/>
    <x v="1"/>
    <n v="4805"/>
    <n v="16177"/>
    <n v="0"/>
    <s v="Y"/>
    <x v="1"/>
    <n v="19"/>
    <n v="3"/>
    <n v="2"/>
    <n v="80"/>
    <n v="1"/>
    <n v="9"/>
    <n v="3"/>
    <n v="4"/>
    <x v="3"/>
    <n v="7"/>
    <n v="3"/>
    <n v="7"/>
  </r>
  <r>
    <n v="26"/>
    <x v="0"/>
    <n v="1"/>
    <s v="Travel_Frequently"/>
    <n v="426"/>
    <x v="2"/>
    <n v="17"/>
    <n v="4"/>
    <x v="0"/>
    <n v="1"/>
    <n v="608"/>
    <n v="2"/>
    <x v="0"/>
    <n v="58"/>
    <n v="3"/>
    <x v="1"/>
    <x v="8"/>
    <n v="3"/>
    <x v="2"/>
    <n v="2741"/>
    <n v="22808"/>
    <n v="0"/>
    <s v="Y"/>
    <x v="0"/>
    <n v="11"/>
    <n v="3"/>
    <n v="2"/>
    <n v="80"/>
    <n v="1"/>
    <n v="8"/>
    <n v="2"/>
    <n v="2"/>
    <x v="5"/>
    <n v="7"/>
    <n v="1"/>
    <n v="0"/>
  </r>
  <r>
    <n v="29"/>
    <x v="1"/>
    <n v="0"/>
    <s v="Travel_Rarely"/>
    <n v="232"/>
    <x v="1"/>
    <n v="19"/>
    <n v="3"/>
    <x v="4"/>
    <n v="1"/>
    <n v="611"/>
    <n v="4"/>
    <x v="1"/>
    <n v="34"/>
    <n v="3"/>
    <x v="0"/>
    <x v="3"/>
    <n v="4"/>
    <x v="2"/>
    <n v="4262"/>
    <n v="22645"/>
    <n v="4"/>
    <s v="Y"/>
    <x v="1"/>
    <n v="12"/>
    <n v="3"/>
    <n v="2"/>
    <n v="80"/>
    <n v="2"/>
    <n v="8"/>
    <n v="2"/>
    <n v="4"/>
    <x v="11"/>
    <n v="2"/>
    <n v="1"/>
    <n v="2"/>
  </r>
  <r>
    <n v="33"/>
    <x v="1"/>
    <n v="0"/>
    <s v="Travel_Rarely"/>
    <n v="922"/>
    <x v="1"/>
    <n v="1"/>
    <n v="5"/>
    <x v="2"/>
    <n v="1"/>
    <n v="612"/>
    <n v="1"/>
    <x v="0"/>
    <n v="95"/>
    <n v="4"/>
    <x v="3"/>
    <x v="7"/>
    <n v="3"/>
    <x v="2"/>
    <n v="16184"/>
    <n v="22578"/>
    <n v="4"/>
    <s v="Y"/>
    <x v="1"/>
    <n v="19"/>
    <n v="3"/>
    <n v="3"/>
    <n v="80"/>
    <n v="1"/>
    <n v="10"/>
    <n v="2"/>
    <n v="3"/>
    <x v="0"/>
    <n v="1"/>
    <n v="0"/>
    <n v="5"/>
  </r>
  <r>
    <n v="31"/>
    <x v="1"/>
    <n v="0"/>
    <s v="Travel_Rarely"/>
    <n v="688"/>
    <x v="0"/>
    <n v="7"/>
    <n v="3"/>
    <x v="0"/>
    <n v="1"/>
    <n v="613"/>
    <n v="3"/>
    <x v="1"/>
    <n v="44"/>
    <n v="2"/>
    <x v="2"/>
    <x v="5"/>
    <n v="4"/>
    <x v="2"/>
    <n v="11557"/>
    <n v="25291"/>
    <n v="9"/>
    <s v="Y"/>
    <x v="1"/>
    <n v="21"/>
    <n v="4"/>
    <n v="3"/>
    <n v="80"/>
    <n v="1"/>
    <n v="10"/>
    <n v="3"/>
    <n v="2"/>
    <x v="8"/>
    <n v="4"/>
    <n v="0"/>
    <n v="1"/>
  </r>
  <r>
    <n v="18"/>
    <x v="0"/>
    <n v="1"/>
    <s v="Travel_Frequently"/>
    <n v="1306"/>
    <x v="0"/>
    <n v="5"/>
    <n v="3"/>
    <x v="3"/>
    <n v="1"/>
    <n v="614"/>
    <n v="2"/>
    <x v="1"/>
    <n v="69"/>
    <n v="3"/>
    <x v="1"/>
    <x v="6"/>
    <n v="2"/>
    <x v="0"/>
    <n v="1878"/>
    <n v="8059"/>
    <n v="1"/>
    <s v="Y"/>
    <x v="0"/>
    <n v="14"/>
    <n v="3"/>
    <n v="4"/>
    <n v="80"/>
    <n v="0"/>
    <n v="0"/>
    <n v="3"/>
    <n v="3"/>
    <x v="2"/>
    <n v="0"/>
    <n v="0"/>
    <n v="0"/>
  </r>
  <r>
    <n v="40"/>
    <x v="1"/>
    <n v="0"/>
    <s v="Non-Travel"/>
    <n v="1094"/>
    <x v="0"/>
    <n v="28"/>
    <n v="3"/>
    <x v="1"/>
    <n v="1"/>
    <n v="615"/>
    <n v="3"/>
    <x v="1"/>
    <n v="58"/>
    <n v="1"/>
    <x v="2"/>
    <x v="0"/>
    <n v="1"/>
    <x v="2"/>
    <n v="10932"/>
    <n v="11373"/>
    <n v="3"/>
    <s v="Y"/>
    <x v="1"/>
    <n v="15"/>
    <n v="3"/>
    <n v="3"/>
    <n v="80"/>
    <n v="1"/>
    <n v="20"/>
    <n v="2"/>
    <n v="3"/>
    <x v="6"/>
    <n v="0"/>
    <n v="0"/>
    <n v="1"/>
  </r>
  <r>
    <n v="41"/>
    <x v="1"/>
    <n v="0"/>
    <s v="Non-Travel"/>
    <n v="509"/>
    <x v="1"/>
    <n v="2"/>
    <n v="4"/>
    <x v="1"/>
    <n v="1"/>
    <n v="616"/>
    <n v="1"/>
    <x v="0"/>
    <n v="62"/>
    <n v="2"/>
    <x v="0"/>
    <x v="4"/>
    <n v="3"/>
    <x v="0"/>
    <n v="6811"/>
    <n v="2112"/>
    <n v="2"/>
    <s v="Y"/>
    <x v="0"/>
    <n v="17"/>
    <n v="3"/>
    <n v="1"/>
    <n v="80"/>
    <n v="0"/>
    <n v="10"/>
    <n v="3"/>
    <n v="3"/>
    <x v="3"/>
    <n v="7"/>
    <n v="0"/>
    <n v="7"/>
  </r>
  <r>
    <n v="26"/>
    <x v="1"/>
    <n v="0"/>
    <s v="Travel_Rarely"/>
    <n v="775"/>
    <x v="0"/>
    <n v="29"/>
    <n v="2"/>
    <x v="2"/>
    <n v="1"/>
    <n v="618"/>
    <n v="1"/>
    <x v="1"/>
    <n v="45"/>
    <n v="3"/>
    <x v="0"/>
    <x v="0"/>
    <n v="3"/>
    <x v="2"/>
    <n v="4306"/>
    <n v="4267"/>
    <n v="5"/>
    <s v="Y"/>
    <x v="1"/>
    <n v="12"/>
    <n v="3"/>
    <n v="1"/>
    <n v="80"/>
    <n v="2"/>
    <n v="8"/>
    <n v="5"/>
    <n v="3"/>
    <x v="2"/>
    <n v="0"/>
    <n v="0"/>
    <n v="0"/>
  </r>
  <r>
    <n v="35"/>
    <x v="1"/>
    <n v="0"/>
    <s v="Travel_Rarely"/>
    <n v="195"/>
    <x v="0"/>
    <n v="1"/>
    <n v="3"/>
    <x v="2"/>
    <n v="1"/>
    <n v="620"/>
    <n v="1"/>
    <x v="0"/>
    <n v="80"/>
    <n v="3"/>
    <x v="0"/>
    <x v="0"/>
    <n v="3"/>
    <x v="0"/>
    <n v="4859"/>
    <n v="6698"/>
    <n v="1"/>
    <s v="Y"/>
    <x v="1"/>
    <n v="16"/>
    <n v="3"/>
    <n v="4"/>
    <n v="80"/>
    <n v="0"/>
    <n v="5"/>
    <n v="3"/>
    <n v="3"/>
    <x v="8"/>
    <n v="4"/>
    <n v="0"/>
    <n v="3"/>
  </r>
  <r>
    <n v="34"/>
    <x v="1"/>
    <n v="0"/>
    <s v="Travel_Rarely"/>
    <n v="258"/>
    <x v="0"/>
    <n v="21"/>
    <n v="4"/>
    <x v="0"/>
    <n v="1"/>
    <n v="621"/>
    <n v="4"/>
    <x v="1"/>
    <n v="74"/>
    <n v="4"/>
    <x v="0"/>
    <x v="0"/>
    <n v="4"/>
    <x v="0"/>
    <n v="5337"/>
    <n v="19921"/>
    <n v="1"/>
    <s v="Y"/>
    <x v="1"/>
    <n v="12"/>
    <n v="3"/>
    <n v="4"/>
    <n v="80"/>
    <n v="0"/>
    <n v="10"/>
    <n v="3"/>
    <n v="3"/>
    <x v="1"/>
    <n v="7"/>
    <n v="5"/>
    <n v="7"/>
  </r>
  <r>
    <n v="26"/>
    <x v="0"/>
    <n v="1"/>
    <s v="Travel_Rarely"/>
    <n v="471"/>
    <x v="1"/>
    <n v="24"/>
    <n v="3"/>
    <x v="4"/>
    <n v="1"/>
    <n v="622"/>
    <n v="3"/>
    <x v="1"/>
    <n v="66"/>
    <n v="1"/>
    <x v="1"/>
    <x v="2"/>
    <n v="4"/>
    <x v="0"/>
    <n v="2340"/>
    <n v="23213"/>
    <n v="1"/>
    <s v="Y"/>
    <x v="0"/>
    <n v="18"/>
    <n v="3"/>
    <n v="2"/>
    <n v="80"/>
    <n v="0"/>
    <n v="1"/>
    <n v="3"/>
    <n v="1"/>
    <x v="6"/>
    <n v="0"/>
    <n v="0"/>
    <n v="0"/>
  </r>
  <r>
    <n v="37"/>
    <x v="1"/>
    <n v="0"/>
    <s v="Travel_Rarely"/>
    <n v="799"/>
    <x v="1"/>
    <n v="1"/>
    <n v="3"/>
    <x v="4"/>
    <n v="1"/>
    <n v="623"/>
    <n v="2"/>
    <x v="0"/>
    <n v="59"/>
    <n v="3"/>
    <x v="2"/>
    <x v="3"/>
    <n v="4"/>
    <x v="0"/>
    <n v="7491"/>
    <n v="23848"/>
    <n v="4"/>
    <s v="Y"/>
    <x v="1"/>
    <n v="17"/>
    <n v="3"/>
    <n v="4"/>
    <n v="80"/>
    <n v="0"/>
    <n v="12"/>
    <n v="3"/>
    <n v="4"/>
    <x v="0"/>
    <n v="5"/>
    <n v="1"/>
    <n v="2"/>
  </r>
  <r>
    <n v="46"/>
    <x v="1"/>
    <n v="0"/>
    <s v="Travel_Frequently"/>
    <n v="1034"/>
    <x v="1"/>
    <n v="18"/>
    <n v="1"/>
    <x v="2"/>
    <n v="1"/>
    <n v="624"/>
    <n v="1"/>
    <x v="0"/>
    <n v="86"/>
    <n v="3"/>
    <x v="2"/>
    <x v="4"/>
    <n v="3"/>
    <x v="1"/>
    <n v="10527"/>
    <n v="8984"/>
    <n v="5"/>
    <s v="Y"/>
    <x v="1"/>
    <n v="11"/>
    <n v="3"/>
    <n v="4"/>
    <n v="80"/>
    <n v="0"/>
    <n v="28"/>
    <n v="3"/>
    <n v="2"/>
    <x v="4"/>
    <n v="2"/>
    <n v="1"/>
    <n v="2"/>
  </r>
  <r>
    <n v="41"/>
    <x v="1"/>
    <n v="0"/>
    <s v="Travel_Rarely"/>
    <n v="1276"/>
    <x v="0"/>
    <n v="2"/>
    <n v="5"/>
    <x v="0"/>
    <n v="1"/>
    <n v="625"/>
    <n v="2"/>
    <x v="0"/>
    <n v="91"/>
    <n v="3"/>
    <x v="3"/>
    <x v="5"/>
    <n v="1"/>
    <x v="1"/>
    <n v="16595"/>
    <n v="5626"/>
    <n v="7"/>
    <s v="Y"/>
    <x v="1"/>
    <n v="16"/>
    <n v="3"/>
    <n v="2"/>
    <n v="80"/>
    <n v="1"/>
    <n v="22"/>
    <n v="2"/>
    <n v="3"/>
    <x v="29"/>
    <n v="16"/>
    <n v="11"/>
    <n v="8"/>
  </r>
  <r>
    <n v="37"/>
    <x v="1"/>
    <n v="0"/>
    <s v="Non-Travel"/>
    <n v="142"/>
    <x v="0"/>
    <n v="9"/>
    <n v="4"/>
    <x v="2"/>
    <n v="1"/>
    <n v="626"/>
    <n v="1"/>
    <x v="1"/>
    <n v="69"/>
    <n v="3"/>
    <x v="2"/>
    <x v="0"/>
    <n v="2"/>
    <x v="2"/>
    <n v="8834"/>
    <n v="24666"/>
    <n v="1"/>
    <s v="Y"/>
    <x v="1"/>
    <n v="13"/>
    <n v="3"/>
    <n v="4"/>
    <n v="80"/>
    <n v="1"/>
    <n v="9"/>
    <n v="6"/>
    <n v="3"/>
    <x v="7"/>
    <n v="5"/>
    <n v="7"/>
    <n v="7"/>
  </r>
  <r>
    <n v="52"/>
    <x v="1"/>
    <n v="0"/>
    <s v="Travel_Rarely"/>
    <n v="956"/>
    <x v="1"/>
    <n v="6"/>
    <n v="2"/>
    <x v="4"/>
    <n v="1"/>
    <n v="630"/>
    <n v="4"/>
    <x v="1"/>
    <n v="78"/>
    <n v="3"/>
    <x v="0"/>
    <x v="1"/>
    <n v="1"/>
    <x v="2"/>
    <n v="5577"/>
    <n v="22087"/>
    <n v="3"/>
    <s v="Y"/>
    <x v="0"/>
    <n v="12"/>
    <n v="3"/>
    <n v="2"/>
    <n v="80"/>
    <n v="2"/>
    <n v="18"/>
    <n v="3"/>
    <n v="3"/>
    <x v="1"/>
    <n v="9"/>
    <n v="6"/>
    <n v="9"/>
  </r>
  <r>
    <n v="32"/>
    <x v="0"/>
    <n v="1"/>
    <s v="Non-Travel"/>
    <n v="1474"/>
    <x v="0"/>
    <n v="11"/>
    <n v="4"/>
    <x v="1"/>
    <n v="1"/>
    <n v="631"/>
    <n v="4"/>
    <x v="1"/>
    <n v="60"/>
    <n v="4"/>
    <x v="0"/>
    <x v="0"/>
    <n v="3"/>
    <x v="1"/>
    <n v="4707"/>
    <n v="23914"/>
    <n v="8"/>
    <s v="Y"/>
    <x v="1"/>
    <n v="12"/>
    <n v="3"/>
    <n v="4"/>
    <n v="80"/>
    <n v="0"/>
    <n v="6"/>
    <n v="2"/>
    <n v="3"/>
    <x v="9"/>
    <n v="2"/>
    <n v="1"/>
    <n v="2"/>
  </r>
  <r>
    <n v="24"/>
    <x v="1"/>
    <n v="0"/>
    <s v="Travel_Frequently"/>
    <n v="535"/>
    <x v="0"/>
    <n v="24"/>
    <n v="3"/>
    <x v="2"/>
    <n v="1"/>
    <n v="632"/>
    <n v="4"/>
    <x v="1"/>
    <n v="38"/>
    <n v="3"/>
    <x v="1"/>
    <x v="6"/>
    <n v="4"/>
    <x v="1"/>
    <n v="2400"/>
    <n v="5530"/>
    <n v="0"/>
    <s v="Y"/>
    <x v="1"/>
    <n v="13"/>
    <n v="3"/>
    <n v="3"/>
    <n v="80"/>
    <n v="2"/>
    <n v="3"/>
    <n v="3"/>
    <n v="3"/>
    <x v="4"/>
    <n v="2"/>
    <n v="2"/>
    <n v="1"/>
  </r>
  <r>
    <n v="38"/>
    <x v="1"/>
    <n v="0"/>
    <s v="Travel_Rarely"/>
    <n v="1495"/>
    <x v="1"/>
    <n v="10"/>
    <n v="3"/>
    <x v="2"/>
    <n v="1"/>
    <n v="634"/>
    <n v="3"/>
    <x v="0"/>
    <n v="76"/>
    <n v="3"/>
    <x v="0"/>
    <x v="4"/>
    <n v="3"/>
    <x v="1"/>
    <n v="9824"/>
    <n v="22174"/>
    <n v="3"/>
    <s v="Y"/>
    <x v="1"/>
    <n v="19"/>
    <n v="3"/>
    <n v="3"/>
    <n v="80"/>
    <n v="1"/>
    <n v="18"/>
    <n v="4"/>
    <n v="3"/>
    <x v="6"/>
    <n v="0"/>
    <n v="0"/>
    <n v="0"/>
  </r>
  <r>
    <n v="37"/>
    <x v="1"/>
    <n v="0"/>
    <s v="Travel_Rarely"/>
    <n v="446"/>
    <x v="1"/>
    <n v="1"/>
    <n v="4"/>
    <x v="0"/>
    <n v="1"/>
    <n v="635"/>
    <n v="2"/>
    <x v="0"/>
    <n v="65"/>
    <n v="3"/>
    <x v="0"/>
    <x v="3"/>
    <n v="2"/>
    <x v="1"/>
    <n v="6447"/>
    <n v="15701"/>
    <n v="6"/>
    <s v="Y"/>
    <x v="1"/>
    <n v="12"/>
    <n v="3"/>
    <n v="2"/>
    <n v="80"/>
    <n v="1"/>
    <n v="8"/>
    <n v="2"/>
    <n v="2"/>
    <x v="0"/>
    <n v="5"/>
    <n v="4"/>
    <n v="3"/>
  </r>
  <r>
    <n v="49"/>
    <x v="1"/>
    <n v="0"/>
    <s v="Travel_Rarely"/>
    <n v="1245"/>
    <x v="1"/>
    <n v="18"/>
    <n v="4"/>
    <x v="0"/>
    <n v="1"/>
    <n v="638"/>
    <n v="4"/>
    <x v="1"/>
    <n v="58"/>
    <n v="2"/>
    <x v="4"/>
    <x v="7"/>
    <n v="3"/>
    <x v="2"/>
    <n v="19502"/>
    <n v="2125"/>
    <n v="1"/>
    <s v="Y"/>
    <x v="0"/>
    <n v="17"/>
    <n v="3"/>
    <n v="3"/>
    <n v="80"/>
    <n v="1"/>
    <n v="31"/>
    <n v="5"/>
    <n v="3"/>
    <x v="31"/>
    <n v="9"/>
    <n v="0"/>
    <n v="9"/>
  </r>
  <r>
    <n v="24"/>
    <x v="1"/>
    <n v="0"/>
    <s v="Travel_Rarely"/>
    <n v="691"/>
    <x v="1"/>
    <n v="23"/>
    <n v="3"/>
    <x v="2"/>
    <n v="1"/>
    <n v="639"/>
    <n v="2"/>
    <x v="1"/>
    <n v="89"/>
    <n v="4"/>
    <x v="1"/>
    <x v="1"/>
    <n v="4"/>
    <x v="1"/>
    <n v="2725"/>
    <n v="21630"/>
    <n v="1"/>
    <s v="Y"/>
    <x v="0"/>
    <n v="11"/>
    <n v="3"/>
    <n v="2"/>
    <n v="80"/>
    <n v="2"/>
    <n v="6"/>
    <n v="3"/>
    <n v="3"/>
    <x v="0"/>
    <n v="5"/>
    <n v="1"/>
    <n v="4"/>
  </r>
  <r>
    <n v="26"/>
    <x v="1"/>
    <n v="0"/>
    <s v="Travel_Rarely"/>
    <n v="703"/>
    <x v="0"/>
    <n v="28"/>
    <n v="2"/>
    <x v="3"/>
    <n v="1"/>
    <n v="641"/>
    <n v="1"/>
    <x v="1"/>
    <n v="66"/>
    <n v="3"/>
    <x v="0"/>
    <x v="0"/>
    <n v="2"/>
    <x v="1"/>
    <n v="6272"/>
    <n v="7428"/>
    <n v="1"/>
    <s v="Y"/>
    <x v="1"/>
    <n v="20"/>
    <n v="4"/>
    <n v="4"/>
    <n v="80"/>
    <n v="2"/>
    <n v="6"/>
    <n v="5"/>
    <n v="4"/>
    <x v="8"/>
    <n v="3"/>
    <n v="1"/>
    <n v="4"/>
  </r>
  <r>
    <n v="24"/>
    <x v="1"/>
    <n v="0"/>
    <s v="Travel_Rarely"/>
    <n v="823"/>
    <x v="1"/>
    <n v="17"/>
    <n v="2"/>
    <x v="1"/>
    <n v="1"/>
    <n v="643"/>
    <n v="4"/>
    <x v="1"/>
    <n v="94"/>
    <n v="2"/>
    <x v="1"/>
    <x v="2"/>
    <n v="2"/>
    <x v="1"/>
    <n v="2127"/>
    <n v="9100"/>
    <n v="1"/>
    <s v="Y"/>
    <x v="1"/>
    <n v="21"/>
    <n v="4"/>
    <n v="4"/>
    <n v="80"/>
    <n v="1"/>
    <n v="1"/>
    <n v="2"/>
    <n v="3"/>
    <x v="6"/>
    <n v="0"/>
    <n v="0"/>
    <n v="0"/>
  </r>
  <r>
    <n v="50"/>
    <x v="1"/>
    <n v="0"/>
    <s v="Travel_Frequently"/>
    <n v="1246"/>
    <x v="2"/>
    <n v="3"/>
    <n v="3"/>
    <x v="2"/>
    <n v="1"/>
    <n v="644"/>
    <n v="1"/>
    <x v="1"/>
    <n v="99"/>
    <n v="3"/>
    <x v="4"/>
    <x v="5"/>
    <n v="2"/>
    <x v="1"/>
    <n v="18200"/>
    <n v="7999"/>
    <n v="1"/>
    <s v="Y"/>
    <x v="1"/>
    <n v="11"/>
    <n v="3"/>
    <n v="3"/>
    <n v="80"/>
    <n v="1"/>
    <n v="32"/>
    <n v="2"/>
    <n v="3"/>
    <x v="32"/>
    <n v="5"/>
    <n v="10"/>
    <n v="7"/>
  </r>
  <r>
    <n v="25"/>
    <x v="1"/>
    <n v="0"/>
    <s v="Travel_Rarely"/>
    <n v="622"/>
    <x v="0"/>
    <n v="13"/>
    <n v="1"/>
    <x v="2"/>
    <n v="1"/>
    <n v="645"/>
    <n v="2"/>
    <x v="1"/>
    <n v="40"/>
    <n v="3"/>
    <x v="1"/>
    <x v="6"/>
    <n v="3"/>
    <x v="1"/>
    <n v="2096"/>
    <n v="26376"/>
    <n v="1"/>
    <s v="Y"/>
    <x v="1"/>
    <n v="11"/>
    <n v="3"/>
    <n v="3"/>
    <n v="80"/>
    <n v="0"/>
    <n v="7"/>
    <n v="1"/>
    <n v="3"/>
    <x v="5"/>
    <n v="4"/>
    <n v="0"/>
    <n v="6"/>
  </r>
  <r>
    <n v="24"/>
    <x v="0"/>
    <n v="1"/>
    <s v="Travel_Frequently"/>
    <n v="1287"/>
    <x v="1"/>
    <n v="7"/>
    <n v="3"/>
    <x v="0"/>
    <n v="1"/>
    <n v="647"/>
    <n v="1"/>
    <x v="0"/>
    <n v="55"/>
    <n v="3"/>
    <x v="1"/>
    <x v="2"/>
    <n v="3"/>
    <x v="1"/>
    <n v="2886"/>
    <n v="14168"/>
    <n v="1"/>
    <s v="Y"/>
    <x v="0"/>
    <n v="16"/>
    <n v="3"/>
    <n v="4"/>
    <n v="80"/>
    <n v="1"/>
    <n v="6"/>
    <n v="4"/>
    <n v="3"/>
    <x v="0"/>
    <n v="3"/>
    <n v="1"/>
    <n v="2"/>
  </r>
  <r>
    <n v="30"/>
    <x v="0"/>
    <n v="1"/>
    <s v="Travel_Frequently"/>
    <n v="448"/>
    <x v="0"/>
    <n v="12"/>
    <n v="4"/>
    <x v="0"/>
    <n v="1"/>
    <n v="648"/>
    <n v="2"/>
    <x v="1"/>
    <n v="74"/>
    <n v="2"/>
    <x v="1"/>
    <x v="6"/>
    <n v="1"/>
    <x v="1"/>
    <n v="2033"/>
    <n v="14470"/>
    <n v="1"/>
    <s v="Y"/>
    <x v="1"/>
    <n v="18"/>
    <n v="3"/>
    <n v="3"/>
    <n v="80"/>
    <n v="1"/>
    <n v="1"/>
    <n v="2"/>
    <n v="4"/>
    <x v="6"/>
    <n v="0"/>
    <n v="0"/>
    <n v="0"/>
  </r>
  <r>
    <n v="34"/>
    <x v="1"/>
    <n v="0"/>
    <s v="Travel_Rarely"/>
    <n v="254"/>
    <x v="1"/>
    <n v="1"/>
    <n v="2"/>
    <x v="0"/>
    <n v="1"/>
    <n v="649"/>
    <n v="2"/>
    <x v="1"/>
    <n v="83"/>
    <n v="2"/>
    <x v="1"/>
    <x v="1"/>
    <n v="4"/>
    <x v="1"/>
    <n v="3622"/>
    <n v="22794"/>
    <n v="1"/>
    <s v="Y"/>
    <x v="0"/>
    <n v="13"/>
    <n v="3"/>
    <n v="4"/>
    <n v="80"/>
    <n v="1"/>
    <n v="6"/>
    <n v="3"/>
    <n v="3"/>
    <x v="0"/>
    <n v="5"/>
    <n v="1"/>
    <n v="3"/>
  </r>
  <r>
    <n v="31"/>
    <x v="0"/>
    <n v="1"/>
    <s v="Travel_Rarely"/>
    <n v="1365"/>
    <x v="0"/>
    <n v="13"/>
    <n v="4"/>
    <x v="2"/>
    <n v="1"/>
    <n v="650"/>
    <n v="2"/>
    <x v="1"/>
    <n v="46"/>
    <n v="3"/>
    <x v="0"/>
    <x v="0"/>
    <n v="1"/>
    <x v="2"/>
    <n v="4233"/>
    <n v="11512"/>
    <n v="2"/>
    <s v="Y"/>
    <x v="1"/>
    <n v="17"/>
    <n v="3"/>
    <n v="3"/>
    <n v="80"/>
    <n v="0"/>
    <n v="9"/>
    <n v="2"/>
    <n v="1"/>
    <x v="11"/>
    <n v="1"/>
    <n v="1"/>
    <n v="2"/>
  </r>
  <r>
    <n v="35"/>
    <x v="1"/>
    <n v="0"/>
    <s v="Travel_Rarely"/>
    <n v="538"/>
    <x v="1"/>
    <n v="25"/>
    <n v="2"/>
    <x v="1"/>
    <n v="1"/>
    <n v="652"/>
    <n v="1"/>
    <x v="1"/>
    <n v="54"/>
    <n v="2"/>
    <x v="0"/>
    <x v="2"/>
    <n v="4"/>
    <x v="0"/>
    <n v="3681"/>
    <n v="14004"/>
    <n v="4"/>
    <s v="Y"/>
    <x v="1"/>
    <n v="14"/>
    <n v="3"/>
    <n v="4"/>
    <n v="80"/>
    <n v="0"/>
    <n v="9"/>
    <n v="3"/>
    <n v="3"/>
    <x v="11"/>
    <n v="2"/>
    <n v="0"/>
    <n v="2"/>
  </r>
  <r>
    <n v="31"/>
    <x v="1"/>
    <n v="0"/>
    <s v="Travel_Rarely"/>
    <n v="525"/>
    <x v="0"/>
    <n v="6"/>
    <n v="4"/>
    <x v="2"/>
    <n v="1"/>
    <n v="653"/>
    <n v="1"/>
    <x v="1"/>
    <n v="66"/>
    <n v="4"/>
    <x v="0"/>
    <x v="0"/>
    <n v="4"/>
    <x v="2"/>
    <n v="5460"/>
    <n v="6219"/>
    <n v="4"/>
    <s v="Y"/>
    <x v="1"/>
    <n v="22"/>
    <n v="4"/>
    <n v="4"/>
    <n v="80"/>
    <n v="2"/>
    <n v="13"/>
    <n v="4"/>
    <n v="4"/>
    <x v="5"/>
    <n v="7"/>
    <n v="5"/>
    <n v="7"/>
  </r>
  <r>
    <n v="27"/>
    <x v="1"/>
    <n v="0"/>
    <s v="Travel_Rarely"/>
    <n v="798"/>
    <x v="1"/>
    <n v="6"/>
    <n v="4"/>
    <x v="2"/>
    <n v="1"/>
    <n v="655"/>
    <n v="1"/>
    <x v="0"/>
    <n v="66"/>
    <n v="2"/>
    <x v="1"/>
    <x v="1"/>
    <n v="3"/>
    <x v="2"/>
    <n v="2187"/>
    <n v="5013"/>
    <n v="0"/>
    <s v="Y"/>
    <x v="1"/>
    <n v="12"/>
    <n v="3"/>
    <n v="3"/>
    <n v="80"/>
    <n v="2"/>
    <n v="6"/>
    <n v="5"/>
    <n v="2"/>
    <x v="8"/>
    <n v="3"/>
    <n v="0"/>
    <n v="3"/>
  </r>
  <r>
    <n v="37"/>
    <x v="1"/>
    <n v="0"/>
    <s v="Travel_Rarely"/>
    <n v="558"/>
    <x v="0"/>
    <n v="2"/>
    <n v="3"/>
    <x v="3"/>
    <n v="1"/>
    <n v="656"/>
    <n v="4"/>
    <x v="1"/>
    <n v="75"/>
    <n v="3"/>
    <x v="0"/>
    <x v="0"/>
    <n v="3"/>
    <x v="1"/>
    <n v="9602"/>
    <n v="3010"/>
    <n v="4"/>
    <s v="Y"/>
    <x v="0"/>
    <n v="11"/>
    <n v="3"/>
    <n v="3"/>
    <n v="80"/>
    <n v="1"/>
    <n v="17"/>
    <n v="3"/>
    <n v="2"/>
    <x v="11"/>
    <n v="0"/>
    <n v="1"/>
    <n v="0"/>
  </r>
  <r>
    <n v="20"/>
    <x v="1"/>
    <n v="0"/>
    <s v="Travel_Rarely"/>
    <n v="959"/>
    <x v="1"/>
    <n v="1"/>
    <n v="3"/>
    <x v="0"/>
    <n v="1"/>
    <n v="657"/>
    <n v="4"/>
    <x v="0"/>
    <n v="83"/>
    <n v="2"/>
    <x v="1"/>
    <x v="1"/>
    <n v="2"/>
    <x v="0"/>
    <n v="2836"/>
    <n v="11757"/>
    <n v="1"/>
    <s v="Y"/>
    <x v="1"/>
    <n v="13"/>
    <n v="3"/>
    <n v="4"/>
    <n v="80"/>
    <n v="0"/>
    <n v="1"/>
    <n v="0"/>
    <n v="4"/>
    <x v="6"/>
    <n v="0"/>
    <n v="0"/>
    <n v="0"/>
  </r>
  <r>
    <n v="42"/>
    <x v="1"/>
    <n v="0"/>
    <s v="Travel_Rarely"/>
    <n v="622"/>
    <x v="1"/>
    <n v="2"/>
    <n v="4"/>
    <x v="0"/>
    <n v="1"/>
    <n v="659"/>
    <n v="3"/>
    <x v="0"/>
    <n v="81"/>
    <n v="3"/>
    <x v="0"/>
    <x v="4"/>
    <n v="4"/>
    <x v="1"/>
    <n v="4089"/>
    <n v="5718"/>
    <n v="1"/>
    <s v="Y"/>
    <x v="1"/>
    <n v="13"/>
    <n v="3"/>
    <n v="2"/>
    <n v="80"/>
    <n v="2"/>
    <n v="10"/>
    <n v="4"/>
    <n v="3"/>
    <x v="1"/>
    <n v="2"/>
    <n v="2"/>
    <n v="2"/>
  </r>
  <r>
    <n v="43"/>
    <x v="1"/>
    <n v="0"/>
    <s v="Travel_Rarely"/>
    <n v="782"/>
    <x v="1"/>
    <n v="6"/>
    <n v="4"/>
    <x v="1"/>
    <n v="1"/>
    <n v="661"/>
    <n v="2"/>
    <x v="1"/>
    <n v="50"/>
    <n v="2"/>
    <x v="3"/>
    <x v="7"/>
    <n v="4"/>
    <x v="2"/>
    <n v="16627"/>
    <n v="2671"/>
    <n v="4"/>
    <s v="Y"/>
    <x v="0"/>
    <n v="14"/>
    <n v="3"/>
    <n v="3"/>
    <n v="80"/>
    <n v="1"/>
    <n v="21"/>
    <n v="3"/>
    <n v="2"/>
    <x v="6"/>
    <n v="0"/>
    <n v="0"/>
    <n v="0"/>
  </r>
  <r>
    <n v="38"/>
    <x v="1"/>
    <n v="0"/>
    <s v="Travel_Rarely"/>
    <n v="362"/>
    <x v="1"/>
    <n v="1"/>
    <n v="1"/>
    <x v="0"/>
    <n v="1"/>
    <n v="662"/>
    <n v="3"/>
    <x v="0"/>
    <n v="43"/>
    <n v="3"/>
    <x v="1"/>
    <x v="1"/>
    <n v="1"/>
    <x v="0"/>
    <n v="2619"/>
    <n v="14561"/>
    <n v="3"/>
    <s v="Y"/>
    <x v="1"/>
    <n v="17"/>
    <n v="3"/>
    <n v="4"/>
    <n v="80"/>
    <n v="0"/>
    <n v="8"/>
    <n v="3"/>
    <n v="2"/>
    <x v="2"/>
    <n v="0"/>
    <n v="0"/>
    <n v="0"/>
  </r>
  <r>
    <n v="43"/>
    <x v="1"/>
    <n v="0"/>
    <s v="Travel_Frequently"/>
    <n v="1001"/>
    <x v="1"/>
    <n v="9"/>
    <n v="5"/>
    <x v="2"/>
    <n v="1"/>
    <n v="663"/>
    <n v="4"/>
    <x v="1"/>
    <n v="72"/>
    <n v="3"/>
    <x v="0"/>
    <x v="2"/>
    <n v="3"/>
    <x v="2"/>
    <n v="5679"/>
    <n v="19627"/>
    <n v="3"/>
    <s v="Y"/>
    <x v="0"/>
    <n v="13"/>
    <n v="3"/>
    <n v="2"/>
    <n v="80"/>
    <n v="1"/>
    <n v="10"/>
    <n v="3"/>
    <n v="3"/>
    <x v="3"/>
    <n v="7"/>
    <n v="4"/>
    <n v="7"/>
  </r>
  <r>
    <n v="48"/>
    <x v="1"/>
    <n v="0"/>
    <s v="Travel_Rarely"/>
    <n v="1236"/>
    <x v="1"/>
    <n v="1"/>
    <n v="4"/>
    <x v="0"/>
    <n v="1"/>
    <n v="664"/>
    <n v="4"/>
    <x v="0"/>
    <n v="40"/>
    <n v="2"/>
    <x v="3"/>
    <x v="5"/>
    <n v="1"/>
    <x v="1"/>
    <n v="15402"/>
    <n v="17997"/>
    <n v="7"/>
    <s v="Y"/>
    <x v="1"/>
    <n v="11"/>
    <n v="3"/>
    <n v="1"/>
    <n v="80"/>
    <n v="1"/>
    <n v="21"/>
    <n v="3"/>
    <n v="1"/>
    <x v="11"/>
    <n v="2"/>
    <n v="0"/>
    <n v="2"/>
  </r>
  <r>
    <n v="44"/>
    <x v="1"/>
    <n v="0"/>
    <s v="Travel_Rarely"/>
    <n v="1112"/>
    <x v="2"/>
    <n v="1"/>
    <n v="4"/>
    <x v="0"/>
    <n v="1"/>
    <n v="665"/>
    <n v="1"/>
    <x v="0"/>
    <n v="50"/>
    <n v="2"/>
    <x v="0"/>
    <x v="8"/>
    <n v="3"/>
    <x v="0"/>
    <n v="5985"/>
    <n v="26894"/>
    <n v="4"/>
    <s v="Y"/>
    <x v="1"/>
    <n v="11"/>
    <n v="3"/>
    <n v="2"/>
    <n v="80"/>
    <n v="0"/>
    <n v="10"/>
    <n v="1"/>
    <n v="4"/>
    <x v="4"/>
    <n v="2"/>
    <n v="0"/>
    <n v="2"/>
  </r>
  <r>
    <n v="34"/>
    <x v="1"/>
    <n v="0"/>
    <s v="Travel_Rarely"/>
    <n v="204"/>
    <x v="0"/>
    <n v="14"/>
    <n v="3"/>
    <x v="4"/>
    <n v="1"/>
    <n v="666"/>
    <n v="3"/>
    <x v="0"/>
    <n v="31"/>
    <n v="3"/>
    <x v="1"/>
    <x v="6"/>
    <n v="3"/>
    <x v="2"/>
    <n v="2579"/>
    <n v="2912"/>
    <n v="1"/>
    <s v="Y"/>
    <x v="0"/>
    <n v="18"/>
    <n v="3"/>
    <n v="4"/>
    <n v="80"/>
    <n v="2"/>
    <n v="8"/>
    <n v="3"/>
    <n v="3"/>
    <x v="3"/>
    <n v="2"/>
    <n v="0"/>
    <n v="6"/>
  </r>
  <r>
    <n v="27"/>
    <x v="0"/>
    <n v="1"/>
    <s v="Travel_Rarely"/>
    <n v="1420"/>
    <x v="0"/>
    <n v="2"/>
    <n v="1"/>
    <x v="3"/>
    <n v="1"/>
    <n v="667"/>
    <n v="3"/>
    <x v="1"/>
    <n v="85"/>
    <n v="3"/>
    <x v="1"/>
    <x v="6"/>
    <n v="1"/>
    <x v="2"/>
    <n v="3041"/>
    <n v="16346"/>
    <n v="0"/>
    <s v="Y"/>
    <x v="1"/>
    <n v="11"/>
    <n v="3"/>
    <n v="2"/>
    <n v="80"/>
    <n v="1"/>
    <n v="5"/>
    <n v="3"/>
    <n v="3"/>
    <x v="9"/>
    <n v="3"/>
    <n v="0"/>
    <n v="2"/>
  </r>
  <r>
    <n v="21"/>
    <x v="1"/>
    <n v="0"/>
    <s v="Travel_Rarely"/>
    <n v="1343"/>
    <x v="0"/>
    <n v="22"/>
    <n v="1"/>
    <x v="4"/>
    <n v="1"/>
    <n v="669"/>
    <n v="3"/>
    <x v="1"/>
    <n v="49"/>
    <n v="3"/>
    <x v="1"/>
    <x v="6"/>
    <n v="3"/>
    <x v="0"/>
    <n v="3447"/>
    <n v="24444"/>
    <n v="1"/>
    <s v="Y"/>
    <x v="1"/>
    <n v="11"/>
    <n v="3"/>
    <n v="3"/>
    <n v="80"/>
    <n v="0"/>
    <n v="3"/>
    <n v="2"/>
    <n v="3"/>
    <x v="11"/>
    <n v="2"/>
    <n v="1"/>
    <n v="2"/>
  </r>
  <r>
    <n v="44"/>
    <x v="1"/>
    <n v="0"/>
    <s v="Travel_Rarely"/>
    <n v="1315"/>
    <x v="1"/>
    <n v="3"/>
    <n v="4"/>
    <x v="1"/>
    <n v="1"/>
    <n v="671"/>
    <n v="4"/>
    <x v="1"/>
    <n v="35"/>
    <n v="3"/>
    <x v="4"/>
    <x v="5"/>
    <n v="4"/>
    <x v="1"/>
    <n v="19513"/>
    <n v="9358"/>
    <n v="4"/>
    <s v="Y"/>
    <x v="0"/>
    <n v="12"/>
    <n v="3"/>
    <n v="1"/>
    <n v="80"/>
    <n v="1"/>
    <n v="26"/>
    <n v="2"/>
    <n v="4"/>
    <x v="4"/>
    <n v="2"/>
    <n v="0"/>
    <n v="1"/>
  </r>
  <r>
    <n v="22"/>
    <x v="1"/>
    <n v="0"/>
    <s v="Travel_Rarely"/>
    <n v="604"/>
    <x v="1"/>
    <n v="6"/>
    <n v="1"/>
    <x v="2"/>
    <n v="1"/>
    <n v="675"/>
    <n v="1"/>
    <x v="1"/>
    <n v="69"/>
    <n v="3"/>
    <x v="1"/>
    <x v="1"/>
    <n v="3"/>
    <x v="1"/>
    <n v="2773"/>
    <n v="12145"/>
    <n v="0"/>
    <s v="Y"/>
    <x v="1"/>
    <n v="20"/>
    <n v="4"/>
    <n v="4"/>
    <n v="80"/>
    <n v="0"/>
    <n v="3"/>
    <n v="3"/>
    <n v="3"/>
    <x v="4"/>
    <n v="2"/>
    <n v="2"/>
    <n v="2"/>
  </r>
  <r>
    <n v="33"/>
    <x v="1"/>
    <n v="0"/>
    <s v="Travel_Rarely"/>
    <n v="1216"/>
    <x v="0"/>
    <n v="8"/>
    <n v="4"/>
    <x v="3"/>
    <n v="1"/>
    <n v="677"/>
    <n v="3"/>
    <x v="1"/>
    <n v="39"/>
    <n v="3"/>
    <x v="0"/>
    <x v="0"/>
    <n v="3"/>
    <x v="2"/>
    <n v="7104"/>
    <n v="20431"/>
    <n v="0"/>
    <s v="Y"/>
    <x v="1"/>
    <n v="12"/>
    <n v="3"/>
    <n v="4"/>
    <n v="80"/>
    <n v="0"/>
    <n v="6"/>
    <n v="3"/>
    <n v="3"/>
    <x v="8"/>
    <n v="0"/>
    <n v="1"/>
    <n v="2"/>
  </r>
  <r>
    <n v="32"/>
    <x v="1"/>
    <n v="0"/>
    <s v="Travel_Rarely"/>
    <n v="646"/>
    <x v="1"/>
    <n v="9"/>
    <n v="4"/>
    <x v="0"/>
    <n v="1"/>
    <n v="679"/>
    <n v="1"/>
    <x v="0"/>
    <n v="92"/>
    <n v="3"/>
    <x v="0"/>
    <x v="1"/>
    <n v="4"/>
    <x v="1"/>
    <n v="6322"/>
    <n v="18089"/>
    <n v="1"/>
    <s v="Y"/>
    <x v="0"/>
    <n v="12"/>
    <n v="3"/>
    <n v="4"/>
    <n v="80"/>
    <n v="1"/>
    <n v="6"/>
    <n v="2"/>
    <n v="2"/>
    <x v="0"/>
    <n v="4"/>
    <n v="0"/>
    <n v="5"/>
  </r>
  <r>
    <n v="30"/>
    <x v="1"/>
    <n v="0"/>
    <s v="Travel_Frequently"/>
    <n v="160"/>
    <x v="1"/>
    <n v="3"/>
    <n v="3"/>
    <x v="2"/>
    <n v="1"/>
    <n v="680"/>
    <n v="3"/>
    <x v="0"/>
    <n v="71"/>
    <n v="3"/>
    <x v="1"/>
    <x v="1"/>
    <n v="3"/>
    <x v="2"/>
    <n v="2083"/>
    <n v="22653"/>
    <n v="1"/>
    <s v="Y"/>
    <x v="1"/>
    <n v="20"/>
    <n v="4"/>
    <n v="3"/>
    <n v="80"/>
    <n v="1"/>
    <n v="1"/>
    <n v="2"/>
    <n v="3"/>
    <x v="6"/>
    <n v="0"/>
    <n v="0"/>
    <n v="0"/>
  </r>
  <r>
    <n v="53"/>
    <x v="1"/>
    <n v="0"/>
    <s v="Travel_Rarely"/>
    <n v="238"/>
    <x v="0"/>
    <n v="1"/>
    <n v="1"/>
    <x v="2"/>
    <n v="1"/>
    <n v="682"/>
    <n v="4"/>
    <x v="0"/>
    <n v="34"/>
    <n v="3"/>
    <x v="0"/>
    <x v="0"/>
    <n v="1"/>
    <x v="0"/>
    <n v="8381"/>
    <n v="7507"/>
    <n v="7"/>
    <s v="Y"/>
    <x v="1"/>
    <n v="20"/>
    <n v="4"/>
    <n v="4"/>
    <n v="80"/>
    <n v="0"/>
    <n v="18"/>
    <n v="2"/>
    <n v="4"/>
    <x v="13"/>
    <n v="7"/>
    <n v="8"/>
    <n v="10"/>
  </r>
  <r>
    <n v="34"/>
    <x v="1"/>
    <n v="0"/>
    <s v="Travel_Rarely"/>
    <n v="1397"/>
    <x v="1"/>
    <n v="1"/>
    <n v="5"/>
    <x v="0"/>
    <n v="1"/>
    <n v="683"/>
    <n v="2"/>
    <x v="1"/>
    <n v="42"/>
    <n v="3"/>
    <x v="1"/>
    <x v="1"/>
    <n v="4"/>
    <x v="1"/>
    <n v="2691"/>
    <n v="7660"/>
    <n v="1"/>
    <s v="Y"/>
    <x v="1"/>
    <n v="12"/>
    <n v="3"/>
    <n v="4"/>
    <n v="80"/>
    <n v="1"/>
    <n v="10"/>
    <n v="4"/>
    <n v="2"/>
    <x v="1"/>
    <n v="9"/>
    <n v="8"/>
    <n v="8"/>
  </r>
  <r>
    <n v="45"/>
    <x v="0"/>
    <n v="1"/>
    <s v="Travel_Frequently"/>
    <n v="306"/>
    <x v="0"/>
    <n v="26"/>
    <n v="4"/>
    <x v="0"/>
    <n v="1"/>
    <n v="684"/>
    <n v="1"/>
    <x v="0"/>
    <n v="100"/>
    <n v="3"/>
    <x v="0"/>
    <x v="0"/>
    <n v="1"/>
    <x v="1"/>
    <n v="4286"/>
    <n v="5630"/>
    <n v="2"/>
    <s v="Y"/>
    <x v="1"/>
    <n v="14"/>
    <n v="3"/>
    <n v="4"/>
    <n v="80"/>
    <n v="2"/>
    <n v="5"/>
    <n v="4"/>
    <n v="3"/>
    <x v="6"/>
    <n v="1"/>
    <n v="0"/>
    <n v="0"/>
  </r>
  <r>
    <n v="26"/>
    <x v="1"/>
    <n v="0"/>
    <s v="Travel_Rarely"/>
    <n v="991"/>
    <x v="1"/>
    <n v="6"/>
    <n v="3"/>
    <x v="0"/>
    <n v="1"/>
    <n v="686"/>
    <n v="3"/>
    <x v="0"/>
    <n v="71"/>
    <n v="3"/>
    <x v="1"/>
    <x v="2"/>
    <n v="4"/>
    <x v="1"/>
    <n v="2659"/>
    <n v="17759"/>
    <n v="1"/>
    <s v="Y"/>
    <x v="0"/>
    <n v="13"/>
    <n v="3"/>
    <n v="3"/>
    <n v="80"/>
    <n v="1"/>
    <n v="3"/>
    <n v="2"/>
    <n v="3"/>
    <x v="11"/>
    <n v="2"/>
    <n v="0"/>
    <n v="2"/>
  </r>
  <r>
    <n v="37"/>
    <x v="1"/>
    <n v="0"/>
    <s v="Travel_Rarely"/>
    <n v="482"/>
    <x v="1"/>
    <n v="3"/>
    <n v="3"/>
    <x v="1"/>
    <n v="1"/>
    <n v="689"/>
    <n v="3"/>
    <x v="1"/>
    <n v="36"/>
    <n v="3"/>
    <x v="2"/>
    <x v="3"/>
    <n v="3"/>
    <x v="1"/>
    <n v="9434"/>
    <n v="9606"/>
    <n v="1"/>
    <s v="Y"/>
    <x v="1"/>
    <n v="15"/>
    <n v="3"/>
    <n v="3"/>
    <n v="80"/>
    <n v="1"/>
    <n v="10"/>
    <n v="2"/>
    <n v="3"/>
    <x v="1"/>
    <n v="7"/>
    <n v="7"/>
    <n v="8"/>
  </r>
  <r>
    <n v="29"/>
    <x v="1"/>
    <n v="0"/>
    <s v="Travel_Rarely"/>
    <n v="1176"/>
    <x v="0"/>
    <n v="3"/>
    <n v="2"/>
    <x v="2"/>
    <n v="1"/>
    <n v="690"/>
    <n v="2"/>
    <x v="0"/>
    <n v="62"/>
    <n v="3"/>
    <x v="0"/>
    <x v="0"/>
    <n v="3"/>
    <x v="1"/>
    <n v="5561"/>
    <n v="3487"/>
    <n v="1"/>
    <s v="Y"/>
    <x v="1"/>
    <n v="14"/>
    <n v="3"/>
    <n v="1"/>
    <n v="80"/>
    <n v="1"/>
    <n v="6"/>
    <n v="5"/>
    <n v="2"/>
    <x v="0"/>
    <n v="0"/>
    <n v="1"/>
    <n v="2"/>
  </r>
  <r>
    <n v="35"/>
    <x v="1"/>
    <n v="0"/>
    <s v="Travel_Rarely"/>
    <n v="1017"/>
    <x v="1"/>
    <n v="6"/>
    <n v="4"/>
    <x v="0"/>
    <n v="1"/>
    <n v="691"/>
    <n v="2"/>
    <x v="1"/>
    <n v="82"/>
    <n v="1"/>
    <x v="0"/>
    <x v="1"/>
    <n v="4"/>
    <x v="0"/>
    <n v="6646"/>
    <n v="19368"/>
    <n v="1"/>
    <s v="Y"/>
    <x v="1"/>
    <n v="13"/>
    <n v="3"/>
    <n v="2"/>
    <n v="80"/>
    <n v="0"/>
    <n v="17"/>
    <n v="3"/>
    <n v="3"/>
    <x v="18"/>
    <n v="11"/>
    <n v="11"/>
    <n v="8"/>
  </r>
  <r>
    <n v="33"/>
    <x v="1"/>
    <n v="0"/>
    <s v="Travel_Frequently"/>
    <n v="1296"/>
    <x v="1"/>
    <n v="6"/>
    <n v="3"/>
    <x v="0"/>
    <n v="1"/>
    <n v="692"/>
    <n v="3"/>
    <x v="1"/>
    <n v="30"/>
    <n v="3"/>
    <x v="0"/>
    <x v="4"/>
    <n v="4"/>
    <x v="2"/>
    <n v="7725"/>
    <n v="5335"/>
    <n v="3"/>
    <s v="Y"/>
    <x v="1"/>
    <n v="23"/>
    <n v="4"/>
    <n v="3"/>
    <n v="80"/>
    <n v="1"/>
    <n v="15"/>
    <n v="2"/>
    <n v="1"/>
    <x v="20"/>
    <n v="11"/>
    <n v="4"/>
    <n v="7"/>
  </r>
  <r>
    <n v="54"/>
    <x v="1"/>
    <n v="0"/>
    <s v="Travel_Rarely"/>
    <n v="397"/>
    <x v="2"/>
    <n v="19"/>
    <n v="4"/>
    <x v="2"/>
    <n v="1"/>
    <n v="698"/>
    <n v="3"/>
    <x v="1"/>
    <n v="88"/>
    <n v="3"/>
    <x v="2"/>
    <x v="8"/>
    <n v="2"/>
    <x v="1"/>
    <n v="10725"/>
    <n v="6729"/>
    <n v="2"/>
    <s v="Y"/>
    <x v="1"/>
    <n v="15"/>
    <n v="3"/>
    <n v="3"/>
    <n v="80"/>
    <n v="1"/>
    <n v="16"/>
    <n v="1"/>
    <n v="4"/>
    <x v="7"/>
    <n v="7"/>
    <n v="7"/>
    <n v="1"/>
  </r>
  <r>
    <n v="36"/>
    <x v="1"/>
    <n v="0"/>
    <s v="Travel_Rarely"/>
    <n v="913"/>
    <x v="1"/>
    <n v="9"/>
    <n v="2"/>
    <x v="2"/>
    <n v="1"/>
    <n v="699"/>
    <n v="2"/>
    <x v="1"/>
    <n v="48"/>
    <n v="2"/>
    <x v="0"/>
    <x v="3"/>
    <n v="2"/>
    <x v="2"/>
    <n v="8847"/>
    <n v="13934"/>
    <n v="2"/>
    <s v="Y"/>
    <x v="0"/>
    <n v="11"/>
    <n v="3"/>
    <n v="3"/>
    <n v="80"/>
    <n v="1"/>
    <n v="13"/>
    <n v="2"/>
    <n v="3"/>
    <x v="11"/>
    <n v="2"/>
    <n v="0"/>
    <n v="2"/>
  </r>
  <r>
    <n v="27"/>
    <x v="1"/>
    <n v="0"/>
    <s v="Travel_Rarely"/>
    <n v="1115"/>
    <x v="1"/>
    <n v="3"/>
    <n v="4"/>
    <x v="2"/>
    <n v="1"/>
    <n v="700"/>
    <n v="1"/>
    <x v="1"/>
    <n v="54"/>
    <n v="2"/>
    <x v="1"/>
    <x v="1"/>
    <n v="4"/>
    <x v="0"/>
    <n v="2045"/>
    <n v="15174"/>
    <n v="0"/>
    <s v="Y"/>
    <x v="1"/>
    <n v="13"/>
    <n v="3"/>
    <n v="4"/>
    <n v="80"/>
    <n v="0"/>
    <n v="5"/>
    <n v="0"/>
    <n v="3"/>
    <x v="9"/>
    <n v="2"/>
    <n v="1"/>
    <n v="1"/>
  </r>
  <r>
    <n v="20"/>
    <x v="0"/>
    <n v="1"/>
    <s v="Travel_Rarely"/>
    <n v="1362"/>
    <x v="1"/>
    <n v="10"/>
    <n v="1"/>
    <x v="2"/>
    <n v="1"/>
    <n v="701"/>
    <n v="4"/>
    <x v="1"/>
    <n v="32"/>
    <n v="3"/>
    <x v="1"/>
    <x v="1"/>
    <n v="3"/>
    <x v="0"/>
    <n v="1009"/>
    <n v="26999"/>
    <n v="1"/>
    <s v="Y"/>
    <x v="0"/>
    <n v="11"/>
    <n v="3"/>
    <n v="4"/>
    <n v="80"/>
    <n v="0"/>
    <n v="1"/>
    <n v="5"/>
    <n v="3"/>
    <x v="6"/>
    <n v="0"/>
    <n v="1"/>
    <n v="1"/>
  </r>
  <r>
    <n v="33"/>
    <x v="0"/>
    <n v="1"/>
    <s v="Travel_Frequently"/>
    <n v="1076"/>
    <x v="1"/>
    <n v="3"/>
    <n v="3"/>
    <x v="0"/>
    <n v="1"/>
    <n v="702"/>
    <n v="1"/>
    <x v="1"/>
    <n v="70"/>
    <n v="3"/>
    <x v="1"/>
    <x v="1"/>
    <n v="1"/>
    <x v="0"/>
    <n v="3348"/>
    <n v="3164"/>
    <n v="1"/>
    <s v="Y"/>
    <x v="0"/>
    <n v="11"/>
    <n v="3"/>
    <n v="1"/>
    <n v="80"/>
    <n v="0"/>
    <n v="10"/>
    <n v="3"/>
    <n v="3"/>
    <x v="1"/>
    <n v="8"/>
    <n v="9"/>
    <n v="7"/>
  </r>
  <r>
    <n v="35"/>
    <x v="1"/>
    <n v="0"/>
    <s v="Non-Travel"/>
    <n v="727"/>
    <x v="1"/>
    <n v="3"/>
    <n v="3"/>
    <x v="0"/>
    <n v="1"/>
    <n v="704"/>
    <n v="3"/>
    <x v="1"/>
    <n v="41"/>
    <n v="2"/>
    <x v="1"/>
    <x v="2"/>
    <n v="3"/>
    <x v="1"/>
    <n v="1281"/>
    <n v="16900"/>
    <n v="1"/>
    <s v="Y"/>
    <x v="1"/>
    <n v="18"/>
    <n v="3"/>
    <n v="3"/>
    <n v="80"/>
    <n v="2"/>
    <n v="1"/>
    <n v="3"/>
    <n v="3"/>
    <x v="6"/>
    <n v="0"/>
    <n v="0"/>
    <n v="0"/>
  </r>
  <r>
    <n v="23"/>
    <x v="1"/>
    <n v="0"/>
    <s v="Travel_Rarely"/>
    <n v="885"/>
    <x v="1"/>
    <n v="4"/>
    <n v="3"/>
    <x v="2"/>
    <n v="1"/>
    <n v="705"/>
    <n v="1"/>
    <x v="1"/>
    <n v="58"/>
    <n v="4"/>
    <x v="1"/>
    <x v="1"/>
    <n v="1"/>
    <x v="1"/>
    <n v="2819"/>
    <n v="8544"/>
    <n v="2"/>
    <s v="Y"/>
    <x v="1"/>
    <n v="16"/>
    <n v="3"/>
    <n v="1"/>
    <n v="80"/>
    <n v="1"/>
    <n v="5"/>
    <n v="3"/>
    <n v="4"/>
    <x v="11"/>
    <n v="2"/>
    <n v="0"/>
    <n v="2"/>
  </r>
  <r>
    <n v="25"/>
    <x v="1"/>
    <n v="0"/>
    <s v="Travel_Rarely"/>
    <n v="810"/>
    <x v="0"/>
    <n v="8"/>
    <n v="3"/>
    <x v="0"/>
    <n v="1"/>
    <n v="707"/>
    <n v="4"/>
    <x v="1"/>
    <n v="57"/>
    <n v="4"/>
    <x v="0"/>
    <x v="0"/>
    <n v="2"/>
    <x v="1"/>
    <n v="4851"/>
    <n v="15678"/>
    <n v="0"/>
    <s v="Y"/>
    <x v="1"/>
    <n v="22"/>
    <n v="4"/>
    <n v="3"/>
    <n v="80"/>
    <n v="1"/>
    <n v="4"/>
    <n v="4"/>
    <n v="3"/>
    <x v="11"/>
    <n v="2"/>
    <n v="1"/>
    <n v="2"/>
  </r>
  <r>
    <n v="38"/>
    <x v="1"/>
    <n v="0"/>
    <s v="Travel_Rarely"/>
    <n v="243"/>
    <x v="0"/>
    <n v="7"/>
    <n v="4"/>
    <x v="3"/>
    <n v="1"/>
    <n v="709"/>
    <n v="4"/>
    <x v="0"/>
    <n v="46"/>
    <n v="2"/>
    <x v="0"/>
    <x v="0"/>
    <n v="4"/>
    <x v="0"/>
    <n v="4028"/>
    <n v="7791"/>
    <n v="0"/>
    <s v="Y"/>
    <x v="1"/>
    <n v="20"/>
    <n v="4"/>
    <n v="1"/>
    <n v="80"/>
    <n v="0"/>
    <n v="8"/>
    <n v="2"/>
    <n v="3"/>
    <x v="5"/>
    <n v="7"/>
    <n v="0"/>
    <n v="5"/>
  </r>
  <r>
    <n v="29"/>
    <x v="1"/>
    <n v="0"/>
    <s v="Travel_Frequently"/>
    <n v="806"/>
    <x v="1"/>
    <n v="1"/>
    <n v="4"/>
    <x v="0"/>
    <n v="1"/>
    <n v="710"/>
    <n v="2"/>
    <x v="1"/>
    <n v="76"/>
    <n v="1"/>
    <x v="1"/>
    <x v="1"/>
    <n v="4"/>
    <x v="2"/>
    <n v="2720"/>
    <n v="18959"/>
    <n v="1"/>
    <s v="Y"/>
    <x v="1"/>
    <n v="18"/>
    <n v="3"/>
    <n v="4"/>
    <n v="80"/>
    <n v="1"/>
    <n v="10"/>
    <n v="5"/>
    <n v="3"/>
    <x v="1"/>
    <n v="7"/>
    <n v="2"/>
    <n v="8"/>
  </r>
  <r>
    <n v="48"/>
    <x v="1"/>
    <n v="0"/>
    <s v="Travel_Rarely"/>
    <n v="817"/>
    <x v="0"/>
    <n v="2"/>
    <n v="1"/>
    <x v="3"/>
    <n v="1"/>
    <n v="712"/>
    <n v="2"/>
    <x v="1"/>
    <n v="56"/>
    <n v="4"/>
    <x v="0"/>
    <x v="0"/>
    <n v="2"/>
    <x v="1"/>
    <n v="8120"/>
    <n v="18597"/>
    <n v="3"/>
    <s v="Y"/>
    <x v="1"/>
    <n v="12"/>
    <n v="3"/>
    <n v="4"/>
    <n v="80"/>
    <n v="0"/>
    <n v="12"/>
    <n v="3"/>
    <n v="3"/>
    <x v="4"/>
    <n v="2"/>
    <n v="2"/>
    <n v="2"/>
  </r>
  <r>
    <n v="27"/>
    <x v="1"/>
    <n v="0"/>
    <s v="Travel_Frequently"/>
    <n v="1410"/>
    <x v="0"/>
    <n v="3"/>
    <n v="1"/>
    <x v="2"/>
    <n v="1"/>
    <n v="714"/>
    <n v="4"/>
    <x v="0"/>
    <n v="71"/>
    <n v="4"/>
    <x v="0"/>
    <x v="0"/>
    <n v="4"/>
    <x v="2"/>
    <n v="4647"/>
    <n v="16673"/>
    <n v="1"/>
    <s v="Y"/>
    <x v="0"/>
    <n v="20"/>
    <n v="4"/>
    <n v="2"/>
    <n v="80"/>
    <n v="2"/>
    <n v="6"/>
    <n v="3"/>
    <n v="3"/>
    <x v="0"/>
    <n v="5"/>
    <n v="0"/>
    <n v="4"/>
  </r>
  <r>
    <n v="37"/>
    <x v="1"/>
    <n v="0"/>
    <s v="Travel_Rarely"/>
    <n v="1225"/>
    <x v="1"/>
    <n v="10"/>
    <n v="2"/>
    <x v="0"/>
    <n v="1"/>
    <n v="715"/>
    <n v="4"/>
    <x v="1"/>
    <n v="80"/>
    <n v="4"/>
    <x v="1"/>
    <x v="1"/>
    <n v="4"/>
    <x v="0"/>
    <n v="4680"/>
    <n v="15232"/>
    <n v="3"/>
    <s v="Y"/>
    <x v="1"/>
    <n v="17"/>
    <n v="3"/>
    <n v="1"/>
    <n v="80"/>
    <n v="0"/>
    <n v="4"/>
    <n v="2"/>
    <n v="3"/>
    <x v="6"/>
    <n v="0"/>
    <n v="0"/>
    <n v="0"/>
  </r>
  <r>
    <n v="50"/>
    <x v="1"/>
    <n v="0"/>
    <s v="Travel_Rarely"/>
    <n v="1207"/>
    <x v="1"/>
    <n v="28"/>
    <n v="1"/>
    <x v="2"/>
    <n v="1"/>
    <n v="716"/>
    <n v="4"/>
    <x v="1"/>
    <n v="74"/>
    <n v="4"/>
    <x v="1"/>
    <x v="2"/>
    <n v="3"/>
    <x v="1"/>
    <n v="3221"/>
    <n v="3297"/>
    <n v="1"/>
    <s v="Y"/>
    <x v="0"/>
    <n v="11"/>
    <n v="3"/>
    <n v="3"/>
    <n v="80"/>
    <n v="3"/>
    <n v="20"/>
    <n v="3"/>
    <n v="3"/>
    <x v="23"/>
    <n v="8"/>
    <n v="3"/>
    <n v="8"/>
  </r>
  <r>
    <n v="34"/>
    <x v="1"/>
    <n v="0"/>
    <s v="Travel_Rarely"/>
    <n v="1442"/>
    <x v="1"/>
    <n v="9"/>
    <n v="3"/>
    <x v="2"/>
    <n v="1"/>
    <n v="717"/>
    <n v="4"/>
    <x v="0"/>
    <n v="46"/>
    <n v="2"/>
    <x v="2"/>
    <x v="4"/>
    <n v="2"/>
    <x v="0"/>
    <n v="8621"/>
    <n v="17654"/>
    <n v="1"/>
    <s v="Y"/>
    <x v="1"/>
    <n v="14"/>
    <n v="3"/>
    <n v="2"/>
    <n v="80"/>
    <n v="0"/>
    <n v="9"/>
    <n v="3"/>
    <n v="4"/>
    <x v="3"/>
    <n v="7"/>
    <n v="7"/>
    <n v="7"/>
  </r>
  <r>
    <n v="24"/>
    <x v="0"/>
    <n v="1"/>
    <s v="Travel_Rarely"/>
    <n v="693"/>
    <x v="0"/>
    <n v="3"/>
    <n v="2"/>
    <x v="0"/>
    <n v="1"/>
    <n v="720"/>
    <n v="1"/>
    <x v="0"/>
    <n v="65"/>
    <n v="3"/>
    <x v="0"/>
    <x v="0"/>
    <n v="3"/>
    <x v="0"/>
    <n v="4577"/>
    <n v="24785"/>
    <n v="9"/>
    <s v="Y"/>
    <x v="1"/>
    <n v="14"/>
    <n v="3"/>
    <n v="1"/>
    <n v="80"/>
    <n v="0"/>
    <n v="4"/>
    <n v="3"/>
    <n v="3"/>
    <x v="4"/>
    <n v="2"/>
    <n v="2"/>
    <n v="0"/>
  </r>
  <r>
    <n v="39"/>
    <x v="1"/>
    <n v="0"/>
    <s v="Travel_Rarely"/>
    <n v="408"/>
    <x v="1"/>
    <n v="2"/>
    <n v="4"/>
    <x v="4"/>
    <n v="1"/>
    <n v="721"/>
    <n v="4"/>
    <x v="0"/>
    <n v="80"/>
    <n v="2"/>
    <x v="0"/>
    <x v="4"/>
    <n v="3"/>
    <x v="0"/>
    <n v="4553"/>
    <n v="20978"/>
    <n v="1"/>
    <s v="Y"/>
    <x v="1"/>
    <n v="11"/>
    <n v="3"/>
    <n v="1"/>
    <n v="80"/>
    <n v="0"/>
    <n v="20"/>
    <n v="4"/>
    <n v="3"/>
    <x v="23"/>
    <n v="7"/>
    <n v="11"/>
    <n v="10"/>
  </r>
  <r>
    <n v="32"/>
    <x v="1"/>
    <n v="0"/>
    <s v="Travel_Rarely"/>
    <n v="929"/>
    <x v="0"/>
    <n v="10"/>
    <n v="3"/>
    <x v="3"/>
    <n v="1"/>
    <n v="722"/>
    <n v="4"/>
    <x v="1"/>
    <n v="55"/>
    <n v="3"/>
    <x v="0"/>
    <x v="0"/>
    <n v="4"/>
    <x v="0"/>
    <n v="5396"/>
    <n v="21703"/>
    <n v="1"/>
    <s v="Y"/>
    <x v="1"/>
    <n v="12"/>
    <n v="3"/>
    <n v="4"/>
    <n v="80"/>
    <n v="0"/>
    <n v="10"/>
    <n v="2"/>
    <n v="2"/>
    <x v="1"/>
    <n v="7"/>
    <n v="0"/>
    <n v="8"/>
  </r>
  <r>
    <n v="50"/>
    <x v="0"/>
    <n v="1"/>
    <s v="Travel_Frequently"/>
    <n v="562"/>
    <x v="0"/>
    <n v="8"/>
    <n v="2"/>
    <x v="4"/>
    <n v="1"/>
    <n v="723"/>
    <n v="2"/>
    <x v="1"/>
    <n v="50"/>
    <n v="3"/>
    <x v="0"/>
    <x v="0"/>
    <n v="3"/>
    <x v="1"/>
    <n v="6796"/>
    <n v="23452"/>
    <n v="3"/>
    <s v="Y"/>
    <x v="0"/>
    <n v="14"/>
    <n v="3"/>
    <n v="1"/>
    <n v="80"/>
    <n v="1"/>
    <n v="18"/>
    <n v="4"/>
    <n v="3"/>
    <x v="9"/>
    <n v="3"/>
    <n v="1"/>
    <n v="3"/>
  </r>
  <r>
    <n v="38"/>
    <x v="1"/>
    <n v="0"/>
    <s v="Travel_Rarely"/>
    <n v="827"/>
    <x v="1"/>
    <n v="1"/>
    <n v="4"/>
    <x v="0"/>
    <n v="1"/>
    <n v="724"/>
    <n v="2"/>
    <x v="0"/>
    <n v="33"/>
    <n v="4"/>
    <x v="0"/>
    <x v="4"/>
    <n v="4"/>
    <x v="0"/>
    <n v="7625"/>
    <n v="19383"/>
    <n v="0"/>
    <s v="Y"/>
    <x v="1"/>
    <n v="13"/>
    <n v="3"/>
    <n v="3"/>
    <n v="80"/>
    <n v="0"/>
    <n v="10"/>
    <n v="4"/>
    <n v="2"/>
    <x v="7"/>
    <n v="7"/>
    <n v="1"/>
    <n v="8"/>
  </r>
  <r>
    <n v="27"/>
    <x v="1"/>
    <n v="0"/>
    <s v="Travel_Rarely"/>
    <n v="608"/>
    <x v="1"/>
    <n v="1"/>
    <n v="2"/>
    <x v="0"/>
    <n v="1"/>
    <n v="725"/>
    <n v="3"/>
    <x v="0"/>
    <n v="68"/>
    <n v="3"/>
    <x v="2"/>
    <x v="3"/>
    <n v="1"/>
    <x v="1"/>
    <n v="7412"/>
    <n v="6009"/>
    <n v="1"/>
    <s v="Y"/>
    <x v="1"/>
    <n v="11"/>
    <n v="3"/>
    <n v="4"/>
    <n v="80"/>
    <n v="0"/>
    <n v="9"/>
    <n v="3"/>
    <n v="3"/>
    <x v="7"/>
    <n v="7"/>
    <n v="0"/>
    <n v="7"/>
  </r>
  <r>
    <n v="32"/>
    <x v="1"/>
    <n v="0"/>
    <s v="Travel_Rarely"/>
    <n v="1018"/>
    <x v="1"/>
    <n v="3"/>
    <n v="2"/>
    <x v="0"/>
    <n v="1"/>
    <n v="727"/>
    <n v="3"/>
    <x v="0"/>
    <n v="39"/>
    <n v="3"/>
    <x v="2"/>
    <x v="7"/>
    <n v="4"/>
    <x v="0"/>
    <n v="11159"/>
    <n v="19373"/>
    <n v="3"/>
    <s v="Y"/>
    <x v="1"/>
    <n v="15"/>
    <n v="3"/>
    <n v="4"/>
    <n v="80"/>
    <n v="0"/>
    <n v="10"/>
    <n v="6"/>
    <n v="3"/>
    <x v="5"/>
    <n v="7"/>
    <n v="7"/>
    <n v="7"/>
  </r>
  <r>
    <n v="47"/>
    <x v="1"/>
    <n v="0"/>
    <s v="Travel_Rarely"/>
    <n v="703"/>
    <x v="0"/>
    <n v="14"/>
    <n v="4"/>
    <x v="3"/>
    <n v="1"/>
    <n v="728"/>
    <n v="4"/>
    <x v="1"/>
    <n v="42"/>
    <n v="3"/>
    <x v="0"/>
    <x v="0"/>
    <n v="1"/>
    <x v="0"/>
    <n v="4960"/>
    <n v="11825"/>
    <n v="2"/>
    <s v="Y"/>
    <x v="1"/>
    <n v="12"/>
    <n v="3"/>
    <n v="4"/>
    <n v="80"/>
    <n v="0"/>
    <n v="20"/>
    <n v="2"/>
    <n v="3"/>
    <x v="5"/>
    <n v="7"/>
    <n v="1"/>
    <n v="7"/>
  </r>
  <r>
    <n v="40"/>
    <x v="1"/>
    <n v="0"/>
    <s v="Travel_Frequently"/>
    <n v="580"/>
    <x v="0"/>
    <n v="5"/>
    <n v="4"/>
    <x v="0"/>
    <n v="1"/>
    <n v="729"/>
    <n v="4"/>
    <x v="1"/>
    <n v="48"/>
    <n v="2"/>
    <x v="2"/>
    <x v="0"/>
    <n v="1"/>
    <x v="1"/>
    <n v="10475"/>
    <n v="23772"/>
    <n v="5"/>
    <s v="Y"/>
    <x v="0"/>
    <n v="21"/>
    <n v="4"/>
    <n v="3"/>
    <n v="80"/>
    <n v="1"/>
    <n v="20"/>
    <n v="2"/>
    <n v="3"/>
    <x v="29"/>
    <n v="13"/>
    <n v="1"/>
    <n v="12"/>
  </r>
  <r>
    <n v="53"/>
    <x v="1"/>
    <n v="0"/>
    <s v="Travel_Rarely"/>
    <n v="970"/>
    <x v="1"/>
    <n v="7"/>
    <n v="3"/>
    <x v="0"/>
    <n v="1"/>
    <n v="730"/>
    <n v="3"/>
    <x v="1"/>
    <n v="59"/>
    <n v="4"/>
    <x v="3"/>
    <x v="7"/>
    <n v="3"/>
    <x v="1"/>
    <n v="14814"/>
    <n v="13514"/>
    <n v="3"/>
    <s v="Y"/>
    <x v="1"/>
    <n v="19"/>
    <n v="3"/>
    <n v="3"/>
    <n v="80"/>
    <n v="0"/>
    <n v="32"/>
    <n v="3"/>
    <n v="3"/>
    <x v="8"/>
    <n v="1"/>
    <n v="1"/>
    <n v="3"/>
  </r>
  <r>
    <n v="41"/>
    <x v="1"/>
    <n v="0"/>
    <s v="Travel_Rarely"/>
    <n v="427"/>
    <x v="2"/>
    <n v="10"/>
    <n v="4"/>
    <x v="5"/>
    <n v="1"/>
    <n v="731"/>
    <n v="2"/>
    <x v="1"/>
    <n v="73"/>
    <n v="2"/>
    <x v="4"/>
    <x v="5"/>
    <n v="4"/>
    <x v="2"/>
    <n v="19141"/>
    <n v="8861"/>
    <n v="3"/>
    <s v="Y"/>
    <x v="1"/>
    <n v="15"/>
    <n v="3"/>
    <n v="2"/>
    <n v="80"/>
    <n v="3"/>
    <n v="23"/>
    <n v="2"/>
    <n v="2"/>
    <x v="17"/>
    <n v="6"/>
    <n v="12"/>
    <n v="6"/>
  </r>
  <r>
    <n v="60"/>
    <x v="1"/>
    <n v="0"/>
    <s v="Travel_Rarely"/>
    <n v="1179"/>
    <x v="0"/>
    <n v="16"/>
    <n v="4"/>
    <x v="3"/>
    <n v="1"/>
    <n v="732"/>
    <n v="1"/>
    <x v="1"/>
    <n v="84"/>
    <n v="3"/>
    <x v="0"/>
    <x v="0"/>
    <n v="1"/>
    <x v="0"/>
    <n v="5405"/>
    <n v="11924"/>
    <n v="8"/>
    <s v="Y"/>
    <x v="1"/>
    <n v="14"/>
    <n v="3"/>
    <n v="4"/>
    <n v="80"/>
    <n v="0"/>
    <n v="10"/>
    <n v="1"/>
    <n v="3"/>
    <x v="4"/>
    <n v="2"/>
    <n v="2"/>
    <n v="2"/>
  </r>
  <r>
    <n v="27"/>
    <x v="1"/>
    <n v="0"/>
    <s v="Travel_Frequently"/>
    <n v="294"/>
    <x v="1"/>
    <n v="10"/>
    <n v="2"/>
    <x v="0"/>
    <n v="1"/>
    <n v="733"/>
    <n v="4"/>
    <x v="1"/>
    <n v="32"/>
    <n v="3"/>
    <x v="2"/>
    <x v="3"/>
    <n v="1"/>
    <x v="2"/>
    <n v="8793"/>
    <n v="4809"/>
    <n v="1"/>
    <s v="Y"/>
    <x v="1"/>
    <n v="21"/>
    <n v="4"/>
    <n v="3"/>
    <n v="80"/>
    <n v="2"/>
    <n v="9"/>
    <n v="4"/>
    <n v="2"/>
    <x v="7"/>
    <n v="7"/>
    <n v="1"/>
    <n v="7"/>
  </r>
  <r>
    <n v="41"/>
    <x v="1"/>
    <n v="0"/>
    <s v="Travel_Rarely"/>
    <n v="314"/>
    <x v="2"/>
    <n v="1"/>
    <n v="3"/>
    <x v="5"/>
    <n v="1"/>
    <n v="734"/>
    <n v="4"/>
    <x v="1"/>
    <n v="59"/>
    <n v="2"/>
    <x v="4"/>
    <x v="5"/>
    <n v="3"/>
    <x v="1"/>
    <n v="19189"/>
    <n v="19562"/>
    <n v="1"/>
    <s v="Y"/>
    <x v="1"/>
    <n v="12"/>
    <n v="3"/>
    <n v="2"/>
    <n v="80"/>
    <n v="1"/>
    <n v="22"/>
    <n v="3"/>
    <n v="3"/>
    <x v="14"/>
    <n v="7"/>
    <n v="2"/>
    <n v="10"/>
  </r>
  <r>
    <n v="50"/>
    <x v="1"/>
    <n v="0"/>
    <s v="Travel_Rarely"/>
    <n v="316"/>
    <x v="0"/>
    <n v="8"/>
    <n v="4"/>
    <x v="3"/>
    <n v="1"/>
    <n v="738"/>
    <n v="4"/>
    <x v="1"/>
    <n v="54"/>
    <n v="3"/>
    <x v="1"/>
    <x v="6"/>
    <n v="2"/>
    <x v="1"/>
    <n v="3875"/>
    <n v="9983"/>
    <n v="7"/>
    <s v="Y"/>
    <x v="1"/>
    <n v="15"/>
    <n v="3"/>
    <n v="4"/>
    <n v="80"/>
    <n v="1"/>
    <n v="4"/>
    <n v="2"/>
    <n v="3"/>
    <x v="4"/>
    <n v="2"/>
    <n v="2"/>
    <n v="2"/>
  </r>
  <r>
    <n v="28"/>
    <x v="0"/>
    <n v="1"/>
    <s v="Travel_Rarely"/>
    <n v="654"/>
    <x v="1"/>
    <n v="1"/>
    <n v="2"/>
    <x v="0"/>
    <n v="1"/>
    <n v="741"/>
    <n v="1"/>
    <x v="0"/>
    <n v="67"/>
    <n v="1"/>
    <x v="1"/>
    <x v="1"/>
    <n v="2"/>
    <x v="0"/>
    <n v="2216"/>
    <n v="3872"/>
    <n v="7"/>
    <s v="Y"/>
    <x v="0"/>
    <n v="13"/>
    <n v="3"/>
    <n v="4"/>
    <n v="80"/>
    <n v="0"/>
    <n v="10"/>
    <n v="4"/>
    <n v="3"/>
    <x v="5"/>
    <n v="7"/>
    <n v="3"/>
    <n v="7"/>
  </r>
  <r>
    <n v="36"/>
    <x v="1"/>
    <n v="0"/>
    <s v="Non-Travel"/>
    <n v="427"/>
    <x v="1"/>
    <n v="8"/>
    <n v="3"/>
    <x v="0"/>
    <n v="1"/>
    <n v="742"/>
    <n v="1"/>
    <x v="0"/>
    <n v="63"/>
    <n v="4"/>
    <x v="2"/>
    <x v="7"/>
    <n v="1"/>
    <x v="1"/>
    <n v="11713"/>
    <n v="20335"/>
    <n v="9"/>
    <s v="Y"/>
    <x v="1"/>
    <n v="14"/>
    <n v="3"/>
    <n v="1"/>
    <n v="80"/>
    <n v="1"/>
    <n v="10"/>
    <n v="2"/>
    <n v="3"/>
    <x v="3"/>
    <n v="7"/>
    <n v="0"/>
    <n v="5"/>
  </r>
  <r>
    <n v="38"/>
    <x v="1"/>
    <n v="0"/>
    <s v="Travel_Rarely"/>
    <n v="168"/>
    <x v="1"/>
    <n v="1"/>
    <n v="3"/>
    <x v="0"/>
    <n v="1"/>
    <n v="743"/>
    <n v="3"/>
    <x v="0"/>
    <n v="81"/>
    <n v="3"/>
    <x v="2"/>
    <x v="3"/>
    <n v="3"/>
    <x v="0"/>
    <n v="7861"/>
    <n v="15397"/>
    <n v="4"/>
    <s v="Y"/>
    <x v="0"/>
    <n v="14"/>
    <n v="3"/>
    <n v="4"/>
    <n v="80"/>
    <n v="0"/>
    <n v="10"/>
    <n v="4"/>
    <n v="4"/>
    <x v="6"/>
    <n v="0"/>
    <n v="0"/>
    <n v="0"/>
  </r>
  <r>
    <n v="44"/>
    <x v="1"/>
    <n v="0"/>
    <s v="Non-Travel"/>
    <n v="381"/>
    <x v="1"/>
    <n v="24"/>
    <n v="3"/>
    <x v="2"/>
    <n v="1"/>
    <n v="744"/>
    <n v="1"/>
    <x v="1"/>
    <n v="49"/>
    <n v="1"/>
    <x v="1"/>
    <x v="2"/>
    <n v="3"/>
    <x v="0"/>
    <n v="3708"/>
    <n v="2104"/>
    <n v="2"/>
    <s v="Y"/>
    <x v="1"/>
    <n v="14"/>
    <n v="3"/>
    <n v="3"/>
    <n v="80"/>
    <n v="0"/>
    <n v="9"/>
    <n v="5"/>
    <n v="3"/>
    <x v="8"/>
    <n v="2"/>
    <n v="1"/>
    <n v="4"/>
  </r>
  <r>
    <n v="47"/>
    <x v="1"/>
    <n v="0"/>
    <s v="Travel_Frequently"/>
    <n v="217"/>
    <x v="0"/>
    <n v="3"/>
    <n v="3"/>
    <x v="2"/>
    <n v="1"/>
    <n v="746"/>
    <n v="4"/>
    <x v="0"/>
    <n v="49"/>
    <n v="3"/>
    <x v="3"/>
    <x v="0"/>
    <n v="3"/>
    <x v="2"/>
    <n v="13770"/>
    <n v="10225"/>
    <n v="9"/>
    <s v="Y"/>
    <x v="0"/>
    <n v="12"/>
    <n v="3"/>
    <n v="4"/>
    <n v="80"/>
    <n v="2"/>
    <n v="28"/>
    <n v="2"/>
    <n v="2"/>
    <x v="14"/>
    <n v="2"/>
    <n v="11"/>
    <n v="13"/>
  </r>
  <r>
    <n v="30"/>
    <x v="1"/>
    <n v="0"/>
    <s v="Travel_Rarely"/>
    <n v="501"/>
    <x v="0"/>
    <n v="27"/>
    <n v="5"/>
    <x v="3"/>
    <n v="1"/>
    <n v="747"/>
    <n v="3"/>
    <x v="1"/>
    <n v="99"/>
    <n v="3"/>
    <x v="0"/>
    <x v="0"/>
    <n v="4"/>
    <x v="2"/>
    <n v="5304"/>
    <n v="25275"/>
    <n v="7"/>
    <s v="Y"/>
    <x v="1"/>
    <n v="23"/>
    <n v="4"/>
    <n v="4"/>
    <n v="80"/>
    <n v="1"/>
    <n v="10"/>
    <n v="2"/>
    <n v="2"/>
    <x v="3"/>
    <n v="7"/>
    <n v="7"/>
    <n v="7"/>
  </r>
  <r>
    <n v="29"/>
    <x v="1"/>
    <n v="0"/>
    <s v="Travel_Rarely"/>
    <n v="1396"/>
    <x v="0"/>
    <n v="10"/>
    <n v="3"/>
    <x v="0"/>
    <n v="1"/>
    <n v="749"/>
    <n v="3"/>
    <x v="1"/>
    <n v="99"/>
    <n v="3"/>
    <x v="1"/>
    <x v="6"/>
    <n v="3"/>
    <x v="0"/>
    <n v="2642"/>
    <n v="2755"/>
    <n v="1"/>
    <s v="Y"/>
    <x v="1"/>
    <n v="11"/>
    <n v="3"/>
    <n v="3"/>
    <n v="80"/>
    <n v="0"/>
    <n v="1"/>
    <n v="6"/>
    <n v="3"/>
    <x v="6"/>
    <n v="0"/>
    <n v="0"/>
    <n v="0"/>
  </r>
  <r>
    <n v="42"/>
    <x v="0"/>
    <n v="1"/>
    <s v="Travel_Frequently"/>
    <n v="933"/>
    <x v="1"/>
    <n v="19"/>
    <n v="3"/>
    <x v="2"/>
    <n v="1"/>
    <n v="752"/>
    <n v="3"/>
    <x v="1"/>
    <n v="57"/>
    <n v="4"/>
    <x v="1"/>
    <x v="1"/>
    <n v="3"/>
    <x v="2"/>
    <n v="2759"/>
    <n v="20366"/>
    <n v="6"/>
    <s v="Y"/>
    <x v="0"/>
    <n v="12"/>
    <n v="3"/>
    <n v="4"/>
    <n v="80"/>
    <n v="0"/>
    <n v="7"/>
    <n v="2"/>
    <n v="3"/>
    <x v="4"/>
    <n v="2"/>
    <n v="2"/>
    <n v="2"/>
  </r>
  <r>
    <n v="43"/>
    <x v="1"/>
    <n v="0"/>
    <s v="Travel_Frequently"/>
    <n v="775"/>
    <x v="0"/>
    <n v="15"/>
    <n v="3"/>
    <x v="0"/>
    <n v="1"/>
    <n v="754"/>
    <n v="4"/>
    <x v="1"/>
    <n v="47"/>
    <n v="2"/>
    <x v="0"/>
    <x v="0"/>
    <n v="4"/>
    <x v="1"/>
    <n v="6804"/>
    <n v="23683"/>
    <n v="3"/>
    <s v="Y"/>
    <x v="1"/>
    <n v="18"/>
    <n v="3"/>
    <n v="3"/>
    <n v="80"/>
    <n v="1"/>
    <n v="7"/>
    <n v="5"/>
    <n v="3"/>
    <x v="4"/>
    <n v="2"/>
    <n v="2"/>
    <n v="2"/>
  </r>
  <r>
    <n v="34"/>
    <x v="1"/>
    <n v="0"/>
    <s v="Travel_Rarely"/>
    <n v="970"/>
    <x v="1"/>
    <n v="8"/>
    <n v="2"/>
    <x v="2"/>
    <n v="1"/>
    <n v="757"/>
    <n v="2"/>
    <x v="0"/>
    <n v="96"/>
    <n v="3"/>
    <x v="0"/>
    <x v="4"/>
    <n v="3"/>
    <x v="0"/>
    <n v="6142"/>
    <n v="7360"/>
    <n v="3"/>
    <s v="Y"/>
    <x v="1"/>
    <n v="11"/>
    <n v="3"/>
    <n v="4"/>
    <n v="80"/>
    <n v="0"/>
    <n v="10"/>
    <n v="2"/>
    <n v="3"/>
    <x v="8"/>
    <n v="1"/>
    <n v="4"/>
    <n v="3"/>
  </r>
  <r>
    <n v="23"/>
    <x v="1"/>
    <n v="0"/>
    <s v="Travel_Rarely"/>
    <n v="650"/>
    <x v="1"/>
    <n v="9"/>
    <n v="1"/>
    <x v="2"/>
    <n v="1"/>
    <n v="758"/>
    <n v="2"/>
    <x v="1"/>
    <n v="37"/>
    <n v="3"/>
    <x v="1"/>
    <x v="2"/>
    <n v="1"/>
    <x v="1"/>
    <n v="2500"/>
    <n v="4344"/>
    <n v="1"/>
    <s v="Y"/>
    <x v="1"/>
    <n v="14"/>
    <n v="3"/>
    <n v="4"/>
    <n v="80"/>
    <n v="1"/>
    <n v="5"/>
    <n v="2"/>
    <n v="4"/>
    <x v="9"/>
    <n v="3"/>
    <n v="0"/>
    <n v="2"/>
  </r>
  <r>
    <n v="39"/>
    <x v="1"/>
    <n v="0"/>
    <s v="Travel_Rarely"/>
    <n v="141"/>
    <x v="2"/>
    <n v="3"/>
    <n v="3"/>
    <x v="5"/>
    <n v="1"/>
    <n v="760"/>
    <n v="3"/>
    <x v="0"/>
    <n v="44"/>
    <n v="4"/>
    <x v="0"/>
    <x v="8"/>
    <n v="2"/>
    <x v="1"/>
    <n v="6389"/>
    <n v="18767"/>
    <n v="9"/>
    <s v="Y"/>
    <x v="1"/>
    <n v="15"/>
    <n v="3"/>
    <n v="3"/>
    <n v="80"/>
    <n v="1"/>
    <n v="12"/>
    <n v="3"/>
    <n v="1"/>
    <x v="3"/>
    <n v="3"/>
    <n v="3"/>
    <n v="6"/>
  </r>
  <r>
    <n v="56"/>
    <x v="1"/>
    <n v="0"/>
    <s v="Travel_Rarely"/>
    <n v="832"/>
    <x v="1"/>
    <n v="9"/>
    <n v="3"/>
    <x v="2"/>
    <n v="1"/>
    <n v="762"/>
    <n v="3"/>
    <x v="1"/>
    <n v="81"/>
    <n v="3"/>
    <x v="3"/>
    <x v="4"/>
    <n v="4"/>
    <x v="1"/>
    <n v="11103"/>
    <n v="20420"/>
    <n v="7"/>
    <s v="Y"/>
    <x v="1"/>
    <n v="11"/>
    <n v="3"/>
    <n v="3"/>
    <n v="80"/>
    <n v="0"/>
    <n v="30"/>
    <n v="1"/>
    <n v="2"/>
    <x v="1"/>
    <n v="7"/>
    <n v="1"/>
    <n v="1"/>
  </r>
  <r>
    <n v="40"/>
    <x v="1"/>
    <n v="0"/>
    <s v="Travel_Rarely"/>
    <n v="804"/>
    <x v="1"/>
    <n v="2"/>
    <n v="1"/>
    <x v="2"/>
    <n v="1"/>
    <n v="763"/>
    <n v="4"/>
    <x v="0"/>
    <n v="86"/>
    <n v="2"/>
    <x v="1"/>
    <x v="1"/>
    <n v="4"/>
    <x v="0"/>
    <n v="2342"/>
    <n v="22929"/>
    <n v="0"/>
    <s v="Y"/>
    <x v="0"/>
    <n v="20"/>
    <n v="4"/>
    <n v="4"/>
    <n v="80"/>
    <n v="0"/>
    <n v="5"/>
    <n v="2"/>
    <n v="2"/>
    <x v="9"/>
    <n v="2"/>
    <n v="2"/>
    <n v="3"/>
  </r>
  <r>
    <n v="27"/>
    <x v="1"/>
    <n v="0"/>
    <s v="Travel_Rarely"/>
    <n v="975"/>
    <x v="1"/>
    <n v="7"/>
    <n v="3"/>
    <x v="2"/>
    <n v="1"/>
    <n v="764"/>
    <n v="4"/>
    <x v="0"/>
    <n v="55"/>
    <n v="2"/>
    <x v="0"/>
    <x v="4"/>
    <n v="1"/>
    <x v="0"/>
    <n v="6811"/>
    <n v="23398"/>
    <n v="8"/>
    <s v="Y"/>
    <x v="1"/>
    <n v="19"/>
    <n v="3"/>
    <n v="1"/>
    <n v="80"/>
    <n v="0"/>
    <n v="9"/>
    <n v="2"/>
    <n v="1"/>
    <x v="5"/>
    <n v="6"/>
    <n v="0"/>
    <n v="7"/>
  </r>
  <r>
    <n v="29"/>
    <x v="1"/>
    <n v="0"/>
    <s v="Travel_Rarely"/>
    <n v="1090"/>
    <x v="0"/>
    <n v="10"/>
    <n v="3"/>
    <x v="3"/>
    <n v="1"/>
    <n v="766"/>
    <n v="4"/>
    <x v="1"/>
    <n v="83"/>
    <n v="3"/>
    <x v="1"/>
    <x v="6"/>
    <n v="2"/>
    <x v="2"/>
    <n v="2297"/>
    <n v="17967"/>
    <n v="1"/>
    <s v="Y"/>
    <x v="1"/>
    <n v="14"/>
    <n v="3"/>
    <n v="4"/>
    <n v="80"/>
    <n v="2"/>
    <n v="2"/>
    <n v="2"/>
    <n v="3"/>
    <x v="4"/>
    <n v="2"/>
    <n v="2"/>
    <n v="2"/>
  </r>
  <r>
    <n v="53"/>
    <x v="1"/>
    <n v="0"/>
    <s v="Travel_Rarely"/>
    <n v="346"/>
    <x v="1"/>
    <n v="6"/>
    <n v="3"/>
    <x v="0"/>
    <n v="1"/>
    <n v="769"/>
    <n v="4"/>
    <x v="1"/>
    <n v="86"/>
    <n v="3"/>
    <x v="0"/>
    <x v="2"/>
    <n v="4"/>
    <x v="0"/>
    <n v="2450"/>
    <n v="10919"/>
    <n v="2"/>
    <s v="Y"/>
    <x v="1"/>
    <n v="17"/>
    <n v="3"/>
    <n v="4"/>
    <n v="80"/>
    <n v="0"/>
    <n v="19"/>
    <n v="4"/>
    <n v="3"/>
    <x v="4"/>
    <n v="2"/>
    <n v="2"/>
    <n v="2"/>
  </r>
  <r>
    <n v="35"/>
    <x v="1"/>
    <n v="0"/>
    <s v="Non-Travel"/>
    <n v="1225"/>
    <x v="1"/>
    <n v="2"/>
    <n v="4"/>
    <x v="0"/>
    <n v="1"/>
    <n v="771"/>
    <n v="4"/>
    <x v="0"/>
    <n v="61"/>
    <n v="3"/>
    <x v="0"/>
    <x v="4"/>
    <n v="1"/>
    <x v="2"/>
    <n v="5093"/>
    <n v="4761"/>
    <n v="2"/>
    <s v="Y"/>
    <x v="1"/>
    <n v="11"/>
    <n v="3"/>
    <n v="1"/>
    <n v="80"/>
    <n v="1"/>
    <n v="16"/>
    <n v="2"/>
    <n v="4"/>
    <x v="6"/>
    <n v="0"/>
    <n v="0"/>
    <n v="0"/>
  </r>
  <r>
    <n v="32"/>
    <x v="1"/>
    <n v="0"/>
    <s v="Travel_Frequently"/>
    <n v="430"/>
    <x v="1"/>
    <n v="24"/>
    <n v="4"/>
    <x v="0"/>
    <n v="1"/>
    <n v="772"/>
    <n v="1"/>
    <x v="1"/>
    <n v="80"/>
    <n v="3"/>
    <x v="0"/>
    <x v="2"/>
    <n v="4"/>
    <x v="1"/>
    <n v="5309"/>
    <n v="21146"/>
    <n v="1"/>
    <s v="Y"/>
    <x v="1"/>
    <n v="15"/>
    <n v="3"/>
    <n v="4"/>
    <n v="80"/>
    <n v="2"/>
    <n v="10"/>
    <n v="2"/>
    <n v="3"/>
    <x v="1"/>
    <n v="8"/>
    <n v="4"/>
    <n v="7"/>
  </r>
  <r>
    <n v="38"/>
    <x v="1"/>
    <n v="0"/>
    <s v="Travel_Rarely"/>
    <n v="268"/>
    <x v="1"/>
    <n v="2"/>
    <n v="5"/>
    <x v="2"/>
    <n v="1"/>
    <n v="773"/>
    <n v="4"/>
    <x v="1"/>
    <n v="92"/>
    <n v="3"/>
    <x v="1"/>
    <x v="1"/>
    <n v="3"/>
    <x v="1"/>
    <n v="3057"/>
    <n v="20471"/>
    <n v="6"/>
    <s v="Y"/>
    <x v="0"/>
    <n v="13"/>
    <n v="3"/>
    <n v="2"/>
    <n v="80"/>
    <n v="1"/>
    <n v="6"/>
    <n v="0"/>
    <n v="1"/>
    <x v="6"/>
    <n v="0"/>
    <n v="0"/>
    <n v="1"/>
  </r>
  <r>
    <n v="34"/>
    <x v="1"/>
    <n v="0"/>
    <s v="Travel_Rarely"/>
    <n v="167"/>
    <x v="1"/>
    <n v="8"/>
    <n v="5"/>
    <x v="0"/>
    <n v="1"/>
    <n v="775"/>
    <n v="2"/>
    <x v="0"/>
    <n v="32"/>
    <n v="3"/>
    <x v="0"/>
    <x v="3"/>
    <n v="1"/>
    <x v="2"/>
    <n v="5121"/>
    <n v="4187"/>
    <n v="3"/>
    <s v="Y"/>
    <x v="1"/>
    <n v="14"/>
    <n v="3"/>
    <n v="3"/>
    <n v="80"/>
    <n v="1"/>
    <n v="7"/>
    <n v="3"/>
    <n v="3"/>
    <x v="2"/>
    <n v="0"/>
    <n v="0"/>
    <n v="0"/>
  </r>
  <r>
    <n v="52"/>
    <x v="1"/>
    <n v="0"/>
    <s v="Travel_Rarely"/>
    <n v="621"/>
    <x v="0"/>
    <n v="3"/>
    <n v="4"/>
    <x v="3"/>
    <n v="1"/>
    <n v="776"/>
    <n v="3"/>
    <x v="1"/>
    <n v="31"/>
    <n v="2"/>
    <x v="3"/>
    <x v="5"/>
    <n v="1"/>
    <x v="1"/>
    <n v="16856"/>
    <n v="10084"/>
    <n v="1"/>
    <s v="Y"/>
    <x v="1"/>
    <n v="11"/>
    <n v="3"/>
    <n v="1"/>
    <n v="80"/>
    <n v="0"/>
    <n v="34"/>
    <n v="3"/>
    <n v="4"/>
    <x v="33"/>
    <n v="6"/>
    <n v="1"/>
    <n v="16"/>
  </r>
  <r>
    <n v="33"/>
    <x v="0"/>
    <n v="1"/>
    <s v="Travel_Rarely"/>
    <n v="527"/>
    <x v="1"/>
    <n v="1"/>
    <n v="4"/>
    <x v="1"/>
    <n v="1"/>
    <n v="780"/>
    <n v="4"/>
    <x v="1"/>
    <n v="63"/>
    <n v="3"/>
    <x v="1"/>
    <x v="1"/>
    <n v="4"/>
    <x v="0"/>
    <n v="2686"/>
    <n v="5207"/>
    <n v="1"/>
    <s v="Y"/>
    <x v="0"/>
    <n v="13"/>
    <n v="3"/>
    <n v="3"/>
    <n v="80"/>
    <n v="0"/>
    <n v="10"/>
    <n v="2"/>
    <n v="2"/>
    <x v="1"/>
    <n v="9"/>
    <n v="7"/>
    <n v="8"/>
  </r>
  <r>
    <n v="25"/>
    <x v="1"/>
    <n v="0"/>
    <s v="Travel_Rarely"/>
    <n v="883"/>
    <x v="0"/>
    <n v="26"/>
    <n v="1"/>
    <x v="2"/>
    <n v="1"/>
    <n v="781"/>
    <n v="3"/>
    <x v="0"/>
    <n v="32"/>
    <n v="3"/>
    <x v="0"/>
    <x v="0"/>
    <n v="4"/>
    <x v="0"/>
    <n v="6180"/>
    <n v="22807"/>
    <n v="1"/>
    <s v="Y"/>
    <x v="1"/>
    <n v="23"/>
    <n v="4"/>
    <n v="2"/>
    <n v="80"/>
    <n v="0"/>
    <n v="6"/>
    <n v="5"/>
    <n v="2"/>
    <x v="0"/>
    <n v="5"/>
    <n v="1"/>
    <n v="4"/>
  </r>
  <r>
    <n v="45"/>
    <x v="1"/>
    <n v="0"/>
    <s v="Travel_Rarely"/>
    <n v="954"/>
    <x v="0"/>
    <n v="2"/>
    <n v="2"/>
    <x v="4"/>
    <n v="1"/>
    <n v="783"/>
    <n v="2"/>
    <x v="1"/>
    <n v="46"/>
    <n v="1"/>
    <x v="0"/>
    <x v="6"/>
    <n v="3"/>
    <x v="0"/>
    <n v="6632"/>
    <n v="12388"/>
    <n v="0"/>
    <s v="Y"/>
    <x v="1"/>
    <n v="13"/>
    <n v="3"/>
    <n v="1"/>
    <n v="80"/>
    <n v="0"/>
    <n v="9"/>
    <n v="3"/>
    <n v="3"/>
    <x v="3"/>
    <n v="7"/>
    <n v="3"/>
    <n v="1"/>
  </r>
  <r>
    <n v="23"/>
    <x v="1"/>
    <n v="0"/>
    <s v="Travel_Rarely"/>
    <n v="310"/>
    <x v="1"/>
    <n v="10"/>
    <n v="1"/>
    <x v="2"/>
    <n v="1"/>
    <n v="784"/>
    <n v="1"/>
    <x v="1"/>
    <n v="79"/>
    <n v="4"/>
    <x v="1"/>
    <x v="1"/>
    <n v="3"/>
    <x v="0"/>
    <n v="3505"/>
    <n v="19630"/>
    <n v="1"/>
    <s v="Y"/>
    <x v="1"/>
    <n v="18"/>
    <n v="3"/>
    <n v="4"/>
    <n v="80"/>
    <n v="0"/>
    <n v="2"/>
    <n v="3"/>
    <n v="3"/>
    <x v="4"/>
    <n v="2"/>
    <n v="0"/>
    <n v="2"/>
  </r>
  <r>
    <n v="47"/>
    <x v="0"/>
    <n v="1"/>
    <s v="Travel_Frequently"/>
    <n v="719"/>
    <x v="0"/>
    <n v="27"/>
    <n v="2"/>
    <x v="0"/>
    <n v="1"/>
    <n v="785"/>
    <n v="2"/>
    <x v="0"/>
    <n v="77"/>
    <n v="4"/>
    <x v="0"/>
    <x v="0"/>
    <n v="3"/>
    <x v="0"/>
    <n v="6397"/>
    <n v="10339"/>
    <n v="4"/>
    <s v="Y"/>
    <x v="0"/>
    <n v="12"/>
    <n v="3"/>
    <n v="4"/>
    <n v="80"/>
    <n v="0"/>
    <n v="8"/>
    <n v="2"/>
    <n v="3"/>
    <x v="8"/>
    <n v="4"/>
    <n v="1"/>
    <n v="3"/>
  </r>
  <r>
    <n v="34"/>
    <x v="1"/>
    <n v="0"/>
    <s v="Travel_Rarely"/>
    <n v="304"/>
    <x v="0"/>
    <n v="2"/>
    <n v="3"/>
    <x v="1"/>
    <n v="1"/>
    <n v="786"/>
    <n v="4"/>
    <x v="1"/>
    <n v="60"/>
    <n v="3"/>
    <x v="0"/>
    <x v="0"/>
    <n v="4"/>
    <x v="0"/>
    <n v="6274"/>
    <n v="18686"/>
    <n v="1"/>
    <s v="Y"/>
    <x v="1"/>
    <n v="22"/>
    <n v="4"/>
    <n v="3"/>
    <n v="80"/>
    <n v="0"/>
    <n v="6"/>
    <n v="5"/>
    <n v="3"/>
    <x v="0"/>
    <n v="5"/>
    <n v="1"/>
    <n v="4"/>
  </r>
  <r>
    <n v="55"/>
    <x v="0"/>
    <n v="1"/>
    <s v="Travel_Rarely"/>
    <n v="725"/>
    <x v="1"/>
    <n v="2"/>
    <n v="3"/>
    <x v="2"/>
    <n v="1"/>
    <n v="787"/>
    <n v="4"/>
    <x v="1"/>
    <n v="78"/>
    <n v="3"/>
    <x v="4"/>
    <x v="5"/>
    <n v="1"/>
    <x v="1"/>
    <n v="19859"/>
    <n v="21199"/>
    <n v="5"/>
    <s v="Y"/>
    <x v="0"/>
    <n v="13"/>
    <n v="3"/>
    <n v="4"/>
    <n v="80"/>
    <n v="1"/>
    <n v="24"/>
    <n v="2"/>
    <n v="3"/>
    <x v="8"/>
    <n v="2"/>
    <n v="1"/>
    <n v="4"/>
  </r>
  <r>
    <n v="36"/>
    <x v="1"/>
    <n v="0"/>
    <s v="Non-Travel"/>
    <n v="1434"/>
    <x v="0"/>
    <n v="8"/>
    <n v="4"/>
    <x v="0"/>
    <n v="1"/>
    <n v="789"/>
    <n v="1"/>
    <x v="1"/>
    <n v="76"/>
    <n v="2"/>
    <x v="2"/>
    <x v="0"/>
    <n v="1"/>
    <x v="0"/>
    <n v="7587"/>
    <n v="14229"/>
    <n v="1"/>
    <s v="Y"/>
    <x v="1"/>
    <n v="15"/>
    <n v="3"/>
    <n v="2"/>
    <n v="80"/>
    <n v="0"/>
    <n v="10"/>
    <n v="1"/>
    <n v="3"/>
    <x v="1"/>
    <n v="7"/>
    <n v="0"/>
    <n v="9"/>
  </r>
  <r>
    <n v="52"/>
    <x v="1"/>
    <n v="0"/>
    <s v="Non-Travel"/>
    <n v="715"/>
    <x v="1"/>
    <n v="19"/>
    <n v="4"/>
    <x v="2"/>
    <n v="1"/>
    <n v="791"/>
    <n v="4"/>
    <x v="1"/>
    <n v="41"/>
    <n v="3"/>
    <x v="1"/>
    <x v="1"/>
    <n v="4"/>
    <x v="1"/>
    <n v="4258"/>
    <n v="26589"/>
    <n v="0"/>
    <s v="Y"/>
    <x v="1"/>
    <n v="18"/>
    <n v="3"/>
    <n v="1"/>
    <n v="80"/>
    <n v="1"/>
    <n v="5"/>
    <n v="3"/>
    <n v="3"/>
    <x v="9"/>
    <n v="3"/>
    <n v="1"/>
    <n v="2"/>
  </r>
  <r>
    <n v="26"/>
    <x v="1"/>
    <n v="0"/>
    <s v="Travel_Frequently"/>
    <n v="575"/>
    <x v="1"/>
    <n v="1"/>
    <n v="2"/>
    <x v="0"/>
    <n v="1"/>
    <n v="792"/>
    <n v="1"/>
    <x v="0"/>
    <n v="71"/>
    <n v="1"/>
    <x v="1"/>
    <x v="2"/>
    <n v="4"/>
    <x v="2"/>
    <n v="4364"/>
    <n v="5288"/>
    <n v="3"/>
    <s v="Y"/>
    <x v="1"/>
    <n v="14"/>
    <n v="3"/>
    <n v="1"/>
    <n v="80"/>
    <n v="1"/>
    <n v="5"/>
    <n v="2"/>
    <n v="3"/>
    <x v="4"/>
    <n v="2"/>
    <n v="2"/>
    <n v="0"/>
  </r>
  <r>
    <n v="29"/>
    <x v="1"/>
    <n v="0"/>
    <s v="Travel_Rarely"/>
    <n v="657"/>
    <x v="1"/>
    <n v="27"/>
    <n v="3"/>
    <x v="2"/>
    <n v="1"/>
    <n v="793"/>
    <n v="2"/>
    <x v="0"/>
    <n v="66"/>
    <n v="3"/>
    <x v="0"/>
    <x v="4"/>
    <n v="3"/>
    <x v="1"/>
    <n v="4335"/>
    <n v="25549"/>
    <n v="4"/>
    <s v="Y"/>
    <x v="1"/>
    <n v="12"/>
    <n v="3"/>
    <n v="1"/>
    <n v="80"/>
    <n v="1"/>
    <n v="11"/>
    <n v="3"/>
    <n v="2"/>
    <x v="3"/>
    <n v="7"/>
    <n v="1"/>
    <n v="1"/>
  </r>
  <r>
    <n v="26"/>
    <x v="0"/>
    <n v="1"/>
    <s v="Travel_Rarely"/>
    <n v="1146"/>
    <x v="0"/>
    <n v="8"/>
    <n v="3"/>
    <x v="4"/>
    <n v="1"/>
    <n v="796"/>
    <n v="4"/>
    <x v="1"/>
    <n v="38"/>
    <n v="2"/>
    <x v="0"/>
    <x v="0"/>
    <n v="1"/>
    <x v="0"/>
    <n v="5326"/>
    <n v="3064"/>
    <n v="6"/>
    <s v="Y"/>
    <x v="1"/>
    <n v="17"/>
    <n v="3"/>
    <n v="3"/>
    <n v="80"/>
    <n v="0"/>
    <n v="6"/>
    <n v="2"/>
    <n v="2"/>
    <x v="9"/>
    <n v="3"/>
    <n v="1"/>
    <n v="2"/>
  </r>
  <r>
    <n v="34"/>
    <x v="1"/>
    <n v="0"/>
    <s v="Travel_Rarely"/>
    <n v="182"/>
    <x v="1"/>
    <n v="1"/>
    <n v="4"/>
    <x v="0"/>
    <n v="1"/>
    <n v="797"/>
    <n v="2"/>
    <x v="0"/>
    <n v="72"/>
    <n v="4"/>
    <x v="1"/>
    <x v="1"/>
    <n v="4"/>
    <x v="0"/>
    <n v="3280"/>
    <n v="13551"/>
    <n v="2"/>
    <s v="Y"/>
    <x v="1"/>
    <n v="16"/>
    <n v="3"/>
    <n v="3"/>
    <n v="80"/>
    <n v="0"/>
    <n v="10"/>
    <n v="2"/>
    <n v="3"/>
    <x v="9"/>
    <n v="2"/>
    <n v="1"/>
    <n v="3"/>
  </r>
  <r>
    <n v="54"/>
    <x v="1"/>
    <n v="0"/>
    <s v="Travel_Rarely"/>
    <n v="376"/>
    <x v="1"/>
    <n v="19"/>
    <n v="4"/>
    <x v="2"/>
    <n v="1"/>
    <n v="799"/>
    <n v="4"/>
    <x v="0"/>
    <n v="95"/>
    <n v="3"/>
    <x v="0"/>
    <x v="3"/>
    <n v="1"/>
    <x v="2"/>
    <n v="5485"/>
    <n v="22670"/>
    <n v="9"/>
    <s v="Y"/>
    <x v="0"/>
    <n v="11"/>
    <n v="3"/>
    <n v="2"/>
    <n v="80"/>
    <n v="2"/>
    <n v="9"/>
    <n v="4"/>
    <n v="3"/>
    <x v="8"/>
    <n v="3"/>
    <n v="1"/>
    <n v="4"/>
  </r>
  <r>
    <n v="27"/>
    <x v="1"/>
    <n v="0"/>
    <s v="Travel_Frequently"/>
    <n v="829"/>
    <x v="0"/>
    <n v="8"/>
    <n v="1"/>
    <x v="3"/>
    <n v="1"/>
    <n v="800"/>
    <n v="3"/>
    <x v="1"/>
    <n v="84"/>
    <n v="3"/>
    <x v="0"/>
    <x v="0"/>
    <n v="4"/>
    <x v="1"/>
    <n v="4342"/>
    <n v="24008"/>
    <n v="0"/>
    <s v="Y"/>
    <x v="1"/>
    <n v="19"/>
    <n v="3"/>
    <n v="2"/>
    <n v="80"/>
    <n v="1"/>
    <n v="5"/>
    <n v="3"/>
    <n v="3"/>
    <x v="9"/>
    <n v="2"/>
    <n v="1"/>
    <n v="1"/>
  </r>
  <r>
    <n v="37"/>
    <x v="1"/>
    <n v="0"/>
    <s v="Travel_Rarely"/>
    <n v="571"/>
    <x v="1"/>
    <n v="10"/>
    <n v="1"/>
    <x v="0"/>
    <n v="1"/>
    <n v="802"/>
    <n v="4"/>
    <x v="0"/>
    <n v="82"/>
    <n v="3"/>
    <x v="1"/>
    <x v="1"/>
    <n v="1"/>
    <x v="2"/>
    <n v="2782"/>
    <n v="19905"/>
    <n v="0"/>
    <s v="Y"/>
    <x v="0"/>
    <n v="13"/>
    <n v="3"/>
    <n v="2"/>
    <n v="80"/>
    <n v="2"/>
    <n v="6"/>
    <n v="3"/>
    <n v="2"/>
    <x v="8"/>
    <n v="3"/>
    <n v="4"/>
    <n v="3"/>
  </r>
  <r>
    <n v="38"/>
    <x v="1"/>
    <n v="0"/>
    <s v="Travel_Frequently"/>
    <n v="240"/>
    <x v="1"/>
    <n v="2"/>
    <n v="4"/>
    <x v="0"/>
    <n v="1"/>
    <n v="803"/>
    <n v="1"/>
    <x v="0"/>
    <n v="75"/>
    <n v="4"/>
    <x v="0"/>
    <x v="3"/>
    <n v="1"/>
    <x v="0"/>
    <n v="5980"/>
    <n v="26085"/>
    <n v="6"/>
    <s v="Y"/>
    <x v="0"/>
    <n v="12"/>
    <n v="3"/>
    <n v="4"/>
    <n v="80"/>
    <n v="0"/>
    <n v="17"/>
    <n v="2"/>
    <n v="3"/>
    <x v="15"/>
    <n v="7"/>
    <n v="4"/>
    <n v="12"/>
  </r>
  <r>
    <n v="34"/>
    <x v="1"/>
    <n v="0"/>
    <s v="Travel_Rarely"/>
    <n v="121"/>
    <x v="1"/>
    <n v="2"/>
    <n v="4"/>
    <x v="2"/>
    <n v="1"/>
    <n v="804"/>
    <n v="3"/>
    <x v="0"/>
    <n v="86"/>
    <n v="2"/>
    <x v="1"/>
    <x v="1"/>
    <n v="1"/>
    <x v="0"/>
    <n v="4381"/>
    <n v="7530"/>
    <n v="1"/>
    <s v="Y"/>
    <x v="1"/>
    <n v="11"/>
    <n v="3"/>
    <n v="3"/>
    <n v="80"/>
    <n v="0"/>
    <n v="6"/>
    <n v="3"/>
    <n v="3"/>
    <x v="0"/>
    <n v="5"/>
    <n v="1"/>
    <n v="3"/>
  </r>
  <r>
    <n v="35"/>
    <x v="1"/>
    <n v="0"/>
    <s v="Travel_Rarely"/>
    <n v="384"/>
    <x v="0"/>
    <n v="8"/>
    <n v="4"/>
    <x v="0"/>
    <n v="1"/>
    <n v="805"/>
    <n v="1"/>
    <x v="0"/>
    <n v="72"/>
    <n v="3"/>
    <x v="1"/>
    <x v="6"/>
    <n v="4"/>
    <x v="1"/>
    <n v="2572"/>
    <n v="20317"/>
    <n v="1"/>
    <s v="Y"/>
    <x v="1"/>
    <n v="16"/>
    <n v="3"/>
    <n v="2"/>
    <n v="80"/>
    <n v="1"/>
    <n v="3"/>
    <n v="1"/>
    <n v="2"/>
    <x v="11"/>
    <n v="2"/>
    <n v="0"/>
    <n v="2"/>
  </r>
  <r>
    <n v="30"/>
    <x v="1"/>
    <n v="0"/>
    <s v="Travel_Rarely"/>
    <n v="921"/>
    <x v="1"/>
    <n v="1"/>
    <n v="3"/>
    <x v="0"/>
    <n v="1"/>
    <n v="806"/>
    <n v="4"/>
    <x v="1"/>
    <n v="38"/>
    <n v="1"/>
    <x v="1"/>
    <x v="2"/>
    <n v="3"/>
    <x v="1"/>
    <n v="3833"/>
    <n v="24375"/>
    <n v="3"/>
    <s v="Y"/>
    <x v="1"/>
    <n v="21"/>
    <n v="4"/>
    <n v="3"/>
    <n v="80"/>
    <n v="2"/>
    <n v="7"/>
    <n v="2"/>
    <n v="3"/>
    <x v="4"/>
    <n v="2"/>
    <n v="0"/>
    <n v="2"/>
  </r>
  <r>
    <n v="40"/>
    <x v="1"/>
    <n v="0"/>
    <s v="Travel_Frequently"/>
    <n v="791"/>
    <x v="1"/>
    <n v="2"/>
    <n v="2"/>
    <x v="2"/>
    <n v="1"/>
    <n v="807"/>
    <n v="3"/>
    <x v="0"/>
    <n v="38"/>
    <n v="4"/>
    <x v="0"/>
    <x v="4"/>
    <n v="2"/>
    <x v="1"/>
    <n v="4244"/>
    <n v="9931"/>
    <n v="1"/>
    <s v="Y"/>
    <x v="1"/>
    <n v="24"/>
    <n v="4"/>
    <n v="4"/>
    <n v="80"/>
    <n v="1"/>
    <n v="8"/>
    <n v="2"/>
    <n v="3"/>
    <x v="3"/>
    <n v="7"/>
    <n v="3"/>
    <n v="7"/>
  </r>
  <r>
    <n v="34"/>
    <x v="1"/>
    <n v="0"/>
    <s v="Travel_Rarely"/>
    <n v="1111"/>
    <x v="0"/>
    <n v="8"/>
    <n v="2"/>
    <x v="0"/>
    <n v="1"/>
    <n v="808"/>
    <n v="3"/>
    <x v="0"/>
    <n v="93"/>
    <n v="3"/>
    <x v="0"/>
    <x v="0"/>
    <n v="1"/>
    <x v="1"/>
    <n v="6500"/>
    <n v="13305"/>
    <n v="5"/>
    <s v="Y"/>
    <x v="1"/>
    <n v="17"/>
    <n v="3"/>
    <n v="2"/>
    <n v="80"/>
    <n v="1"/>
    <n v="6"/>
    <n v="1"/>
    <n v="3"/>
    <x v="11"/>
    <n v="2"/>
    <n v="1"/>
    <n v="2"/>
  </r>
  <r>
    <n v="42"/>
    <x v="1"/>
    <n v="0"/>
    <s v="Travel_Frequently"/>
    <n v="570"/>
    <x v="1"/>
    <n v="8"/>
    <n v="3"/>
    <x v="0"/>
    <n v="1"/>
    <n v="809"/>
    <n v="2"/>
    <x v="1"/>
    <n v="66"/>
    <n v="3"/>
    <x v="4"/>
    <x v="5"/>
    <n v="4"/>
    <x v="2"/>
    <n v="18430"/>
    <n v="16225"/>
    <n v="1"/>
    <s v="Y"/>
    <x v="1"/>
    <n v="13"/>
    <n v="3"/>
    <n v="2"/>
    <n v="80"/>
    <n v="1"/>
    <n v="24"/>
    <n v="4"/>
    <n v="2"/>
    <x v="25"/>
    <n v="7"/>
    <n v="14"/>
    <n v="9"/>
  </r>
  <r>
    <n v="23"/>
    <x v="0"/>
    <n v="1"/>
    <s v="Travel_Rarely"/>
    <n v="1243"/>
    <x v="1"/>
    <n v="6"/>
    <n v="3"/>
    <x v="0"/>
    <n v="1"/>
    <n v="811"/>
    <n v="3"/>
    <x v="1"/>
    <n v="63"/>
    <n v="4"/>
    <x v="1"/>
    <x v="2"/>
    <n v="1"/>
    <x v="1"/>
    <n v="1601"/>
    <n v="3445"/>
    <n v="1"/>
    <s v="Y"/>
    <x v="0"/>
    <n v="21"/>
    <n v="4"/>
    <n v="3"/>
    <n v="80"/>
    <n v="2"/>
    <n v="1"/>
    <n v="2"/>
    <n v="3"/>
    <x v="2"/>
    <n v="0"/>
    <n v="0"/>
    <n v="0"/>
  </r>
  <r>
    <n v="24"/>
    <x v="1"/>
    <n v="0"/>
    <s v="Non-Travel"/>
    <n v="1092"/>
    <x v="1"/>
    <n v="9"/>
    <n v="3"/>
    <x v="0"/>
    <n v="1"/>
    <n v="812"/>
    <n v="3"/>
    <x v="1"/>
    <n v="60"/>
    <n v="2"/>
    <x v="1"/>
    <x v="2"/>
    <n v="2"/>
    <x v="2"/>
    <n v="2694"/>
    <n v="26551"/>
    <n v="1"/>
    <s v="Y"/>
    <x v="1"/>
    <n v="11"/>
    <n v="3"/>
    <n v="3"/>
    <n v="80"/>
    <n v="3"/>
    <n v="1"/>
    <n v="4"/>
    <n v="3"/>
    <x v="6"/>
    <n v="0"/>
    <n v="0"/>
    <n v="0"/>
  </r>
  <r>
    <n v="52"/>
    <x v="1"/>
    <n v="0"/>
    <s v="Travel_Rarely"/>
    <n v="1325"/>
    <x v="1"/>
    <n v="11"/>
    <n v="4"/>
    <x v="0"/>
    <n v="1"/>
    <n v="813"/>
    <n v="4"/>
    <x v="0"/>
    <n v="82"/>
    <n v="3"/>
    <x v="0"/>
    <x v="2"/>
    <n v="3"/>
    <x v="1"/>
    <n v="3149"/>
    <n v="21821"/>
    <n v="8"/>
    <s v="Y"/>
    <x v="1"/>
    <n v="20"/>
    <n v="4"/>
    <n v="2"/>
    <n v="80"/>
    <n v="1"/>
    <n v="9"/>
    <n v="3"/>
    <n v="3"/>
    <x v="8"/>
    <n v="2"/>
    <n v="1"/>
    <n v="4"/>
  </r>
  <r>
    <n v="50"/>
    <x v="1"/>
    <n v="0"/>
    <s v="Travel_Rarely"/>
    <n v="691"/>
    <x v="1"/>
    <n v="2"/>
    <n v="3"/>
    <x v="2"/>
    <n v="1"/>
    <n v="815"/>
    <n v="3"/>
    <x v="1"/>
    <n v="64"/>
    <n v="3"/>
    <x v="3"/>
    <x v="7"/>
    <n v="3"/>
    <x v="1"/>
    <n v="17639"/>
    <n v="6881"/>
    <n v="5"/>
    <s v="Y"/>
    <x v="1"/>
    <n v="16"/>
    <n v="3"/>
    <n v="4"/>
    <n v="80"/>
    <n v="0"/>
    <n v="30"/>
    <n v="3"/>
    <n v="3"/>
    <x v="9"/>
    <n v="3"/>
    <n v="0"/>
    <n v="3"/>
  </r>
  <r>
    <n v="29"/>
    <x v="0"/>
    <n v="1"/>
    <s v="Travel_Rarely"/>
    <n v="805"/>
    <x v="1"/>
    <n v="1"/>
    <n v="2"/>
    <x v="0"/>
    <n v="1"/>
    <n v="816"/>
    <n v="2"/>
    <x v="0"/>
    <n v="36"/>
    <n v="2"/>
    <x v="1"/>
    <x v="2"/>
    <n v="1"/>
    <x v="1"/>
    <n v="2319"/>
    <n v="6689"/>
    <n v="1"/>
    <s v="Y"/>
    <x v="0"/>
    <n v="11"/>
    <n v="3"/>
    <n v="4"/>
    <n v="80"/>
    <n v="1"/>
    <n v="1"/>
    <n v="1"/>
    <n v="3"/>
    <x v="6"/>
    <n v="0"/>
    <n v="0"/>
    <n v="0"/>
  </r>
  <r>
    <n v="33"/>
    <x v="1"/>
    <n v="0"/>
    <s v="Travel_Rarely"/>
    <n v="213"/>
    <x v="1"/>
    <n v="7"/>
    <n v="3"/>
    <x v="2"/>
    <n v="1"/>
    <n v="817"/>
    <n v="3"/>
    <x v="1"/>
    <n v="49"/>
    <n v="3"/>
    <x v="2"/>
    <x v="7"/>
    <n v="3"/>
    <x v="1"/>
    <n v="11691"/>
    <n v="25995"/>
    <n v="0"/>
    <s v="Y"/>
    <x v="1"/>
    <n v="11"/>
    <n v="3"/>
    <n v="4"/>
    <n v="80"/>
    <n v="0"/>
    <n v="14"/>
    <n v="3"/>
    <n v="4"/>
    <x v="20"/>
    <n v="9"/>
    <n v="3"/>
    <n v="7"/>
  </r>
  <r>
    <n v="33"/>
    <x v="0"/>
    <n v="1"/>
    <s v="Travel_Rarely"/>
    <n v="118"/>
    <x v="0"/>
    <n v="16"/>
    <n v="3"/>
    <x v="3"/>
    <n v="1"/>
    <n v="819"/>
    <n v="1"/>
    <x v="0"/>
    <n v="69"/>
    <n v="3"/>
    <x v="0"/>
    <x v="0"/>
    <n v="1"/>
    <x v="0"/>
    <n v="5324"/>
    <n v="26507"/>
    <n v="5"/>
    <s v="Y"/>
    <x v="1"/>
    <n v="15"/>
    <n v="3"/>
    <n v="3"/>
    <n v="80"/>
    <n v="0"/>
    <n v="6"/>
    <n v="3"/>
    <n v="3"/>
    <x v="11"/>
    <n v="2"/>
    <n v="0"/>
    <n v="2"/>
  </r>
  <r>
    <n v="47"/>
    <x v="1"/>
    <n v="0"/>
    <s v="Travel_Rarely"/>
    <n v="202"/>
    <x v="1"/>
    <n v="2"/>
    <n v="2"/>
    <x v="1"/>
    <n v="1"/>
    <n v="820"/>
    <n v="3"/>
    <x v="0"/>
    <n v="33"/>
    <n v="3"/>
    <x v="3"/>
    <x v="5"/>
    <n v="4"/>
    <x v="1"/>
    <n v="16752"/>
    <n v="12982"/>
    <n v="1"/>
    <s v="Y"/>
    <x v="0"/>
    <n v="11"/>
    <n v="3"/>
    <n v="3"/>
    <n v="80"/>
    <n v="1"/>
    <n v="26"/>
    <n v="3"/>
    <n v="2"/>
    <x v="34"/>
    <n v="14"/>
    <n v="3"/>
    <n v="0"/>
  </r>
  <r>
    <n v="36"/>
    <x v="1"/>
    <n v="0"/>
    <s v="Travel_Rarely"/>
    <n v="676"/>
    <x v="1"/>
    <n v="1"/>
    <n v="3"/>
    <x v="1"/>
    <n v="1"/>
    <n v="823"/>
    <n v="3"/>
    <x v="0"/>
    <n v="35"/>
    <n v="3"/>
    <x v="0"/>
    <x v="3"/>
    <n v="2"/>
    <x v="1"/>
    <n v="5228"/>
    <n v="23361"/>
    <n v="0"/>
    <s v="Y"/>
    <x v="1"/>
    <n v="15"/>
    <n v="3"/>
    <n v="1"/>
    <n v="80"/>
    <n v="1"/>
    <n v="10"/>
    <n v="2"/>
    <n v="3"/>
    <x v="7"/>
    <n v="7"/>
    <n v="0"/>
    <n v="5"/>
  </r>
  <r>
    <n v="29"/>
    <x v="1"/>
    <n v="0"/>
    <s v="Travel_Rarely"/>
    <n v="1252"/>
    <x v="1"/>
    <n v="23"/>
    <n v="2"/>
    <x v="0"/>
    <n v="1"/>
    <n v="824"/>
    <n v="3"/>
    <x v="1"/>
    <n v="81"/>
    <n v="4"/>
    <x v="1"/>
    <x v="1"/>
    <n v="3"/>
    <x v="1"/>
    <n v="2700"/>
    <n v="23779"/>
    <n v="1"/>
    <s v="Y"/>
    <x v="1"/>
    <n v="24"/>
    <n v="4"/>
    <n v="3"/>
    <n v="80"/>
    <n v="1"/>
    <n v="10"/>
    <n v="3"/>
    <n v="3"/>
    <x v="1"/>
    <n v="7"/>
    <n v="0"/>
    <n v="7"/>
  </r>
  <r>
    <n v="58"/>
    <x v="0"/>
    <n v="1"/>
    <s v="Travel_Rarely"/>
    <n v="286"/>
    <x v="1"/>
    <n v="2"/>
    <n v="4"/>
    <x v="0"/>
    <n v="1"/>
    <n v="825"/>
    <n v="4"/>
    <x v="1"/>
    <n v="31"/>
    <n v="3"/>
    <x v="4"/>
    <x v="7"/>
    <n v="2"/>
    <x v="0"/>
    <n v="19246"/>
    <n v="25761"/>
    <n v="7"/>
    <s v="Y"/>
    <x v="0"/>
    <n v="12"/>
    <n v="3"/>
    <n v="4"/>
    <n v="80"/>
    <n v="0"/>
    <n v="40"/>
    <n v="2"/>
    <n v="3"/>
    <x v="31"/>
    <n v="15"/>
    <n v="13"/>
    <n v="8"/>
  </r>
  <r>
    <n v="35"/>
    <x v="1"/>
    <n v="0"/>
    <s v="Travel_Rarely"/>
    <n v="1258"/>
    <x v="1"/>
    <n v="1"/>
    <n v="4"/>
    <x v="0"/>
    <n v="1"/>
    <n v="826"/>
    <n v="4"/>
    <x v="0"/>
    <n v="40"/>
    <n v="4"/>
    <x v="1"/>
    <x v="1"/>
    <n v="3"/>
    <x v="0"/>
    <n v="2506"/>
    <n v="13301"/>
    <n v="3"/>
    <s v="Y"/>
    <x v="1"/>
    <n v="13"/>
    <n v="3"/>
    <n v="3"/>
    <n v="80"/>
    <n v="0"/>
    <n v="7"/>
    <n v="0"/>
    <n v="3"/>
    <x v="4"/>
    <n v="2"/>
    <n v="2"/>
    <n v="2"/>
  </r>
  <r>
    <n v="42"/>
    <x v="1"/>
    <n v="0"/>
    <s v="Travel_Rarely"/>
    <n v="932"/>
    <x v="1"/>
    <n v="1"/>
    <n v="2"/>
    <x v="0"/>
    <n v="1"/>
    <n v="827"/>
    <n v="4"/>
    <x v="0"/>
    <n v="43"/>
    <n v="2"/>
    <x v="0"/>
    <x v="3"/>
    <n v="4"/>
    <x v="1"/>
    <n v="6062"/>
    <n v="4051"/>
    <n v="9"/>
    <s v="Y"/>
    <x v="0"/>
    <n v="13"/>
    <n v="3"/>
    <n v="4"/>
    <n v="80"/>
    <n v="1"/>
    <n v="8"/>
    <n v="4"/>
    <n v="3"/>
    <x v="9"/>
    <n v="3"/>
    <n v="0"/>
    <n v="2"/>
  </r>
  <r>
    <n v="28"/>
    <x v="0"/>
    <n v="1"/>
    <s v="Travel_Rarely"/>
    <n v="890"/>
    <x v="1"/>
    <n v="2"/>
    <n v="4"/>
    <x v="2"/>
    <n v="1"/>
    <n v="828"/>
    <n v="3"/>
    <x v="1"/>
    <n v="46"/>
    <n v="3"/>
    <x v="1"/>
    <x v="1"/>
    <n v="3"/>
    <x v="0"/>
    <n v="4382"/>
    <n v="16374"/>
    <n v="6"/>
    <s v="Y"/>
    <x v="1"/>
    <n v="17"/>
    <n v="3"/>
    <n v="4"/>
    <n v="80"/>
    <n v="0"/>
    <n v="5"/>
    <n v="3"/>
    <n v="2"/>
    <x v="4"/>
    <n v="2"/>
    <n v="2"/>
    <n v="1"/>
  </r>
  <r>
    <n v="36"/>
    <x v="1"/>
    <n v="0"/>
    <s v="Travel_Rarely"/>
    <n v="1041"/>
    <x v="2"/>
    <n v="13"/>
    <n v="3"/>
    <x v="5"/>
    <n v="1"/>
    <n v="829"/>
    <n v="3"/>
    <x v="1"/>
    <n v="36"/>
    <n v="3"/>
    <x v="1"/>
    <x v="8"/>
    <n v="2"/>
    <x v="1"/>
    <n v="2143"/>
    <n v="25527"/>
    <n v="4"/>
    <s v="Y"/>
    <x v="1"/>
    <n v="13"/>
    <n v="3"/>
    <n v="2"/>
    <n v="80"/>
    <n v="1"/>
    <n v="8"/>
    <n v="2"/>
    <n v="3"/>
    <x v="8"/>
    <n v="2"/>
    <n v="0"/>
    <n v="4"/>
  </r>
  <r>
    <n v="32"/>
    <x v="1"/>
    <n v="0"/>
    <s v="Travel_Rarely"/>
    <n v="859"/>
    <x v="1"/>
    <n v="4"/>
    <n v="3"/>
    <x v="0"/>
    <n v="1"/>
    <n v="830"/>
    <n v="3"/>
    <x v="0"/>
    <n v="98"/>
    <n v="2"/>
    <x v="0"/>
    <x v="3"/>
    <n v="3"/>
    <x v="1"/>
    <n v="6162"/>
    <n v="19124"/>
    <n v="1"/>
    <s v="Y"/>
    <x v="1"/>
    <n v="12"/>
    <n v="3"/>
    <n v="3"/>
    <n v="80"/>
    <n v="1"/>
    <n v="14"/>
    <n v="3"/>
    <n v="3"/>
    <x v="13"/>
    <n v="13"/>
    <n v="6"/>
    <n v="8"/>
  </r>
  <r>
    <n v="40"/>
    <x v="1"/>
    <n v="0"/>
    <s v="Travel_Frequently"/>
    <n v="720"/>
    <x v="1"/>
    <n v="16"/>
    <n v="4"/>
    <x v="2"/>
    <n v="1"/>
    <n v="832"/>
    <n v="1"/>
    <x v="1"/>
    <n v="51"/>
    <n v="2"/>
    <x v="0"/>
    <x v="2"/>
    <n v="3"/>
    <x v="0"/>
    <n v="5094"/>
    <n v="11983"/>
    <n v="6"/>
    <s v="Y"/>
    <x v="1"/>
    <n v="14"/>
    <n v="3"/>
    <n v="4"/>
    <n v="80"/>
    <n v="0"/>
    <n v="10"/>
    <n v="6"/>
    <n v="3"/>
    <x v="6"/>
    <n v="0"/>
    <n v="0"/>
    <n v="0"/>
  </r>
  <r>
    <n v="30"/>
    <x v="1"/>
    <n v="0"/>
    <s v="Travel_Rarely"/>
    <n v="946"/>
    <x v="1"/>
    <n v="2"/>
    <n v="3"/>
    <x v="2"/>
    <n v="1"/>
    <n v="833"/>
    <n v="3"/>
    <x v="0"/>
    <n v="52"/>
    <n v="2"/>
    <x v="0"/>
    <x v="3"/>
    <n v="4"/>
    <x v="0"/>
    <n v="6877"/>
    <n v="20234"/>
    <n v="5"/>
    <s v="Y"/>
    <x v="0"/>
    <n v="24"/>
    <n v="4"/>
    <n v="2"/>
    <n v="80"/>
    <n v="0"/>
    <n v="12"/>
    <n v="4"/>
    <n v="2"/>
    <x v="2"/>
    <n v="0"/>
    <n v="0"/>
    <n v="0"/>
  </r>
  <r>
    <n v="45"/>
    <x v="1"/>
    <n v="0"/>
    <s v="Travel_Rarely"/>
    <n v="252"/>
    <x v="1"/>
    <n v="2"/>
    <n v="3"/>
    <x v="0"/>
    <n v="1"/>
    <n v="834"/>
    <n v="2"/>
    <x v="0"/>
    <n v="95"/>
    <n v="2"/>
    <x v="1"/>
    <x v="1"/>
    <n v="3"/>
    <x v="0"/>
    <n v="2274"/>
    <n v="6153"/>
    <n v="1"/>
    <s v="Y"/>
    <x v="1"/>
    <n v="14"/>
    <n v="3"/>
    <n v="4"/>
    <n v="80"/>
    <n v="0"/>
    <n v="1"/>
    <n v="3"/>
    <n v="3"/>
    <x v="6"/>
    <n v="0"/>
    <n v="0"/>
    <n v="0"/>
  </r>
  <r>
    <n v="42"/>
    <x v="1"/>
    <n v="0"/>
    <s v="Travel_Rarely"/>
    <n v="933"/>
    <x v="1"/>
    <n v="29"/>
    <n v="3"/>
    <x v="0"/>
    <n v="1"/>
    <n v="836"/>
    <n v="2"/>
    <x v="1"/>
    <n v="98"/>
    <n v="3"/>
    <x v="0"/>
    <x v="3"/>
    <n v="2"/>
    <x v="1"/>
    <n v="4434"/>
    <n v="11806"/>
    <n v="1"/>
    <s v="Y"/>
    <x v="1"/>
    <n v="13"/>
    <n v="3"/>
    <n v="4"/>
    <n v="80"/>
    <n v="1"/>
    <n v="10"/>
    <n v="3"/>
    <n v="2"/>
    <x v="7"/>
    <n v="8"/>
    <n v="7"/>
    <n v="8"/>
  </r>
  <r>
    <n v="38"/>
    <x v="1"/>
    <n v="0"/>
    <s v="Travel_Frequently"/>
    <n v="471"/>
    <x v="1"/>
    <n v="12"/>
    <n v="3"/>
    <x v="0"/>
    <n v="1"/>
    <n v="837"/>
    <n v="1"/>
    <x v="1"/>
    <n v="45"/>
    <n v="2"/>
    <x v="0"/>
    <x v="4"/>
    <n v="1"/>
    <x v="2"/>
    <n v="6288"/>
    <n v="4284"/>
    <n v="2"/>
    <s v="Y"/>
    <x v="1"/>
    <n v="15"/>
    <n v="3"/>
    <n v="3"/>
    <n v="80"/>
    <n v="1"/>
    <n v="13"/>
    <n v="3"/>
    <n v="2"/>
    <x v="9"/>
    <n v="3"/>
    <n v="1"/>
    <n v="2"/>
  </r>
  <r>
    <n v="34"/>
    <x v="1"/>
    <n v="0"/>
    <s v="Travel_Frequently"/>
    <n v="702"/>
    <x v="1"/>
    <n v="16"/>
    <n v="4"/>
    <x v="0"/>
    <n v="1"/>
    <n v="838"/>
    <n v="3"/>
    <x v="0"/>
    <n v="100"/>
    <n v="2"/>
    <x v="1"/>
    <x v="1"/>
    <n v="4"/>
    <x v="0"/>
    <n v="2553"/>
    <n v="8306"/>
    <n v="1"/>
    <s v="Y"/>
    <x v="1"/>
    <n v="16"/>
    <n v="3"/>
    <n v="3"/>
    <n v="80"/>
    <n v="0"/>
    <n v="6"/>
    <n v="3"/>
    <n v="3"/>
    <x v="8"/>
    <n v="2"/>
    <n v="1"/>
    <n v="3"/>
  </r>
  <r>
    <n v="49"/>
    <x v="0"/>
    <n v="1"/>
    <s v="Travel_Rarely"/>
    <n v="1184"/>
    <x v="0"/>
    <n v="11"/>
    <n v="3"/>
    <x v="3"/>
    <n v="1"/>
    <n v="840"/>
    <n v="3"/>
    <x v="0"/>
    <n v="43"/>
    <n v="3"/>
    <x v="2"/>
    <x v="0"/>
    <n v="4"/>
    <x v="1"/>
    <n v="7654"/>
    <n v="5860"/>
    <n v="1"/>
    <s v="Y"/>
    <x v="1"/>
    <n v="18"/>
    <n v="3"/>
    <n v="1"/>
    <n v="80"/>
    <n v="2"/>
    <n v="9"/>
    <n v="3"/>
    <n v="4"/>
    <x v="7"/>
    <n v="8"/>
    <n v="7"/>
    <n v="7"/>
  </r>
  <r>
    <n v="55"/>
    <x v="0"/>
    <n v="1"/>
    <s v="Travel_Rarely"/>
    <n v="436"/>
    <x v="0"/>
    <n v="2"/>
    <n v="1"/>
    <x v="2"/>
    <n v="1"/>
    <n v="842"/>
    <n v="3"/>
    <x v="1"/>
    <n v="37"/>
    <n v="3"/>
    <x v="0"/>
    <x v="0"/>
    <n v="4"/>
    <x v="0"/>
    <n v="5160"/>
    <n v="21519"/>
    <n v="4"/>
    <s v="Y"/>
    <x v="1"/>
    <n v="16"/>
    <n v="3"/>
    <n v="3"/>
    <n v="80"/>
    <n v="0"/>
    <n v="12"/>
    <n v="3"/>
    <n v="2"/>
    <x v="7"/>
    <n v="7"/>
    <n v="7"/>
    <n v="3"/>
  </r>
  <r>
    <n v="43"/>
    <x v="1"/>
    <n v="0"/>
    <s v="Travel_Rarely"/>
    <n v="589"/>
    <x v="1"/>
    <n v="14"/>
    <n v="2"/>
    <x v="0"/>
    <n v="1"/>
    <n v="843"/>
    <n v="2"/>
    <x v="1"/>
    <n v="94"/>
    <n v="3"/>
    <x v="3"/>
    <x v="7"/>
    <n v="1"/>
    <x v="1"/>
    <n v="17159"/>
    <n v="5200"/>
    <n v="6"/>
    <s v="Y"/>
    <x v="1"/>
    <n v="24"/>
    <n v="4"/>
    <n v="3"/>
    <n v="80"/>
    <n v="1"/>
    <n v="22"/>
    <n v="3"/>
    <n v="3"/>
    <x v="9"/>
    <n v="1"/>
    <n v="1"/>
    <n v="0"/>
  </r>
  <r>
    <n v="27"/>
    <x v="1"/>
    <n v="0"/>
    <s v="Travel_Rarely"/>
    <n v="269"/>
    <x v="1"/>
    <n v="5"/>
    <n v="1"/>
    <x v="4"/>
    <n v="1"/>
    <n v="844"/>
    <n v="3"/>
    <x v="1"/>
    <n v="42"/>
    <n v="2"/>
    <x v="2"/>
    <x v="7"/>
    <n v="4"/>
    <x v="2"/>
    <n v="12808"/>
    <n v="8842"/>
    <n v="1"/>
    <s v="Y"/>
    <x v="0"/>
    <n v="16"/>
    <n v="3"/>
    <n v="2"/>
    <n v="80"/>
    <n v="1"/>
    <n v="9"/>
    <n v="3"/>
    <n v="3"/>
    <x v="7"/>
    <n v="8"/>
    <n v="0"/>
    <n v="8"/>
  </r>
  <r>
    <n v="35"/>
    <x v="1"/>
    <n v="0"/>
    <s v="Travel_Rarely"/>
    <n v="950"/>
    <x v="1"/>
    <n v="7"/>
    <n v="3"/>
    <x v="1"/>
    <n v="1"/>
    <n v="845"/>
    <n v="3"/>
    <x v="1"/>
    <n v="59"/>
    <n v="3"/>
    <x v="2"/>
    <x v="3"/>
    <n v="3"/>
    <x v="0"/>
    <n v="10221"/>
    <n v="18869"/>
    <n v="3"/>
    <s v="Y"/>
    <x v="1"/>
    <n v="21"/>
    <n v="4"/>
    <n v="2"/>
    <n v="80"/>
    <n v="0"/>
    <n v="17"/>
    <n v="3"/>
    <n v="4"/>
    <x v="3"/>
    <n v="5"/>
    <n v="1"/>
    <n v="6"/>
  </r>
  <r>
    <n v="28"/>
    <x v="1"/>
    <n v="0"/>
    <s v="Travel_Rarely"/>
    <n v="760"/>
    <x v="0"/>
    <n v="2"/>
    <n v="4"/>
    <x v="3"/>
    <n v="1"/>
    <n v="846"/>
    <n v="2"/>
    <x v="0"/>
    <n v="81"/>
    <n v="3"/>
    <x v="0"/>
    <x v="0"/>
    <n v="2"/>
    <x v="1"/>
    <n v="4779"/>
    <n v="3698"/>
    <n v="1"/>
    <s v="Y"/>
    <x v="0"/>
    <n v="20"/>
    <n v="4"/>
    <n v="1"/>
    <n v="80"/>
    <n v="0"/>
    <n v="8"/>
    <n v="2"/>
    <n v="3"/>
    <x v="3"/>
    <n v="7"/>
    <n v="7"/>
    <n v="5"/>
  </r>
  <r>
    <n v="34"/>
    <x v="1"/>
    <n v="0"/>
    <s v="Travel_Rarely"/>
    <n v="829"/>
    <x v="2"/>
    <n v="3"/>
    <n v="2"/>
    <x v="5"/>
    <n v="1"/>
    <n v="847"/>
    <n v="3"/>
    <x v="1"/>
    <n v="88"/>
    <n v="3"/>
    <x v="1"/>
    <x v="8"/>
    <n v="4"/>
    <x v="1"/>
    <n v="3737"/>
    <n v="2243"/>
    <n v="0"/>
    <s v="Y"/>
    <x v="1"/>
    <n v="19"/>
    <n v="3"/>
    <n v="3"/>
    <n v="80"/>
    <n v="1"/>
    <n v="4"/>
    <n v="1"/>
    <n v="1"/>
    <x v="11"/>
    <n v="2"/>
    <n v="0"/>
    <n v="2"/>
  </r>
  <r>
    <n v="26"/>
    <x v="0"/>
    <n v="1"/>
    <s v="Travel_Frequently"/>
    <n v="887"/>
    <x v="1"/>
    <n v="5"/>
    <n v="2"/>
    <x v="2"/>
    <n v="1"/>
    <n v="848"/>
    <n v="3"/>
    <x v="0"/>
    <n v="88"/>
    <n v="2"/>
    <x v="1"/>
    <x v="1"/>
    <n v="3"/>
    <x v="1"/>
    <n v="2366"/>
    <n v="20898"/>
    <n v="1"/>
    <s v="Y"/>
    <x v="0"/>
    <n v="14"/>
    <n v="3"/>
    <n v="1"/>
    <n v="80"/>
    <n v="1"/>
    <n v="8"/>
    <n v="2"/>
    <n v="3"/>
    <x v="3"/>
    <n v="7"/>
    <n v="1"/>
    <n v="7"/>
  </r>
  <r>
    <n v="27"/>
    <x v="1"/>
    <n v="0"/>
    <s v="Non-Travel"/>
    <n v="443"/>
    <x v="1"/>
    <n v="3"/>
    <n v="3"/>
    <x v="2"/>
    <n v="1"/>
    <n v="850"/>
    <n v="4"/>
    <x v="1"/>
    <n v="50"/>
    <n v="3"/>
    <x v="1"/>
    <x v="1"/>
    <n v="4"/>
    <x v="1"/>
    <n v="1706"/>
    <n v="16571"/>
    <n v="1"/>
    <s v="Y"/>
    <x v="1"/>
    <n v="11"/>
    <n v="3"/>
    <n v="3"/>
    <n v="80"/>
    <n v="3"/>
    <n v="0"/>
    <n v="6"/>
    <n v="2"/>
    <x v="2"/>
    <n v="0"/>
    <n v="0"/>
    <n v="0"/>
  </r>
  <r>
    <n v="51"/>
    <x v="1"/>
    <n v="0"/>
    <s v="Travel_Rarely"/>
    <n v="1318"/>
    <x v="0"/>
    <n v="26"/>
    <n v="4"/>
    <x v="3"/>
    <n v="1"/>
    <n v="851"/>
    <n v="1"/>
    <x v="0"/>
    <n v="66"/>
    <n v="3"/>
    <x v="3"/>
    <x v="5"/>
    <n v="3"/>
    <x v="1"/>
    <n v="16307"/>
    <n v="5594"/>
    <n v="2"/>
    <s v="Y"/>
    <x v="1"/>
    <n v="14"/>
    <n v="3"/>
    <n v="3"/>
    <n v="80"/>
    <n v="1"/>
    <n v="29"/>
    <n v="2"/>
    <n v="2"/>
    <x v="23"/>
    <n v="6"/>
    <n v="4"/>
    <n v="17"/>
  </r>
  <r>
    <n v="44"/>
    <x v="1"/>
    <n v="0"/>
    <s v="Travel_Rarely"/>
    <n v="625"/>
    <x v="1"/>
    <n v="4"/>
    <n v="3"/>
    <x v="2"/>
    <n v="1"/>
    <n v="852"/>
    <n v="4"/>
    <x v="1"/>
    <n v="50"/>
    <n v="3"/>
    <x v="0"/>
    <x v="4"/>
    <n v="2"/>
    <x v="0"/>
    <n v="5933"/>
    <n v="5197"/>
    <n v="9"/>
    <s v="Y"/>
    <x v="1"/>
    <n v="12"/>
    <n v="3"/>
    <n v="4"/>
    <n v="80"/>
    <n v="0"/>
    <n v="10"/>
    <n v="2"/>
    <n v="2"/>
    <x v="8"/>
    <n v="2"/>
    <n v="2"/>
    <n v="3"/>
  </r>
  <r>
    <n v="25"/>
    <x v="1"/>
    <n v="0"/>
    <s v="Travel_Rarely"/>
    <n v="180"/>
    <x v="1"/>
    <n v="2"/>
    <n v="1"/>
    <x v="2"/>
    <n v="1"/>
    <n v="854"/>
    <n v="1"/>
    <x v="1"/>
    <n v="65"/>
    <n v="4"/>
    <x v="1"/>
    <x v="1"/>
    <n v="1"/>
    <x v="0"/>
    <n v="3424"/>
    <n v="21632"/>
    <n v="7"/>
    <s v="Y"/>
    <x v="1"/>
    <n v="13"/>
    <n v="3"/>
    <n v="3"/>
    <n v="80"/>
    <n v="0"/>
    <n v="6"/>
    <n v="3"/>
    <n v="2"/>
    <x v="9"/>
    <n v="3"/>
    <n v="0"/>
    <n v="1"/>
  </r>
  <r>
    <n v="33"/>
    <x v="1"/>
    <n v="0"/>
    <s v="Travel_Rarely"/>
    <n v="586"/>
    <x v="0"/>
    <n v="1"/>
    <n v="3"/>
    <x v="2"/>
    <n v="1"/>
    <n v="855"/>
    <n v="1"/>
    <x v="1"/>
    <n v="48"/>
    <n v="4"/>
    <x v="0"/>
    <x v="0"/>
    <n v="1"/>
    <x v="2"/>
    <n v="4037"/>
    <n v="21816"/>
    <n v="1"/>
    <s v="Y"/>
    <x v="1"/>
    <n v="22"/>
    <n v="4"/>
    <n v="1"/>
    <n v="80"/>
    <n v="1"/>
    <n v="9"/>
    <n v="5"/>
    <n v="3"/>
    <x v="7"/>
    <n v="8"/>
    <n v="0"/>
    <n v="8"/>
  </r>
  <r>
    <n v="35"/>
    <x v="1"/>
    <n v="0"/>
    <s v="Travel_Rarely"/>
    <n v="1343"/>
    <x v="1"/>
    <n v="27"/>
    <n v="1"/>
    <x v="2"/>
    <n v="1"/>
    <n v="856"/>
    <n v="3"/>
    <x v="0"/>
    <n v="53"/>
    <n v="2"/>
    <x v="1"/>
    <x v="1"/>
    <n v="1"/>
    <x v="0"/>
    <n v="2559"/>
    <n v="17852"/>
    <n v="1"/>
    <s v="Y"/>
    <x v="1"/>
    <n v="11"/>
    <n v="3"/>
    <n v="4"/>
    <n v="80"/>
    <n v="0"/>
    <n v="6"/>
    <n v="3"/>
    <n v="2"/>
    <x v="0"/>
    <n v="5"/>
    <n v="1"/>
    <n v="1"/>
  </r>
  <r>
    <n v="36"/>
    <x v="1"/>
    <n v="0"/>
    <s v="Travel_Rarely"/>
    <n v="928"/>
    <x v="0"/>
    <n v="1"/>
    <n v="2"/>
    <x v="0"/>
    <n v="1"/>
    <n v="857"/>
    <n v="2"/>
    <x v="1"/>
    <n v="56"/>
    <n v="3"/>
    <x v="0"/>
    <x v="0"/>
    <n v="4"/>
    <x v="1"/>
    <n v="6201"/>
    <n v="2823"/>
    <n v="1"/>
    <s v="Y"/>
    <x v="0"/>
    <n v="14"/>
    <n v="3"/>
    <n v="4"/>
    <n v="80"/>
    <n v="1"/>
    <n v="18"/>
    <n v="1"/>
    <n v="2"/>
    <x v="29"/>
    <n v="14"/>
    <n v="4"/>
    <n v="11"/>
  </r>
  <r>
    <n v="32"/>
    <x v="1"/>
    <n v="0"/>
    <s v="Travel_Rarely"/>
    <n v="117"/>
    <x v="0"/>
    <n v="13"/>
    <n v="4"/>
    <x v="0"/>
    <n v="1"/>
    <n v="859"/>
    <n v="2"/>
    <x v="1"/>
    <n v="73"/>
    <n v="3"/>
    <x v="0"/>
    <x v="0"/>
    <n v="4"/>
    <x v="2"/>
    <n v="4403"/>
    <n v="9250"/>
    <n v="2"/>
    <s v="Y"/>
    <x v="1"/>
    <n v="11"/>
    <n v="3"/>
    <n v="3"/>
    <n v="80"/>
    <n v="1"/>
    <n v="8"/>
    <n v="3"/>
    <n v="2"/>
    <x v="8"/>
    <n v="2"/>
    <n v="0"/>
    <n v="3"/>
  </r>
  <r>
    <n v="30"/>
    <x v="1"/>
    <n v="0"/>
    <s v="Travel_Frequently"/>
    <n v="1012"/>
    <x v="1"/>
    <n v="5"/>
    <n v="4"/>
    <x v="0"/>
    <n v="1"/>
    <n v="861"/>
    <n v="2"/>
    <x v="1"/>
    <n v="75"/>
    <n v="2"/>
    <x v="1"/>
    <x v="1"/>
    <n v="4"/>
    <x v="2"/>
    <n v="3761"/>
    <n v="2373"/>
    <n v="9"/>
    <s v="Y"/>
    <x v="1"/>
    <n v="12"/>
    <n v="3"/>
    <n v="2"/>
    <n v="80"/>
    <n v="1"/>
    <n v="10"/>
    <n v="3"/>
    <n v="2"/>
    <x v="8"/>
    <n v="4"/>
    <n v="0"/>
    <n v="3"/>
  </r>
  <r>
    <n v="53"/>
    <x v="1"/>
    <n v="0"/>
    <s v="Travel_Rarely"/>
    <n v="661"/>
    <x v="0"/>
    <n v="7"/>
    <n v="2"/>
    <x v="3"/>
    <n v="1"/>
    <n v="862"/>
    <n v="1"/>
    <x v="0"/>
    <n v="78"/>
    <n v="2"/>
    <x v="2"/>
    <x v="0"/>
    <n v="4"/>
    <x v="1"/>
    <n v="10934"/>
    <n v="20715"/>
    <n v="7"/>
    <s v="Y"/>
    <x v="0"/>
    <n v="18"/>
    <n v="3"/>
    <n v="4"/>
    <n v="80"/>
    <n v="1"/>
    <n v="35"/>
    <n v="3"/>
    <n v="3"/>
    <x v="8"/>
    <n v="2"/>
    <n v="0"/>
    <n v="4"/>
  </r>
  <r>
    <n v="45"/>
    <x v="1"/>
    <n v="0"/>
    <s v="Travel_Rarely"/>
    <n v="930"/>
    <x v="0"/>
    <n v="9"/>
    <n v="3"/>
    <x v="3"/>
    <n v="1"/>
    <n v="864"/>
    <n v="4"/>
    <x v="1"/>
    <n v="74"/>
    <n v="3"/>
    <x v="2"/>
    <x v="0"/>
    <n v="1"/>
    <x v="2"/>
    <n v="10761"/>
    <n v="19239"/>
    <n v="4"/>
    <s v="Y"/>
    <x v="0"/>
    <n v="12"/>
    <n v="3"/>
    <n v="3"/>
    <n v="80"/>
    <n v="1"/>
    <n v="18"/>
    <n v="2"/>
    <n v="3"/>
    <x v="8"/>
    <n v="4"/>
    <n v="0"/>
    <n v="2"/>
  </r>
  <r>
    <n v="32"/>
    <x v="1"/>
    <n v="0"/>
    <s v="Travel_Rarely"/>
    <n v="638"/>
    <x v="1"/>
    <n v="8"/>
    <n v="2"/>
    <x v="2"/>
    <n v="1"/>
    <n v="865"/>
    <n v="3"/>
    <x v="0"/>
    <n v="91"/>
    <n v="4"/>
    <x v="0"/>
    <x v="1"/>
    <n v="3"/>
    <x v="1"/>
    <n v="5175"/>
    <n v="22162"/>
    <n v="5"/>
    <s v="Y"/>
    <x v="1"/>
    <n v="12"/>
    <n v="3"/>
    <n v="3"/>
    <n v="80"/>
    <n v="1"/>
    <n v="9"/>
    <n v="3"/>
    <n v="2"/>
    <x v="8"/>
    <n v="3"/>
    <n v="1"/>
    <n v="3"/>
  </r>
  <r>
    <n v="52"/>
    <x v="1"/>
    <n v="0"/>
    <s v="Travel_Frequently"/>
    <n v="890"/>
    <x v="1"/>
    <n v="25"/>
    <n v="4"/>
    <x v="2"/>
    <n v="1"/>
    <n v="867"/>
    <n v="3"/>
    <x v="0"/>
    <n v="81"/>
    <n v="2"/>
    <x v="3"/>
    <x v="3"/>
    <n v="4"/>
    <x v="1"/>
    <n v="13826"/>
    <n v="19028"/>
    <n v="3"/>
    <s v="Y"/>
    <x v="1"/>
    <n v="22"/>
    <n v="4"/>
    <n v="3"/>
    <n v="80"/>
    <n v="0"/>
    <n v="31"/>
    <n v="3"/>
    <n v="3"/>
    <x v="7"/>
    <n v="8"/>
    <n v="0"/>
    <n v="0"/>
  </r>
  <r>
    <n v="37"/>
    <x v="1"/>
    <n v="0"/>
    <s v="Travel_Rarely"/>
    <n v="342"/>
    <x v="0"/>
    <n v="16"/>
    <n v="4"/>
    <x v="3"/>
    <n v="1"/>
    <n v="868"/>
    <n v="4"/>
    <x v="1"/>
    <n v="66"/>
    <n v="2"/>
    <x v="0"/>
    <x v="0"/>
    <n v="3"/>
    <x v="2"/>
    <n v="6334"/>
    <n v="24558"/>
    <n v="4"/>
    <s v="Y"/>
    <x v="1"/>
    <n v="19"/>
    <n v="3"/>
    <n v="4"/>
    <n v="80"/>
    <n v="2"/>
    <n v="9"/>
    <n v="2"/>
    <n v="3"/>
    <x v="6"/>
    <n v="0"/>
    <n v="0"/>
    <n v="0"/>
  </r>
  <r>
    <n v="28"/>
    <x v="1"/>
    <n v="0"/>
    <s v="Travel_Rarely"/>
    <n v="1169"/>
    <x v="2"/>
    <n v="8"/>
    <n v="2"/>
    <x v="2"/>
    <n v="1"/>
    <n v="869"/>
    <n v="2"/>
    <x v="1"/>
    <n v="63"/>
    <n v="2"/>
    <x v="1"/>
    <x v="8"/>
    <n v="4"/>
    <x v="2"/>
    <n v="4936"/>
    <n v="23965"/>
    <n v="1"/>
    <s v="Y"/>
    <x v="1"/>
    <n v="13"/>
    <n v="3"/>
    <n v="4"/>
    <n v="80"/>
    <n v="1"/>
    <n v="6"/>
    <n v="6"/>
    <n v="3"/>
    <x v="8"/>
    <n v="1"/>
    <n v="0"/>
    <n v="4"/>
  </r>
  <r>
    <n v="22"/>
    <x v="1"/>
    <n v="0"/>
    <s v="Travel_Rarely"/>
    <n v="1230"/>
    <x v="1"/>
    <n v="1"/>
    <n v="2"/>
    <x v="0"/>
    <n v="1"/>
    <n v="872"/>
    <n v="4"/>
    <x v="1"/>
    <n v="33"/>
    <n v="2"/>
    <x v="0"/>
    <x v="3"/>
    <n v="4"/>
    <x v="1"/>
    <n v="4775"/>
    <n v="19146"/>
    <n v="6"/>
    <s v="Y"/>
    <x v="1"/>
    <n v="22"/>
    <n v="4"/>
    <n v="1"/>
    <n v="80"/>
    <n v="2"/>
    <n v="4"/>
    <n v="2"/>
    <n v="1"/>
    <x v="4"/>
    <n v="2"/>
    <n v="2"/>
    <n v="2"/>
  </r>
  <r>
    <n v="44"/>
    <x v="1"/>
    <n v="0"/>
    <s v="Travel_Rarely"/>
    <n v="986"/>
    <x v="1"/>
    <n v="8"/>
    <n v="4"/>
    <x v="0"/>
    <n v="1"/>
    <n v="874"/>
    <n v="1"/>
    <x v="1"/>
    <n v="62"/>
    <n v="4"/>
    <x v="1"/>
    <x v="2"/>
    <n v="4"/>
    <x v="1"/>
    <n v="2818"/>
    <n v="5044"/>
    <n v="2"/>
    <s v="Y"/>
    <x v="0"/>
    <n v="24"/>
    <n v="4"/>
    <n v="3"/>
    <n v="80"/>
    <n v="1"/>
    <n v="10"/>
    <n v="2"/>
    <n v="2"/>
    <x v="11"/>
    <n v="2"/>
    <n v="0"/>
    <n v="2"/>
  </r>
  <r>
    <n v="42"/>
    <x v="1"/>
    <n v="0"/>
    <s v="Travel_Frequently"/>
    <n v="1271"/>
    <x v="1"/>
    <n v="2"/>
    <n v="1"/>
    <x v="2"/>
    <n v="1"/>
    <n v="875"/>
    <n v="2"/>
    <x v="1"/>
    <n v="35"/>
    <n v="3"/>
    <x v="1"/>
    <x v="1"/>
    <n v="4"/>
    <x v="0"/>
    <n v="2515"/>
    <n v="9068"/>
    <n v="5"/>
    <s v="Y"/>
    <x v="0"/>
    <n v="14"/>
    <n v="3"/>
    <n v="4"/>
    <n v="80"/>
    <n v="0"/>
    <n v="8"/>
    <n v="2"/>
    <n v="3"/>
    <x v="4"/>
    <n v="1"/>
    <n v="2"/>
    <n v="2"/>
  </r>
  <r>
    <n v="36"/>
    <x v="1"/>
    <n v="0"/>
    <s v="Travel_Rarely"/>
    <n v="1278"/>
    <x v="2"/>
    <n v="8"/>
    <n v="3"/>
    <x v="0"/>
    <n v="1"/>
    <n v="878"/>
    <n v="1"/>
    <x v="1"/>
    <n v="77"/>
    <n v="2"/>
    <x v="1"/>
    <x v="8"/>
    <n v="1"/>
    <x v="1"/>
    <n v="2342"/>
    <n v="8635"/>
    <n v="0"/>
    <s v="Y"/>
    <x v="1"/>
    <n v="21"/>
    <n v="4"/>
    <n v="3"/>
    <n v="80"/>
    <n v="0"/>
    <n v="6"/>
    <n v="3"/>
    <n v="3"/>
    <x v="8"/>
    <n v="4"/>
    <n v="0"/>
    <n v="3"/>
  </r>
  <r>
    <n v="25"/>
    <x v="1"/>
    <n v="0"/>
    <s v="Travel_Rarely"/>
    <n v="141"/>
    <x v="0"/>
    <n v="3"/>
    <n v="1"/>
    <x v="1"/>
    <n v="1"/>
    <n v="879"/>
    <n v="3"/>
    <x v="1"/>
    <n v="98"/>
    <n v="3"/>
    <x v="0"/>
    <x v="0"/>
    <n v="1"/>
    <x v="1"/>
    <n v="4194"/>
    <n v="14363"/>
    <n v="1"/>
    <s v="Y"/>
    <x v="0"/>
    <n v="18"/>
    <n v="3"/>
    <n v="4"/>
    <n v="80"/>
    <n v="0"/>
    <n v="5"/>
    <n v="3"/>
    <n v="3"/>
    <x v="8"/>
    <n v="3"/>
    <n v="0"/>
    <n v="3"/>
  </r>
  <r>
    <n v="35"/>
    <x v="1"/>
    <n v="0"/>
    <s v="Travel_Rarely"/>
    <n v="607"/>
    <x v="1"/>
    <n v="9"/>
    <n v="3"/>
    <x v="0"/>
    <n v="1"/>
    <n v="880"/>
    <n v="4"/>
    <x v="0"/>
    <n v="66"/>
    <n v="2"/>
    <x v="2"/>
    <x v="3"/>
    <n v="3"/>
    <x v="1"/>
    <n v="10685"/>
    <n v="23457"/>
    <n v="1"/>
    <s v="Y"/>
    <x v="0"/>
    <n v="20"/>
    <n v="4"/>
    <n v="2"/>
    <n v="80"/>
    <n v="1"/>
    <n v="17"/>
    <n v="2"/>
    <n v="3"/>
    <x v="18"/>
    <n v="14"/>
    <n v="5"/>
    <n v="15"/>
  </r>
  <r>
    <n v="35"/>
    <x v="0"/>
    <n v="1"/>
    <s v="Travel_Frequently"/>
    <n v="130"/>
    <x v="1"/>
    <n v="25"/>
    <n v="4"/>
    <x v="0"/>
    <n v="1"/>
    <n v="881"/>
    <n v="4"/>
    <x v="0"/>
    <n v="96"/>
    <n v="3"/>
    <x v="1"/>
    <x v="1"/>
    <n v="2"/>
    <x v="2"/>
    <n v="2022"/>
    <n v="16612"/>
    <n v="1"/>
    <s v="Y"/>
    <x v="0"/>
    <n v="19"/>
    <n v="3"/>
    <n v="1"/>
    <n v="80"/>
    <n v="1"/>
    <n v="10"/>
    <n v="3"/>
    <n v="2"/>
    <x v="1"/>
    <n v="2"/>
    <n v="7"/>
    <n v="8"/>
  </r>
  <r>
    <n v="32"/>
    <x v="1"/>
    <n v="0"/>
    <s v="Non-Travel"/>
    <n v="300"/>
    <x v="1"/>
    <n v="1"/>
    <n v="3"/>
    <x v="0"/>
    <n v="1"/>
    <n v="882"/>
    <n v="4"/>
    <x v="1"/>
    <n v="61"/>
    <n v="3"/>
    <x v="1"/>
    <x v="2"/>
    <n v="4"/>
    <x v="2"/>
    <n v="2314"/>
    <n v="9148"/>
    <n v="0"/>
    <s v="Y"/>
    <x v="1"/>
    <n v="12"/>
    <n v="3"/>
    <n v="2"/>
    <n v="80"/>
    <n v="1"/>
    <n v="4"/>
    <n v="2"/>
    <n v="3"/>
    <x v="11"/>
    <n v="0"/>
    <n v="0"/>
    <n v="2"/>
  </r>
  <r>
    <n v="25"/>
    <x v="1"/>
    <n v="0"/>
    <s v="Travel_Rarely"/>
    <n v="583"/>
    <x v="0"/>
    <n v="4"/>
    <n v="1"/>
    <x v="3"/>
    <n v="1"/>
    <n v="885"/>
    <n v="3"/>
    <x v="1"/>
    <n v="87"/>
    <n v="2"/>
    <x v="0"/>
    <x v="0"/>
    <n v="1"/>
    <x v="1"/>
    <n v="4256"/>
    <n v="18154"/>
    <n v="1"/>
    <s v="Y"/>
    <x v="1"/>
    <n v="12"/>
    <n v="3"/>
    <n v="1"/>
    <n v="80"/>
    <n v="0"/>
    <n v="5"/>
    <n v="1"/>
    <n v="4"/>
    <x v="8"/>
    <n v="2"/>
    <n v="0"/>
    <n v="3"/>
  </r>
  <r>
    <n v="49"/>
    <x v="1"/>
    <n v="0"/>
    <s v="Travel_Rarely"/>
    <n v="1418"/>
    <x v="1"/>
    <n v="1"/>
    <n v="3"/>
    <x v="4"/>
    <n v="1"/>
    <n v="887"/>
    <n v="3"/>
    <x v="0"/>
    <n v="36"/>
    <n v="3"/>
    <x v="1"/>
    <x v="1"/>
    <n v="1"/>
    <x v="1"/>
    <n v="3580"/>
    <n v="10554"/>
    <n v="2"/>
    <s v="Y"/>
    <x v="1"/>
    <n v="16"/>
    <n v="3"/>
    <n v="2"/>
    <n v="80"/>
    <n v="1"/>
    <n v="7"/>
    <n v="2"/>
    <n v="3"/>
    <x v="9"/>
    <n v="2"/>
    <n v="0"/>
    <n v="2"/>
  </r>
  <r>
    <n v="24"/>
    <x v="1"/>
    <n v="0"/>
    <s v="Non-Travel"/>
    <n v="1269"/>
    <x v="1"/>
    <n v="4"/>
    <n v="1"/>
    <x v="0"/>
    <n v="1"/>
    <n v="888"/>
    <n v="1"/>
    <x v="1"/>
    <n v="46"/>
    <n v="2"/>
    <x v="1"/>
    <x v="2"/>
    <n v="4"/>
    <x v="1"/>
    <n v="3162"/>
    <n v="10778"/>
    <n v="0"/>
    <s v="Y"/>
    <x v="1"/>
    <n v="17"/>
    <n v="3"/>
    <n v="4"/>
    <n v="80"/>
    <n v="0"/>
    <n v="6"/>
    <n v="2"/>
    <n v="2"/>
    <x v="8"/>
    <n v="2"/>
    <n v="3"/>
    <n v="4"/>
  </r>
  <r>
    <n v="32"/>
    <x v="1"/>
    <n v="0"/>
    <s v="Travel_Frequently"/>
    <n v="379"/>
    <x v="0"/>
    <n v="5"/>
    <n v="2"/>
    <x v="0"/>
    <n v="1"/>
    <n v="889"/>
    <n v="2"/>
    <x v="1"/>
    <n v="48"/>
    <n v="3"/>
    <x v="0"/>
    <x v="0"/>
    <n v="2"/>
    <x v="1"/>
    <n v="6524"/>
    <n v="8891"/>
    <n v="1"/>
    <s v="Y"/>
    <x v="1"/>
    <n v="14"/>
    <n v="3"/>
    <n v="4"/>
    <n v="80"/>
    <n v="1"/>
    <n v="10"/>
    <n v="3"/>
    <n v="3"/>
    <x v="1"/>
    <n v="8"/>
    <n v="5"/>
    <n v="3"/>
  </r>
  <r>
    <n v="38"/>
    <x v="1"/>
    <n v="0"/>
    <s v="Travel_Rarely"/>
    <n v="395"/>
    <x v="0"/>
    <n v="9"/>
    <n v="3"/>
    <x v="3"/>
    <n v="1"/>
    <n v="893"/>
    <n v="2"/>
    <x v="1"/>
    <n v="98"/>
    <n v="2"/>
    <x v="1"/>
    <x v="6"/>
    <n v="2"/>
    <x v="1"/>
    <n v="2899"/>
    <n v="12102"/>
    <n v="0"/>
    <s v="Y"/>
    <x v="1"/>
    <n v="19"/>
    <n v="3"/>
    <n v="4"/>
    <n v="80"/>
    <n v="1"/>
    <n v="3"/>
    <n v="3"/>
    <n v="3"/>
    <x v="4"/>
    <n v="2"/>
    <n v="1"/>
    <n v="2"/>
  </r>
  <r>
    <n v="42"/>
    <x v="1"/>
    <n v="0"/>
    <s v="Travel_Rarely"/>
    <n v="1265"/>
    <x v="1"/>
    <n v="3"/>
    <n v="3"/>
    <x v="0"/>
    <n v="1"/>
    <n v="894"/>
    <n v="3"/>
    <x v="0"/>
    <n v="95"/>
    <n v="4"/>
    <x v="0"/>
    <x v="2"/>
    <n v="4"/>
    <x v="1"/>
    <n v="5231"/>
    <n v="23726"/>
    <n v="2"/>
    <s v="Y"/>
    <x v="0"/>
    <n v="13"/>
    <n v="3"/>
    <n v="2"/>
    <n v="80"/>
    <n v="1"/>
    <n v="17"/>
    <n v="1"/>
    <n v="2"/>
    <x v="8"/>
    <n v="3"/>
    <n v="1"/>
    <n v="3"/>
  </r>
  <r>
    <n v="31"/>
    <x v="1"/>
    <n v="0"/>
    <s v="Travel_Rarely"/>
    <n v="1222"/>
    <x v="1"/>
    <n v="11"/>
    <n v="4"/>
    <x v="0"/>
    <n v="1"/>
    <n v="895"/>
    <n v="4"/>
    <x v="1"/>
    <n v="48"/>
    <n v="3"/>
    <x v="1"/>
    <x v="1"/>
    <n v="4"/>
    <x v="1"/>
    <n v="2356"/>
    <n v="14871"/>
    <n v="3"/>
    <s v="Y"/>
    <x v="0"/>
    <n v="19"/>
    <n v="3"/>
    <n v="2"/>
    <n v="80"/>
    <n v="1"/>
    <n v="8"/>
    <n v="2"/>
    <n v="3"/>
    <x v="0"/>
    <n v="4"/>
    <n v="0"/>
    <n v="2"/>
  </r>
  <r>
    <n v="29"/>
    <x v="0"/>
    <n v="1"/>
    <s v="Travel_Rarely"/>
    <n v="341"/>
    <x v="0"/>
    <n v="1"/>
    <n v="3"/>
    <x v="2"/>
    <n v="1"/>
    <n v="896"/>
    <n v="2"/>
    <x v="0"/>
    <n v="48"/>
    <n v="2"/>
    <x v="1"/>
    <x v="6"/>
    <n v="3"/>
    <x v="2"/>
    <n v="2800"/>
    <n v="23522"/>
    <n v="6"/>
    <s v="Y"/>
    <x v="0"/>
    <n v="19"/>
    <n v="3"/>
    <n v="3"/>
    <n v="80"/>
    <n v="3"/>
    <n v="5"/>
    <n v="3"/>
    <n v="3"/>
    <x v="11"/>
    <n v="2"/>
    <n v="0"/>
    <n v="2"/>
  </r>
  <r>
    <n v="53"/>
    <x v="1"/>
    <n v="0"/>
    <s v="Travel_Rarely"/>
    <n v="868"/>
    <x v="0"/>
    <n v="8"/>
    <n v="3"/>
    <x v="3"/>
    <n v="1"/>
    <n v="897"/>
    <n v="1"/>
    <x v="1"/>
    <n v="73"/>
    <n v="3"/>
    <x v="3"/>
    <x v="0"/>
    <n v="4"/>
    <x v="1"/>
    <n v="11836"/>
    <n v="22789"/>
    <n v="5"/>
    <s v="Y"/>
    <x v="1"/>
    <n v="14"/>
    <n v="3"/>
    <n v="3"/>
    <n v="80"/>
    <n v="1"/>
    <n v="28"/>
    <n v="3"/>
    <n v="3"/>
    <x v="4"/>
    <n v="0"/>
    <n v="2"/>
    <n v="2"/>
  </r>
  <r>
    <n v="35"/>
    <x v="1"/>
    <n v="0"/>
    <s v="Travel_Rarely"/>
    <n v="672"/>
    <x v="1"/>
    <n v="25"/>
    <n v="3"/>
    <x v="4"/>
    <n v="1"/>
    <n v="899"/>
    <n v="4"/>
    <x v="1"/>
    <n v="78"/>
    <n v="2"/>
    <x v="2"/>
    <x v="3"/>
    <n v="2"/>
    <x v="1"/>
    <n v="10903"/>
    <n v="9129"/>
    <n v="3"/>
    <s v="Y"/>
    <x v="1"/>
    <n v="16"/>
    <n v="3"/>
    <n v="1"/>
    <n v="80"/>
    <n v="0"/>
    <n v="16"/>
    <n v="2"/>
    <n v="3"/>
    <x v="20"/>
    <n v="10"/>
    <n v="4"/>
    <n v="8"/>
  </r>
  <r>
    <n v="37"/>
    <x v="1"/>
    <n v="0"/>
    <s v="Travel_Frequently"/>
    <n v="1231"/>
    <x v="0"/>
    <n v="21"/>
    <n v="2"/>
    <x v="2"/>
    <n v="1"/>
    <n v="900"/>
    <n v="3"/>
    <x v="0"/>
    <n v="54"/>
    <n v="3"/>
    <x v="1"/>
    <x v="6"/>
    <n v="4"/>
    <x v="1"/>
    <n v="2973"/>
    <n v="21222"/>
    <n v="5"/>
    <s v="Y"/>
    <x v="1"/>
    <n v="15"/>
    <n v="3"/>
    <n v="2"/>
    <n v="80"/>
    <n v="1"/>
    <n v="10"/>
    <n v="3"/>
    <n v="3"/>
    <x v="8"/>
    <n v="4"/>
    <n v="0"/>
    <n v="0"/>
  </r>
  <r>
    <n v="53"/>
    <x v="1"/>
    <n v="0"/>
    <s v="Travel_Rarely"/>
    <n v="102"/>
    <x v="1"/>
    <n v="23"/>
    <n v="4"/>
    <x v="0"/>
    <n v="1"/>
    <n v="901"/>
    <n v="4"/>
    <x v="0"/>
    <n v="72"/>
    <n v="3"/>
    <x v="3"/>
    <x v="7"/>
    <n v="4"/>
    <x v="0"/>
    <n v="14275"/>
    <n v="20206"/>
    <n v="6"/>
    <s v="Y"/>
    <x v="1"/>
    <n v="18"/>
    <n v="3"/>
    <n v="3"/>
    <n v="80"/>
    <n v="0"/>
    <n v="33"/>
    <n v="0"/>
    <n v="3"/>
    <x v="12"/>
    <n v="9"/>
    <n v="3"/>
    <n v="8"/>
  </r>
  <r>
    <n v="43"/>
    <x v="1"/>
    <n v="0"/>
    <s v="Travel_Frequently"/>
    <n v="422"/>
    <x v="1"/>
    <n v="1"/>
    <n v="3"/>
    <x v="0"/>
    <n v="1"/>
    <n v="902"/>
    <n v="4"/>
    <x v="0"/>
    <n v="33"/>
    <n v="3"/>
    <x v="0"/>
    <x v="4"/>
    <n v="4"/>
    <x v="1"/>
    <n v="5562"/>
    <n v="21782"/>
    <n v="4"/>
    <s v="Y"/>
    <x v="1"/>
    <n v="13"/>
    <n v="3"/>
    <n v="2"/>
    <n v="80"/>
    <n v="1"/>
    <n v="12"/>
    <n v="2"/>
    <n v="2"/>
    <x v="8"/>
    <n v="2"/>
    <n v="2"/>
    <n v="2"/>
  </r>
  <r>
    <n v="47"/>
    <x v="1"/>
    <n v="0"/>
    <s v="Travel_Rarely"/>
    <n v="249"/>
    <x v="0"/>
    <n v="2"/>
    <n v="2"/>
    <x v="3"/>
    <n v="1"/>
    <n v="903"/>
    <n v="3"/>
    <x v="0"/>
    <n v="35"/>
    <n v="3"/>
    <x v="0"/>
    <x v="0"/>
    <n v="4"/>
    <x v="1"/>
    <n v="4537"/>
    <n v="17783"/>
    <n v="0"/>
    <s v="Y"/>
    <x v="0"/>
    <n v="22"/>
    <n v="4"/>
    <n v="1"/>
    <n v="80"/>
    <n v="1"/>
    <n v="8"/>
    <n v="2"/>
    <n v="3"/>
    <x v="5"/>
    <n v="6"/>
    <n v="7"/>
    <n v="7"/>
  </r>
  <r>
    <n v="37"/>
    <x v="1"/>
    <n v="0"/>
    <s v="Non-Travel"/>
    <n v="1252"/>
    <x v="0"/>
    <n v="19"/>
    <n v="2"/>
    <x v="2"/>
    <n v="1"/>
    <n v="904"/>
    <n v="1"/>
    <x v="1"/>
    <n v="32"/>
    <n v="3"/>
    <x v="2"/>
    <x v="0"/>
    <n v="2"/>
    <x v="0"/>
    <n v="7642"/>
    <n v="4814"/>
    <n v="1"/>
    <s v="Y"/>
    <x v="0"/>
    <n v="13"/>
    <n v="3"/>
    <n v="4"/>
    <n v="80"/>
    <n v="0"/>
    <n v="10"/>
    <n v="2"/>
    <n v="3"/>
    <x v="1"/>
    <n v="0"/>
    <n v="0"/>
    <n v="9"/>
  </r>
  <r>
    <n v="50"/>
    <x v="1"/>
    <n v="0"/>
    <s v="Non-Travel"/>
    <n v="881"/>
    <x v="1"/>
    <n v="2"/>
    <n v="4"/>
    <x v="0"/>
    <n v="1"/>
    <n v="905"/>
    <n v="1"/>
    <x v="1"/>
    <n v="98"/>
    <n v="3"/>
    <x v="3"/>
    <x v="5"/>
    <n v="1"/>
    <x v="2"/>
    <n v="17924"/>
    <n v="4544"/>
    <n v="1"/>
    <s v="Y"/>
    <x v="1"/>
    <n v="11"/>
    <n v="3"/>
    <n v="4"/>
    <n v="80"/>
    <n v="1"/>
    <n v="31"/>
    <n v="3"/>
    <n v="3"/>
    <x v="31"/>
    <n v="6"/>
    <n v="14"/>
    <n v="7"/>
  </r>
  <r>
    <n v="39"/>
    <x v="1"/>
    <n v="0"/>
    <s v="Travel_Rarely"/>
    <n v="1383"/>
    <x v="2"/>
    <n v="2"/>
    <n v="3"/>
    <x v="0"/>
    <n v="1"/>
    <n v="909"/>
    <n v="4"/>
    <x v="0"/>
    <n v="42"/>
    <n v="2"/>
    <x v="0"/>
    <x v="8"/>
    <n v="4"/>
    <x v="1"/>
    <n v="5204"/>
    <n v="7790"/>
    <n v="8"/>
    <s v="Y"/>
    <x v="1"/>
    <n v="11"/>
    <n v="3"/>
    <n v="3"/>
    <n v="80"/>
    <n v="2"/>
    <n v="13"/>
    <n v="2"/>
    <n v="3"/>
    <x v="8"/>
    <n v="4"/>
    <n v="0"/>
    <n v="4"/>
  </r>
  <r>
    <n v="33"/>
    <x v="1"/>
    <n v="0"/>
    <s v="Travel_Rarely"/>
    <n v="1075"/>
    <x v="2"/>
    <n v="3"/>
    <n v="2"/>
    <x v="5"/>
    <n v="1"/>
    <n v="910"/>
    <n v="4"/>
    <x v="1"/>
    <n v="57"/>
    <n v="3"/>
    <x v="1"/>
    <x v="8"/>
    <n v="2"/>
    <x v="2"/>
    <n v="2277"/>
    <n v="22650"/>
    <n v="3"/>
    <s v="Y"/>
    <x v="0"/>
    <n v="11"/>
    <n v="3"/>
    <n v="3"/>
    <n v="80"/>
    <n v="1"/>
    <n v="7"/>
    <n v="4"/>
    <n v="4"/>
    <x v="9"/>
    <n v="3"/>
    <n v="0"/>
    <n v="3"/>
  </r>
  <r>
    <n v="32"/>
    <x v="0"/>
    <n v="1"/>
    <s v="Travel_Rarely"/>
    <n v="374"/>
    <x v="1"/>
    <n v="25"/>
    <n v="4"/>
    <x v="0"/>
    <n v="1"/>
    <n v="911"/>
    <n v="1"/>
    <x v="1"/>
    <n v="87"/>
    <n v="3"/>
    <x v="1"/>
    <x v="2"/>
    <n v="4"/>
    <x v="0"/>
    <n v="2795"/>
    <n v="18016"/>
    <n v="1"/>
    <s v="Y"/>
    <x v="0"/>
    <n v="24"/>
    <n v="4"/>
    <n v="3"/>
    <n v="80"/>
    <n v="0"/>
    <n v="1"/>
    <n v="2"/>
    <n v="1"/>
    <x v="6"/>
    <n v="0"/>
    <n v="0"/>
    <n v="1"/>
  </r>
  <r>
    <n v="29"/>
    <x v="1"/>
    <n v="0"/>
    <s v="Travel_Rarely"/>
    <n v="1086"/>
    <x v="1"/>
    <n v="7"/>
    <n v="1"/>
    <x v="2"/>
    <n v="1"/>
    <n v="912"/>
    <n v="1"/>
    <x v="0"/>
    <n v="62"/>
    <n v="2"/>
    <x v="1"/>
    <x v="2"/>
    <n v="4"/>
    <x v="2"/>
    <n v="2532"/>
    <n v="6054"/>
    <n v="6"/>
    <s v="Y"/>
    <x v="1"/>
    <n v="14"/>
    <n v="3"/>
    <n v="3"/>
    <n v="80"/>
    <n v="3"/>
    <n v="8"/>
    <n v="5"/>
    <n v="3"/>
    <x v="9"/>
    <n v="3"/>
    <n v="0"/>
    <n v="3"/>
  </r>
  <r>
    <n v="44"/>
    <x v="1"/>
    <n v="0"/>
    <s v="Travel_Rarely"/>
    <n v="661"/>
    <x v="1"/>
    <n v="9"/>
    <n v="2"/>
    <x v="0"/>
    <n v="1"/>
    <n v="913"/>
    <n v="2"/>
    <x v="1"/>
    <n v="61"/>
    <n v="3"/>
    <x v="1"/>
    <x v="1"/>
    <n v="1"/>
    <x v="1"/>
    <n v="2559"/>
    <n v="7508"/>
    <n v="1"/>
    <s v="Y"/>
    <x v="0"/>
    <n v="13"/>
    <n v="3"/>
    <n v="4"/>
    <n v="80"/>
    <n v="0"/>
    <n v="8"/>
    <n v="0"/>
    <n v="3"/>
    <x v="3"/>
    <n v="7"/>
    <n v="7"/>
    <n v="1"/>
  </r>
  <r>
    <n v="28"/>
    <x v="1"/>
    <n v="0"/>
    <s v="Travel_Rarely"/>
    <n v="821"/>
    <x v="0"/>
    <n v="5"/>
    <n v="4"/>
    <x v="2"/>
    <n v="1"/>
    <n v="916"/>
    <n v="1"/>
    <x v="1"/>
    <n v="98"/>
    <n v="3"/>
    <x v="0"/>
    <x v="0"/>
    <n v="4"/>
    <x v="0"/>
    <n v="4908"/>
    <n v="24252"/>
    <n v="1"/>
    <s v="Y"/>
    <x v="1"/>
    <n v="14"/>
    <n v="3"/>
    <n v="2"/>
    <n v="80"/>
    <n v="0"/>
    <n v="4"/>
    <n v="3"/>
    <n v="3"/>
    <x v="9"/>
    <n v="2"/>
    <n v="0"/>
    <n v="2"/>
  </r>
  <r>
    <n v="58"/>
    <x v="0"/>
    <n v="1"/>
    <s v="Travel_Frequently"/>
    <n v="781"/>
    <x v="1"/>
    <n v="2"/>
    <n v="1"/>
    <x v="0"/>
    <n v="1"/>
    <n v="918"/>
    <n v="4"/>
    <x v="1"/>
    <n v="57"/>
    <n v="2"/>
    <x v="1"/>
    <x v="2"/>
    <n v="4"/>
    <x v="2"/>
    <n v="2380"/>
    <n v="13384"/>
    <n v="9"/>
    <s v="Y"/>
    <x v="0"/>
    <n v="14"/>
    <n v="3"/>
    <n v="4"/>
    <n v="80"/>
    <n v="1"/>
    <n v="3"/>
    <n v="3"/>
    <n v="2"/>
    <x v="6"/>
    <n v="0"/>
    <n v="0"/>
    <n v="0"/>
  </r>
  <r>
    <n v="43"/>
    <x v="1"/>
    <n v="0"/>
    <s v="Travel_Rarely"/>
    <n v="177"/>
    <x v="1"/>
    <n v="8"/>
    <n v="3"/>
    <x v="0"/>
    <n v="1"/>
    <n v="920"/>
    <n v="1"/>
    <x v="0"/>
    <n v="55"/>
    <n v="3"/>
    <x v="0"/>
    <x v="3"/>
    <n v="2"/>
    <x v="2"/>
    <n v="4765"/>
    <n v="23814"/>
    <n v="4"/>
    <s v="Y"/>
    <x v="1"/>
    <n v="21"/>
    <n v="4"/>
    <n v="3"/>
    <n v="80"/>
    <n v="1"/>
    <n v="4"/>
    <n v="2"/>
    <n v="4"/>
    <x v="6"/>
    <n v="0"/>
    <n v="0"/>
    <n v="0"/>
  </r>
  <r>
    <n v="20"/>
    <x v="0"/>
    <n v="1"/>
    <s v="Travel_Rarely"/>
    <n v="500"/>
    <x v="0"/>
    <n v="2"/>
    <n v="3"/>
    <x v="2"/>
    <n v="1"/>
    <n v="922"/>
    <n v="3"/>
    <x v="0"/>
    <n v="49"/>
    <n v="2"/>
    <x v="1"/>
    <x v="6"/>
    <n v="3"/>
    <x v="0"/>
    <n v="2044"/>
    <n v="22052"/>
    <n v="1"/>
    <s v="Y"/>
    <x v="1"/>
    <n v="13"/>
    <n v="3"/>
    <n v="4"/>
    <n v="80"/>
    <n v="0"/>
    <n v="2"/>
    <n v="3"/>
    <n v="2"/>
    <x v="4"/>
    <n v="2"/>
    <n v="0"/>
    <n v="2"/>
  </r>
  <r>
    <n v="21"/>
    <x v="0"/>
    <n v="1"/>
    <s v="Travel_Rarely"/>
    <n v="1427"/>
    <x v="1"/>
    <n v="18"/>
    <n v="1"/>
    <x v="1"/>
    <n v="1"/>
    <n v="923"/>
    <n v="4"/>
    <x v="0"/>
    <n v="65"/>
    <n v="3"/>
    <x v="1"/>
    <x v="1"/>
    <n v="4"/>
    <x v="0"/>
    <n v="2693"/>
    <n v="8870"/>
    <n v="1"/>
    <s v="Y"/>
    <x v="1"/>
    <n v="19"/>
    <n v="3"/>
    <n v="1"/>
    <n v="80"/>
    <n v="0"/>
    <n v="1"/>
    <n v="3"/>
    <n v="2"/>
    <x v="6"/>
    <n v="0"/>
    <n v="0"/>
    <n v="0"/>
  </r>
  <r>
    <n v="36"/>
    <x v="1"/>
    <n v="0"/>
    <s v="Travel_Rarely"/>
    <n v="1425"/>
    <x v="1"/>
    <n v="14"/>
    <n v="1"/>
    <x v="0"/>
    <n v="1"/>
    <n v="924"/>
    <n v="3"/>
    <x v="1"/>
    <n v="68"/>
    <n v="3"/>
    <x v="0"/>
    <x v="4"/>
    <n v="4"/>
    <x v="1"/>
    <n v="6586"/>
    <n v="4821"/>
    <n v="0"/>
    <s v="Y"/>
    <x v="0"/>
    <n v="17"/>
    <n v="3"/>
    <n v="1"/>
    <n v="80"/>
    <n v="1"/>
    <n v="17"/>
    <n v="2"/>
    <n v="2"/>
    <x v="22"/>
    <n v="8"/>
    <n v="4"/>
    <n v="11"/>
  </r>
  <r>
    <n v="47"/>
    <x v="1"/>
    <n v="0"/>
    <s v="Travel_Rarely"/>
    <n v="1454"/>
    <x v="0"/>
    <n v="2"/>
    <n v="4"/>
    <x v="0"/>
    <n v="1"/>
    <n v="925"/>
    <n v="4"/>
    <x v="0"/>
    <n v="65"/>
    <n v="2"/>
    <x v="1"/>
    <x v="6"/>
    <n v="4"/>
    <x v="0"/>
    <n v="3294"/>
    <n v="13137"/>
    <n v="1"/>
    <s v="Y"/>
    <x v="0"/>
    <n v="18"/>
    <n v="3"/>
    <n v="1"/>
    <n v="80"/>
    <n v="0"/>
    <n v="3"/>
    <n v="3"/>
    <n v="2"/>
    <x v="11"/>
    <n v="2"/>
    <n v="1"/>
    <n v="2"/>
  </r>
  <r>
    <n v="22"/>
    <x v="0"/>
    <n v="1"/>
    <s v="Travel_Rarely"/>
    <n v="617"/>
    <x v="1"/>
    <n v="3"/>
    <n v="1"/>
    <x v="0"/>
    <n v="1"/>
    <n v="926"/>
    <n v="2"/>
    <x v="0"/>
    <n v="34"/>
    <n v="3"/>
    <x v="0"/>
    <x v="3"/>
    <n v="3"/>
    <x v="1"/>
    <n v="4171"/>
    <n v="10022"/>
    <n v="0"/>
    <s v="Y"/>
    <x v="0"/>
    <n v="19"/>
    <n v="3"/>
    <n v="1"/>
    <n v="80"/>
    <n v="1"/>
    <n v="4"/>
    <n v="3"/>
    <n v="4"/>
    <x v="11"/>
    <n v="2"/>
    <n v="0"/>
    <n v="2"/>
  </r>
  <r>
    <n v="41"/>
    <x v="0"/>
    <n v="1"/>
    <s v="Travel_Rarely"/>
    <n v="1085"/>
    <x v="1"/>
    <n v="2"/>
    <n v="4"/>
    <x v="0"/>
    <n v="1"/>
    <n v="927"/>
    <n v="2"/>
    <x v="0"/>
    <n v="57"/>
    <n v="1"/>
    <x v="1"/>
    <x v="2"/>
    <n v="4"/>
    <x v="2"/>
    <n v="2778"/>
    <n v="17725"/>
    <n v="4"/>
    <s v="Y"/>
    <x v="0"/>
    <n v="13"/>
    <n v="3"/>
    <n v="3"/>
    <n v="80"/>
    <n v="1"/>
    <n v="10"/>
    <n v="1"/>
    <n v="2"/>
    <x v="5"/>
    <n v="7"/>
    <n v="1"/>
    <n v="0"/>
  </r>
  <r>
    <n v="28"/>
    <x v="1"/>
    <n v="0"/>
    <s v="Travel_Rarely"/>
    <n v="995"/>
    <x v="1"/>
    <n v="9"/>
    <n v="3"/>
    <x v="2"/>
    <n v="1"/>
    <n v="930"/>
    <n v="3"/>
    <x v="0"/>
    <n v="77"/>
    <n v="3"/>
    <x v="1"/>
    <x v="1"/>
    <n v="3"/>
    <x v="2"/>
    <n v="2377"/>
    <n v="9834"/>
    <n v="5"/>
    <s v="Y"/>
    <x v="1"/>
    <n v="18"/>
    <n v="3"/>
    <n v="2"/>
    <n v="80"/>
    <n v="1"/>
    <n v="6"/>
    <n v="2"/>
    <n v="3"/>
    <x v="4"/>
    <n v="2"/>
    <n v="2"/>
    <n v="2"/>
  </r>
  <r>
    <n v="39"/>
    <x v="0"/>
    <n v="1"/>
    <s v="Travel_Rarely"/>
    <n v="1122"/>
    <x v="1"/>
    <n v="6"/>
    <n v="3"/>
    <x v="2"/>
    <n v="1"/>
    <n v="932"/>
    <n v="4"/>
    <x v="1"/>
    <n v="70"/>
    <n v="3"/>
    <x v="1"/>
    <x v="2"/>
    <n v="1"/>
    <x v="1"/>
    <n v="2404"/>
    <n v="4303"/>
    <n v="7"/>
    <s v="Y"/>
    <x v="0"/>
    <n v="21"/>
    <n v="4"/>
    <n v="4"/>
    <n v="80"/>
    <n v="0"/>
    <n v="8"/>
    <n v="2"/>
    <n v="1"/>
    <x v="4"/>
    <n v="2"/>
    <n v="2"/>
    <n v="2"/>
  </r>
  <r>
    <n v="27"/>
    <x v="1"/>
    <n v="0"/>
    <s v="Travel_Rarely"/>
    <n v="618"/>
    <x v="1"/>
    <n v="4"/>
    <n v="3"/>
    <x v="0"/>
    <n v="1"/>
    <n v="933"/>
    <n v="2"/>
    <x v="0"/>
    <n v="76"/>
    <n v="3"/>
    <x v="1"/>
    <x v="1"/>
    <n v="3"/>
    <x v="0"/>
    <n v="2318"/>
    <n v="17808"/>
    <n v="1"/>
    <s v="Y"/>
    <x v="1"/>
    <n v="19"/>
    <n v="3"/>
    <n v="3"/>
    <n v="80"/>
    <n v="0"/>
    <n v="1"/>
    <n v="2"/>
    <n v="3"/>
    <x v="6"/>
    <n v="1"/>
    <n v="0"/>
    <n v="0"/>
  </r>
  <r>
    <n v="34"/>
    <x v="1"/>
    <n v="0"/>
    <s v="Travel_Rarely"/>
    <n v="546"/>
    <x v="1"/>
    <n v="10"/>
    <n v="3"/>
    <x v="0"/>
    <n v="1"/>
    <n v="934"/>
    <n v="2"/>
    <x v="1"/>
    <n v="83"/>
    <n v="3"/>
    <x v="1"/>
    <x v="2"/>
    <n v="2"/>
    <x v="2"/>
    <n v="2008"/>
    <n v="6896"/>
    <n v="1"/>
    <s v="Y"/>
    <x v="1"/>
    <n v="14"/>
    <n v="3"/>
    <n v="2"/>
    <n v="80"/>
    <n v="2"/>
    <n v="1"/>
    <n v="3"/>
    <n v="3"/>
    <x v="6"/>
    <n v="0"/>
    <n v="1"/>
    <n v="0"/>
  </r>
  <r>
    <n v="42"/>
    <x v="1"/>
    <n v="0"/>
    <s v="Travel_Rarely"/>
    <n v="462"/>
    <x v="0"/>
    <n v="14"/>
    <n v="2"/>
    <x v="2"/>
    <n v="1"/>
    <n v="936"/>
    <n v="3"/>
    <x v="0"/>
    <n v="68"/>
    <n v="2"/>
    <x v="0"/>
    <x v="0"/>
    <n v="3"/>
    <x v="0"/>
    <n v="6244"/>
    <n v="7824"/>
    <n v="7"/>
    <s v="Y"/>
    <x v="1"/>
    <n v="17"/>
    <n v="3"/>
    <n v="1"/>
    <n v="80"/>
    <n v="0"/>
    <n v="10"/>
    <n v="6"/>
    <n v="3"/>
    <x v="8"/>
    <n v="4"/>
    <n v="0"/>
    <n v="3"/>
  </r>
  <r>
    <n v="33"/>
    <x v="1"/>
    <n v="0"/>
    <s v="Travel_Rarely"/>
    <n v="1198"/>
    <x v="1"/>
    <n v="1"/>
    <n v="4"/>
    <x v="1"/>
    <n v="1"/>
    <n v="939"/>
    <n v="3"/>
    <x v="1"/>
    <n v="100"/>
    <n v="2"/>
    <x v="1"/>
    <x v="1"/>
    <n v="1"/>
    <x v="0"/>
    <n v="2799"/>
    <n v="3339"/>
    <n v="3"/>
    <s v="Y"/>
    <x v="0"/>
    <n v="11"/>
    <n v="3"/>
    <n v="2"/>
    <n v="80"/>
    <n v="0"/>
    <n v="6"/>
    <n v="1"/>
    <n v="3"/>
    <x v="11"/>
    <n v="2"/>
    <n v="0"/>
    <n v="2"/>
  </r>
  <r>
    <n v="58"/>
    <x v="1"/>
    <n v="0"/>
    <s v="Travel_Rarely"/>
    <n v="1272"/>
    <x v="1"/>
    <n v="5"/>
    <n v="3"/>
    <x v="4"/>
    <n v="1"/>
    <n v="940"/>
    <n v="3"/>
    <x v="0"/>
    <n v="37"/>
    <n v="2"/>
    <x v="2"/>
    <x v="4"/>
    <n v="2"/>
    <x v="2"/>
    <n v="10552"/>
    <n v="9255"/>
    <n v="2"/>
    <s v="Y"/>
    <x v="0"/>
    <n v="13"/>
    <n v="3"/>
    <n v="4"/>
    <n v="80"/>
    <n v="1"/>
    <n v="24"/>
    <n v="3"/>
    <n v="3"/>
    <x v="0"/>
    <n v="0"/>
    <n v="0"/>
    <n v="4"/>
  </r>
  <r>
    <n v="31"/>
    <x v="1"/>
    <n v="0"/>
    <s v="Travel_Rarely"/>
    <n v="154"/>
    <x v="0"/>
    <n v="7"/>
    <n v="4"/>
    <x v="0"/>
    <n v="1"/>
    <n v="941"/>
    <n v="2"/>
    <x v="1"/>
    <n v="41"/>
    <n v="2"/>
    <x v="1"/>
    <x v="6"/>
    <n v="3"/>
    <x v="1"/>
    <n v="2329"/>
    <n v="11737"/>
    <n v="3"/>
    <s v="Y"/>
    <x v="1"/>
    <n v="15"/>
    <n v="3"/>
    <n v="2"/>
    <n v="80"/>
    <n v="0"/>
    <n v="13"/>
    <n v="2"/>
    <n v="4"/>
    <x v="5"/>
    <n v="7"/>
    <n v="5"/>
    <n v="2"/>
  </r>
  <r>
    <n v="35"/>
    <x v="1"/>
    <n v="0"/>
    <s v="Travel_Rarely"/>
    <n v="1137"/>
    <x v="1"/>
    <n v="21"/>
    <n v="1"/>
    <x v="0"/>
    <n v="1"/>
    <n v="942"/>
    <n v="4"/>
    <x v="0"/>
    <n v="51"/>
    <n v="3"/>
    <x v="0"/>
    <x v="4"/>
    <n v="4"/>
    <x v="1"/>
    <n v="4014"/>
    <n v="19170"/>
    <n v="1"/>
    <s v="Y"/>
    <x v="0"/>
    <n v="25"/>
    <n v="4"/>
    <n v="4"/>
    <n v="80"/>
    <n v="1"/>
    <n v="10"/>
    <n v="2"/>
    <n v="1"/>
    <x v="1"/>
    <n v="6"/>
    <n v="0"/>
    <n v="7"/>
  </r>
  <r>
    <n v="49"/>
    <x v="1"/>
    <n v="0"/>
    <s v="Travel_Rarely"/>
    <n v="527"/>
    <x v="1"/>
    <n v="8"/>
    <n v="2"/>
    <x v="1"/>
    <n v="1"/>
    <n v="944"/>
    <n v="1"/>
    <x v="0"/>
    <n v="51"/>
    <n v="3"/>
    <x v="2"/>
    <x v="2"/>
    <n v="2"/>
    <x v="1"/>
    <n v="7403"/>
    <n v="22477"/>
    <n v="4"/>
    <s v="Y"/>
    <x v="1"/>
    <n v="11"/>
    <n v="3"/>
    <n v="3"/>
    <n v="80"/>
    <n v="1"/>
    <n v="29"/>
    <n v="3"/>
    <n v="2"/>
    <x v="34"/>
    <n v="9"/>
    <n v="1"/>
    <n v="7"/>
  </r>
  <r>
    <n v="48"/>
    <x v="1"/>
    <n v="0"/>
    <s v="Travel_Rarely"/>
    <n v="1469"/>
    <x v="1"/>
    <n v="20"/>
    <n v="4"/>
    <x v="2"/>
    <n v="1"/>
    <n v="945"/>
    <n v="4"/>
    <x v="1"/>
    <n v="51"/>
    <n v="3"/>
    <x v="1"/>
    <x v="1"/>
    <n v="3"/>
    <x v="1"/>
    <n v="2259"/>
    <n v="5543"/>
    <n v="4"/>
    <s v="Y"/>
    <x v="1"/>
    <n v="17"/>
    <n v="3"/>
    <n v="1"/>
    <n v="80"/>
    <n v="2"/>
    <n v="13"/>
    <n v="2"/>
    <n v="2"/>
    <x v="2"/>
    <n v="0"/>
    <n v="0"/>
    <n v="0"/>
  </r>
  <r>
    <n v="31"/>
    <x v="1"/>
    <n v="0"/>
    <s v="Non-Travel"/>
    <n v="1188"/>
    <x v="0"/>
    <n v="20"/>
    <n v="2"/>
    <x v="3"/>
    <n v="1"/>
    <n v="947"/>
    <n v="4"/>
    <x v="0"/>
    <n v="45"/>
    <n v="3"/>
    <x v="0"/>
    <x v="0"/>
    <n v="3"/>
    <x v="1"/>
    <n v="6932"/>
    <n v="24406"/>
    <n v="1"/>
    <s v="Y"/>
    <x v="1"/>
    <n v="13"/>
    <n v="3"/>
    <n v="4"/>
    <n v="80"/>
    <n v="1"/>
    <n v="9"/>
    <n v="2"/>
    <n v="2"/>
    <x v="7"/>
    <n v="8"/>
    <n v="0"/>
    <n v="0"/>
  </r>
  <r>
    <n v="36"/>
    <x v="1"/>
    <n v="0"/>
    <s v="Travel_Rarely"/>
    <n v="188"/>
    <x v="1"/>
    <n v="7"/>
    <n v="4"/>
    <x v="1"/>
    <n v="1"/>
    <n v="949"/>
    <n v="2"/>
    <x v="1"/>
    <n v="65"/>
    <n v="3"/>
    <x v="1"/>
    <x v="1"/>
    <n v="4"/>
    <x v="0"/>
    <n v="4678"/>
    <n v="23293"/>
    <n v="2"/>
    <s v="Y"/>
    <x v="1"/>
    <n v="18"/>
    <n v="3"/>
    <n v="3"/>
    <n v="80"/>
    <n v="0"/>
    <n v="8"/>
    <n v="6"/>
    <n v="3"/>
    <x v="0"/>
    <n v="2"/>
    <n v="0"/>
    <n v="1"/>
  </r>
  <r>
    <n v="38"/>
    <x v="1"/>
    <n v="0"/>
    <s v="Travel_Rarely"/>
    <n v="1333"/>
    <x v="1"/>
    <n v="1"/>
    <n v="3"/>
    <x v="4"/>
    <n v="1"/>
    <n v="950"/>
    <n v="4"/>
    <x v="0"/>
    <n v="80"/>
    <n v="3"/>
    <x v="2"/>
    <x v="7"/>
    <n v="1"/>
    <x v="1"/>
    <n v="13582"/>
    <n v="16292"/>
    <n v="1"/>
    <s v="Y"/>
    <x v="1"/>
    <n v="13"/>
    <n v="3"/>
    <n v="2"/>
    <n v="80"/>
    <n v="1"/>
    <n v="15"/>
    <n v="3"/>
    <n v="3"/>
    <x v="15"/>
    <n v="12"/>
    <n v="5"/>
    <n v="11"/>
  </r>
  <r>
    <n v="32"/>
    <x v="1"/>
    <n v="0"/>
    <s v="Non-Travel"/>
    <n v="1184"/>
    <x v="1"/>
    <n v="1"/>
    <n v="3"/>
    <x v="0"/>
    <n v="1"/>
    <n v="951"/>
    <n v="3"/>
    <x v="0"/>
    <n v="70"/>
    <n v="2"/>
    <x v="1"/>
    <x v="2"/>
    <n v="2"/>
    <x v="1"/>
    <n v="2332"/>
    <n v="3974"/>
    <n v="6"/>
    <s v="Y"/>
    <x v="1"/>
    <n v="20"/>
    <n v="4"/>
    <n v="3"/>
    <n v="80"/>
    <n v="0"/>
    <n v="5"/>
    <n v="3"/>
    <n v="3"/>
    <x v="11"/>
    <n v="0"/>
    <n v="0"/>
    <n v="2"/>
  </r>
  <r>
    <n v="25"/>
    <x v="0"/>
    <n v="1"/>
    <s v="Travel_Rarely"/>
    <n v="867"/>
    <x v="0"/>
    <n v="19"/>
    <n v="2"/>
    <x v="3"/>
    <n v="1"/>
    <n v="952"/>
    <n v="3"/>
    <x v="1"/>
    <n v="36"/>
    <n v="2"/>
    <x v="1"/>
    <x v="6"/>
    <n v="2"/>
    <x v="1"/>
    <n v="2413"/>
    <n v="18798"/>
    <n v="1"/>
    <s v="Y"/>
    <x v="0"/>
    <n v="18"/>
    <n v="3"/>
    <n v="3"/>
    <n v="80"/>
    <n v="3"/>
    <n v="1"/>
    <n v="2"/>
    <n v="3"/>
    <x v="6"/>
    <n v="0"/>
    <n v="0"/>
    <n v="0"/>
  </r>
  <r>
    <n v="40"/>
    <x v="1"/>
    <n v="0"/>
    <s v="Travel_Rarely"/>
    <n v="658"/>
    <x v="0"/>
    <n v="10"/>
    <n v="4"/>
    <x v="3"/>
    <n v="1"/>
    <n v="954"/>
    <n v="1"/>
    <x v="1"/>
    <n v="67"/>
    <n v="2"/>
    <x v="2"/>
    <x v="0"/>
    <n v="2"/>
    <x v="2"/>
    <n v="9705"/>
    <n v="20652"/>
    <n v="2"/>
    <s v="Y"/>
    <x v="1"/>
    <n v="12"/>
    <n v="3"/>
    <n v="2"/>
    <n v="80"/>
    <n v="1"/>
    <n v="11"/>
    <n v="2"/>
    <n v="2"/>
    <x v="6"/>
    <n v="0"/>
    <n v="0"/>
    <n v="0"/>
  </r>
  <r>
    <n v="26"/>
    <x v="1"/>
    <n v="0"/>
    <s v="Travel_Frequently"/>
    <n v="1283"/>
    <x v="0"/>
    <n v="1"/>
    <n v="3"/>
    <x v="2"/>
    <n v="1"/>
    <n v="956"/>
    <n v="3"/>
    <x v="1"/>
    <n v="52"/>
    <n v="2"/>
    <x v="0"/>
    <x v="0"/>
    <n v="1"/>
    <x v="0"/>
    <n v="4294"/>
    <n v="11148"/>
    <n v="1"/>
    <s v="Y"/>
    <x v="1"/>
    <n v="12"/>
    <n v="3"/>
    <n v="2"/>
    <n v="80"/>
    <n v="0"/>
    <n v="7"/>
    <n v="2"/>
    <n v="3"/>
    <x v="5"/>
    <n v="7"/>
    <n v="0"/>
    <n v="7"/>
  </r>
  <r>
    <n v="41"/>
    <x v="1"/>
    <n v="0"/>
    <s v="Travel_Rarely"/>
    <n v="263"/>
    <x v="1"/>
    <n v="6"/>
    <n v="3"/>
    <x v="2"/>
    <n v="1"/>
    <n v="957"/>
    <n v="4"/>
    <x v="1"/>
    <n v="59"/>
    <n v="3"/>
    <x v="1"/>
    <x v="2"/>
    <n v="1"/>
    <x v="0"/>
    <n v="4721"/>
    <n v="3119"/>
    <n v="2"/>
    <s v="Y"/>
    <x v="0"/>
    <n v="13"/>
    <n v="3"/>
    <n v="3"/>
    <n v="80"/>
    <n v="0"/>
    <n v="20"/>
    <n v="3"/>
    <n v="3"/>
    <x v="29"/>
    <n v="13"/>
    <n v="2"/>
    <n v="17"/>
  </r>
  <r>
    <n v="36"/>
    <x v="1"/>
    <n v="0"/>
    <s v="Travel_Rarely"/>
    <n v="938"/>
    <x v="1"/>
    <n v="2"/>
    <n v="4"/>
    <x v="2"/>
    <n v="1"/>
    <n v="958"/>
    <n v="3"/>
    <x v="1"/>
    <n v="79"/>
    <n v="3"/>
    <x v="1"/>
    <x v="2"/>
    <n v="3"/>
    <x v="0"/>
    <n v="2519"/>
    <n v="12287"/>
    <n v="4"/>
    <s v="Y"/>
    <x v="1"/>
    <n v="21"/>
    <n v="4"/>
    <n v="3"/>
    <n v="80"/>
    <n v="0"/>
    <n v="16"/>
    <n v="6"/>
    <n v="3"/>
    <x v="19"/>
    <n v="8"/>
    <n v="3"/>
    <n v="9"/>
  </r>
  <r>
    <n v="19"/>
    <x v="0"/>
    <n v="1"/>
    <s v="Travel_Rarely"/>
    <n v="419"/>
    <x v="0"/>
    <n v="21"/>
    <n v="3"/>
    <x v="1"/>
    <n v="1"/>
    <n v="959"/>
    <n v="4"/>
    <x v="1"/>
    <n v="37"/>
    <n v="2"/>
    <x v="1"/>
    <x v="6"/>
    <n v="2"/>
    <x v="0"/>
    <n v="2121"/>
    <n v="9947"/>
    <n v="1"/>
    <s v="Y"/>
    <x v="0"/>
    <n v="13"/>
    <n v="3"/>
    <n v="2"/>
    <n v="80"/>
    <n v="0"/>
    <n v="1"/>
    <n v="3"/>
    <n v="4"/>
    <x v="6"/>
    <n v="0"/>
    <n v="0"/>
    <n v="0"/>
  </r>
  <r>
    <n v="20"/>
    <x v="0"/>
    <n v="1"/>
    <s v="Travel_Rarely"/>
    <n v="129"/>
    <x v="1"/>
    <n v="4"/>
    <n v="3"/>
    <x v="4"/>
    <n v="1"/>
    <n v="960"/>
    <n v="1"/>
    <x v="1"/>
    <n v="84"/>
    <n v="3"/>
    <x v="1"/>
    <x v="2"/>
    <n v="1"/>
    <x v="0"/>
    <n v="2973"/>
    <n v="13008"/>
    <n v="1"/>
    <s v="Y"/>
    <x v="1"/>
    <n v="19"/>
    <n v="3"/>
    <n v="2"/>
    <n v="80"/>
    <n v="0"/>
    <n v="1"/>
    <n v="2"/>
    <n v="3"/>
    <x v="6"/>
    <n v="0"/>
    <n v="0"/>
    <n v="0"/>
  </r>
  <r>
    <n v="31"/>
    <x v="1"/>
    <n v="0"/>
    <s v="Travel_Rarely"/>
    <n v="616"/>
    <x v="1"/>
    <n v="12"/>
    <n v="3"/>
    <x v="2"/>
    <n v="1"/>
    <n v="961"/>
    <n v="4"/>
    <x v="0"/>
    <n v="41"/>
    <n v="3"/>
    <x v="0"/>
    <x v="4"/>
    <n v="4"/>
    <x v="1"/>
    <n v="5855"/>
    <n v="17369"/>
    <n v="0"/>
    <s v="Y"/>
    <x v="0"/>
    <n v="11"/>
    <n v="3"/>
    <n v="3"/>
    <n v="80"/>
    <n v="2"/>
    <n v="10"/>
    <n v="2"/>
    <n v="1"/>
    <x v="7"/>
    <n v="7"/>
    <n v="8"/>
    <n v="5"/>
  </r>
  <r>
    <n v="40"/>
    <x v="1"/>
    <n v="0"/>
    <s v="Travel_Frequently"/>
    <n v="1469"/>
    <x v="1"/>
    <n v="9"/>
    <n v="4"/>
    <x v="2"/>
    <n v="1"/>
    <n v="964"/>
    <n v="4"/>
    <x v="1"/>
    <n v="35"/>
    <n v="3"/>
    <x v="1"/>
    <x v="1"/>
    <n v="2"/>
    <x v="2"/>
    <n v="3617"/>
    <n v="25063"/>
    <n v="8"/>
    <s v="Y"/>
    <x v="0"/>
    <n v="14"/>
    <n v="3"/>
    <n v="4"/>
    <n v="80"/>
    <n v="1"/>
    <n v="3"/>
    <n v="2"/>
    <n v="3"/>
    <x v="6"/>
    <n v="1"/>
    <n v="0"/>
    <n v="0"/>
  </r>
  <r>
    <n v="32"/>
    <x v="1"/>
    <n v="0"/>
    <s v="Travel_Rarely"/>
    <n v="498"/>
    <x v="1"/>
    <n v="3"/>
    <n v="4"/>
    <x v="2"/>
    <n v="1"/>
    <n v="966"/>
    <n v="3"/>
    <x v="0"/>
    <n v="93"/>
    <n v="3"/>
    <x v="0"/>
    <x v="3"/>
    <n v="1"/>
    <x v="1"/>
    <n v="6725"/>
    <n v="13554"/>
    <n v="1"/>
    <s v="Y"/>
    <x v="1"/>
    <n v="12"/>
    <n v="3"/>
    <n v="3"/>
    <n v="80"/>
    <n v="1"/>
    <n v="8"/>
    <n v="2"/>
    <n v="4"/>
    <x v="3"/>
    <n v="7"/>
    <n v="6"/>
    <n v="3"/>
  </r>
  <r>
    <n v="36"/>
    <x v="0"/>
    <n v="1"/>
    <s v="Travel_Rarely"/>
    <n v="530"/>
    <x v="0"/>
    <n v="3"/>
    <n v="1"/>
    <x v="0"/>
    <n v="1"/>
    <n v="967"/>
    <n v="3"/>
    <x v="1"/>
    <n v="51"/>
    <n v="2"/>
    <x v="2"/>
    <x v="0"/>
    <n v="4"/>
    <x v="1"/>
    <n v="10325"/>
    <n v="5518"/>
    <n v="1"/>
    <s v="Y"/>
    <x v="0"/>
    <n v="11"/>
    <n v="3"/>
    <n v="1"/>
    <n v="80"/>
    <n v="1"/>
    <n v="16"/>
    <n v="6"/>
    <n v="3"/>
    <x v="22"/>
    <n v="7"/>
    <n v="3"/>
    <n v="7"/>
  </r>
  <r>
    <n v="33"/>
    <x v="1"/>
    <n v="0"/>
    <s v="Travel_Rarely"/>
    <n v="1069"/>
    <x v="1"/>
    <n v="1"/>
    <n v="3"/>
    <x v="0"/>
    <n v="1"/>
    <n v="969"/>
    <n v="2"/>
    <x v="0"/>
    <n v="42"/>
    <n v="2"/>
    <x v="0"/>
    <x v="4"/>
    <n v="4"/>
    <x v="0"/>
    <n v="6949"/>
    <n v="12291"/>
    <n v="0"/>
    <s v="Y"/>
    <x v="1"/>
    <n v="14"/>
    <n v="3"/>
    <n v="1"/>
    <n v="80"/>
    <n v="0"/>
    <n v="6"/>
    <n v="3"/>
    <n v="3"/>
    <x v="8"/>
    <n v="0"/>
    <n v="1"/>
    <n v="4"/>
  </r>
  <r>
    <n v="37"/>
    <x v="0"/>
    <n v="1"/>
    <s v="Travel_Rarely"/>
    <n v="625"/>
    <x v="0"/>
    <n v="1"/>
    <n v="4"/>
    <x v="0"/>
    <n v="1"/>
    <n v="970"/>
    <n v="1"/>
    <x v="1"/>
    <n v="46"/>
    <n v="2"/>
    <x v="2"/>
    <x v="0"/>
    <n v="3"/>
    <x v="1"/>
    <n v="10609"/>
    <n v="14922"/>
    <n v="5"/>
    <s v="Y"/>
    <x v="1"/>
    <n v="11"/>
    <n v="3"/>
    <n v="3"/>
    <n v="80"/>
    <n v="0"/>
    <n v="17"/>
    <n v="2"/>
    <n v="1"/>
    <x v="13"/>
    <n v="1"/>
    <n v="11"/>
    <n v="7"/>
  </r>
  <r>
    <n v="45"/>
    <x v="1"/>
    <n v="0"/>
    <s v="Non-Travel"/>
    <n v="805"/>
    <x v="1"/>
    <n v="4"/>
    <n v="2"/>
    <x v="0"/>
    <n v="1"/>
    <n v="972"/>
    <n v="3"/>
    <x v="1"/>
    <n v="57"/>
    <n v="3"/>
    <x v="0"/>
    <x v="2"/>
    <n v="2"/>
    <x v="1"/>
    <n v="4447"/>
    <n v="23163"/>
    <n v="1"/>
    <s v="Y"/>
    <x v="1"/>
    <n v="12"/>
    <n v="3"/>
    <n v="2"/>
    <n v="80"/>
    <n v="0"/>
    <n v="9"/>
    <n v="5"/>
    <n v="2"/>
    <x v="7"/>
    <n v="7"/>
    <n v="0"/>
    <n v="8"/>
  </r>
  <r>
    <n v="29"/>
    <x v="1"/>
    <n v="0"/>
    <s v="Travel_Frequently"/>
    <n v="1404"/>
    <x v="0"/>
    <n v="20"/>
    <n v="3"/>
    <x v="4"/>
    <n v="1"/>
    <n v="974"/>
    <n v="3"/>
    <x v="0"/>
    <n v="84"/>
    <n v="3"/>
    <x v="1"/>
    <x v="6"/>
    <n v="4"/>
    <x v="1"/>
    <n v="2157"/>
    <n v="18203"/>
    <n v="1"/>
    <s v="Y"/>
    <x v="1"/>
    <n v="15"/>
    <n v="3"/>
    <n v="2"/>
    <n v="80"/>
    <n v="1"/>
    <n v="3"/>
    <n v="5"/>
    <n v="3"/>
    <x v="11"/>
    <n v="1"/>
    <n v="0"/>
    <n v="2"/>
  </r>
  <r>
    <n v="35"/>
    <x v="1"/>
    <n v="0"/>
    <s v="Travel_Rarely"/>
    <n v="1219"/>
    <x v="0"/>
    <n v="18"/>
    <n v="3"/>
    <x v="2"/>
    <n v="1"/>
    <n v="975"/>
    <n v="3"/>
    <x v="0"/>
    <n v="86"/>
    <n v="3"/>
    <x v="0"/>
    <x v="0"/>
    <n v="3"/>
    <x v="1"/>
    <n v="4601"/>
    <n v="6179"/>
    <n v="1"/>
    <s v="Y"/>
    <x v="1"/>
    <n v="16"/>
    <n v="3"/>
    <n v="2"/>
    <n v="80"/>
    <n v="0"/>
    <n v="5"/>
    <n v="3"/>
    <n v="3"/>
    <x v="8"/>
    <n v="2"/>
    <n v="1"/>
    <n v="0"/>
  </r>
  <r>
    <n v="52"/>
    <x v="1"/>
    <n v="0"/>
    <s v="Travel_Rarely"/>
    <n v="1053"/>
    <x v="1"/>
    <n v="1"/>
    <n v="2"/>
    <x v="0"/>
    <n v="1"/>
    <n v="976"/>
    <n v="4"/>
    <x v="1"/>
    <n v="70"/>
    <n v="3"/>
    <x v="3"/>
    <x v="5"/>
    <n v="4"/>
    <x v="1"/>
    <n v="17099"/>
    <n v="13829"/>
    <n v="2"/>
    <s v="Y"/>
    <x v="1"/>
    <n v="15"/>
    <n v="3"/>
    <n v="2"/>
    <n v="80"/>
    <n v="1"/>
    <n v="26"/>
    <n v="2"/>
    <n v="2"/>
    <x v="7"/>
    <n v="8"/>
    <n v="7"/>
    <n v="8"/>
  </r>
  <r>
    <n v="58"/>
    <x v="0"/>
    <n v="1"/>
    <s v="Travel_Rarely"/>
    <n v="289"/>
    <x v="1"/>
    <n v="2"/>
    <n v="3"/>
    <x v="4"/>
    <n v="1"/>
    <n v="977"/>
    <n v="4"/>
    <x v="1"/>
    <n v="51"/>
    <n v="3"/>
    <x v="1"/>
    <x v="1"/>
    <n v="3"/>
    <x v="0"/>
    <n v="2479"/>
    <n v="26227"/>
    <n v="4"/>
    <s v="Y"/>
    <x v="1"/>
    <n v="24"/>
    <n v="4"/>
    <n v="1"/>
    <n v="80"/>
    <n v="0"/>
    <n v="7"/>
    <n v="4"/>
    <n v="3"/>
    <x v="6"/>
    <n v="0"/>
    <n v="0"/>
    <n v="0"/>
  </r>
  <r>
    <n v="53"/>
    <x v="1"/>
    <n v="0"/>
    <s v="Travel_Rarely"/>
    <n v="1376"/>
    <x v="0"/>
    <n v="2"/>
    <n v="2"/>
    <x v="2"/>
    <n v="1"/>
    <n v="981"/>
    <n v="3"/>
    <x v="1"/>
    <n v="45"/>
    <n v="3"/>
    <x v="3"/>
    <x v="5"/>
    <n v="3"/>
    <x v="2"/>
    <n v="14852"/>
    <n v="13938"/>
    <n v="6"/>
    <s v="Y"/>
    <x v="1"/>
    <n v="13"/>
    <n v="3"/>
    <n v="3"/>
    <n v="80"/>
    <n v="1"/>
    <n v="22"/>
    <n v="3"/>
    <n v="4"/>
    <x v="18"/>
    <n v="13"/>
    <n v="15"/>
    <n v="2"/>
  </r>
  <r>
    <n v="30"/>
    <x v="1"/>
    <n v="0"/>
    <s v="Travel_Rarely"/>
    <n v="231"/>
    <x v="0"/>
    <n v="8"/>
    <n v="2"/>
    <x v="1"/>
    <n v="1"/>
    <n v="982"/>
    <n v="3"/>
    <x v="1"/>
    <n v="62"/>
    <n v="3"/>
    <x v="2"/>
    <x v="0"/>
    <n v="3"/>
    <x v="2"/>
    <n v="7264"/>
    <n v="9977"/>
    <n v="5"/>
    <s v="Y"/>
    <x v="1"/>
    <n v="11"/>
    <n v="3"/>
    <n v="1"/>
    <n v="80"/>
    <n v="1"/>
    <n v="10"/>
    <n v="2"/>
    <n v="4"/>
    <x v="3"/>
    <n v="4"/>
    <n v="7"/>
    <n v="7"/>
  </r>
  <r>
    <n v="38"/>
    <x v="1"/>
    <n v="0"/>
    <s v="Non-Travel"/>
    <n v="152"/>
    <x v="0"/>
    <n v="10"/>
    <n v="3"/>
    <x v="4"/>
    <n v="1"/>
    <n v="983"/>
    <n v="3"/>
    <x v="0"/>
    <n v="85"/>
    <n v="3"/>
    <x v="0"/>
    <x v="0"/>
    <n v="4"/>
    <x v="0"/>
    <n v="5666"/>
    <n v="19899"/>
    <n v="1"/>
    <s v="Y"/>
    <x v="0"/>
    <n v="13"/>
    <n v="3"/>
    <n v="2"/>
    <n v="80"/>
    <n v="0"/>
    <n v="6"/>
    <n v="1"/>
    <n v="3"/>
    <x v="8"/>
    <n v="3"/>
    <n v="1"/>
    <n v="3"/>
  </r>
  <r>
    <n v="35"/>
    <x v="1"/>
    <n v="0"/>
    <s v="Travel_Rarely"/>
    <n v="882"/>
    <x v="0"/>
    <n v="3"/>
    <n v="4"/>
    <x v="0"/>
    <n v="1"/>
    <n v="984"/>
    <n v="4"/>
    <x v="1"/>
    <n v="92"/>
    <n v="3"/>
    <x v="2"/>
    <x v="0"/>
    <n v="4"/>
    <x v="2"/>
    <n v="7823"/>
    <n v="6812"/>
    <n v="6"/>
    <s v="Y"/>
    <x v="1"/>
    <n v="13"/>
    <n v="3"/>
    <n v="2"/>
    <n v="80"/>
    <n v="1"/>
    <n v="12"/>
    <n v="2"/>
    <n v="3"/>
    <x v="1"/>
    <n v="9"/>
    <n v="0"/>
    <n v="8"/>
  </r>
  <r>
    <n v="39"/>
    <x v="1"/>
    <n v="0"/>
    <s v="Travel_Rarely"/>
    <n v="903"/>
    <x v="0"/>
    <n v="2"/>
    <n v="5"/>
    <x v="0"/>
    <n v="1"/>
    <n v="985"/>
    <n v="1"/>
    <x v="1"/>
    <n v="41"/>
    <n v="4"/>
    <x v="2"/>
    <x v="0"/>
    <n v="3"/>
    <x v="0"/>
    <n v="7880"/>
    <n v="2560"/>
    <n v="0"/>
    <s v="Y"/>
    <x v="1"/>
    <n v="18"/>
    <n v="3"/>
    <n v="4"/>
    <n v="80"/>
    <n v="0"/>
    <n v="9"/>
    <n v="3"/>
    <n v="3"/>
    <x v="3"/>
    <n v="7"/>
    <n v="0"/>
    <n v="7"/>
  </r>
  <r>
    <n v="40"/>
    <x v="0"/>
    <n v="1"/>
    <s v="Non-Travel"/>
    <n v="1479"/>
    <x v="0"/>
    <n v="24"/>
    <n v="3"/>
    <x v="0"/>
    <n v="1"/>
    <n v="986"/>
    <n v="2"/>
    <x v="0"/>
    <n v="100"/>
    <n v="4"/>
    <x v="3"/>
    <x v="0"/>
    <n v="2"/>
    <x v="0"/>
    <n v="13194"/>
    <n v="17071"/>
    <n v="4"/>
    <s v="Y"/>
    <x v="0"/>
    <n v="16"/>
    <n v="3"/>
    <n v="4"/>
    <n v="80"/>
    <n v="0"/>
    <n v="22"/>
    <n v="2"/>
    <n v="2"/>
    <x v="6"/>
    <n v="0"/>
    <n v="0"/>
    <n v="0"/>
  </r>
  <r>
    <n v="47"/>
    <x v="1"/>
    <n v="0"/>
    <s v="Travel_Frequently"/>
    <n v="1379"/>
    <x v="1"/>
    <n v="16"/>
    <n v="4"/>
    <x v="2"/>
    <n v="1"/>
    <n v="987"/>
    <n v="3"/>
    <x v="1"/>
    <n v="64"/>
    <n v="4"/>
    <x v="0"/>
    <x v="3"/>
    <n v="3"/>
    <x v="2"/>
    <n v="5067"/>
    <n v="6759"/>
    <n v="1"/>
    <s v="Y"/>
    <x v="0"/>
    <n v="19"/>
    <n v="3"/>
    <n v="3"/>
    <n v="80"/>
    <n v="0"/>
    <n v="20"/>
    <n v="3"/>
    <n v="4"/>
    <x v="27"/>
    <n v="10"/>
    <n v="2"/>
    <n v="7"/>
  </r>
  <r>
    <n v="36"/>
    <x v="1"/>
    <n v="0"/>
    <s v="Non-Travel"/>
    <n v="1229"/>
    <x v="0"/>
    <n v="8"/>
    <n v="4"/>
    <x v="4"/>
    <n v="1"/>
    <n v="990"/>
    <n v="1"/>
    <x v="1"/>
    <n v="84"/>
    <n v="3"/>
    <x v="0"/>
    <x v="0"/>
    <n v="4"/>
    <x v="2"/>
    <n v="5079"/>
    <n v="25952"/>
    <n v="4"/>
    <s v="Y"/>
    <x v="1"/>
    <n v="13"/>
    <n v="3"/>
    <n v="4"/>
    <n v="80"/>
    <n v="2"/>
    <n v="12"/>
    <n v="3"/>
    <n v="3"/>
    <x v="5"/>
    <n v="7"/>
    <n v="0"/>
    <n v="7"/>
  </r>
  <r>
    <n v="31"/>
    <x v="0"/>
    <n v="1"/>
    <s v="Non-Travel"/>
    <n v="335"/>
    <x v="1"/>
    <n v="9"/>
    <n v="2"/>
    <x v="2"/>
    <n v="1"/>
    <n v="991"/>
    <n v="3"/>
    <x v="1"/>
    <n v="46"/>
    <n v="2"/>
    <x v="1"/>
    <x v="1"/>
    <n v="1"/>
    <x v="0"/>
    <n v="2321"/>
    <n v="10322"/>
    <n v="0"/>
    <s v="Y"/>
    <x v="0"/>
    <n v="22"/>
    <n v="4"/>
    <n v="1"/>
    <n v="80"/>
    <n v="0"/>
    <n v="4"/>
    <n v="0"/>
    <n v="3"/>
    <x v="11"/>
    <n v="2"/>
    <n v="1"/>
    <n v="2"/>
  </r>
  <r>
    <n v="33"/>
    <x v="1"/>
    <n v="0"/>
    <s v="Non-Travel"/>
    <n v="722"/>
    <x v="0"/>
    <n v="17"/>
    <n v="3"/>
    <x v="0"/>
    <n v="1"/>
    <n v="992"/>
    <n v="4"/>
    <x v="1"/>
    <n v="38"/>
    <n v="3"/>
    <x v="3"/>
    <x v="5"/>
    <n v="3"/>
    <x v="0"/>
    <n v="17444"/>
    <n v="20489"/>
    <n v="1"/>
    <s v="Y"/>
    <x v="1"/>
    <n v="11"/>
    <n v="3"/>
    <n v="4"/>
    <n v="80"/>
    <n v="0"/>
    <n v="10"/>
    <n v="2"/>
    <n v="3"/>
    <x v="1"/>
    <n v="8"/>
    <n v="6"/>
    <n v="0"/>
  </r>
  <r>
    <n v="29"/>
    <x v="0"/>
    <n v="1"/>
    <s v="Travel_Rarely"/>
    <n v="906"/>
    <x v="1"/>
    <n v="10"/>
    <n v="3"/>
    <x v="0"/>
    <n v="1"/>
    <n v="994"/>
    <n v="4"/>
    <x v="0"/>
    <n v="92"/>
    <n v="2"/>
    <x v="1"/>
    <x v="1"/>
    <n v="1"/>
    <x v="0"/>
    <n v="2404"/>
    <n v="11479"/>
    <n v="6"/>
    <s v="Y"/>
    <x v="0"/>
    <n v="20"/>
    <n v="4"/>
    <n v="3"/>
    <n v="80"/>
    <n v="0"/>
    <n v="3"/>
    <n v="5"/>
    <n v="3"/>
    <x v="2"/>
    <n v="0"/>
    <n v="0"/>
    <n v="0"/>
  </r>
  <r>
    <n v="33"/>
    <x v="1"/>
    <n v="0"/>
    <s v="Travel_Rarely"/>
    <n v="461"/>
    <x v="1"/>
    <n v="13"/>
    <n v="1"/>
    <x v="0"/>
    <n v="1"/>
    <n v="995"/>
    <n v="2"/>
    <x v="0"/>
    <n v="53"/>
    <n v="3"/>
    <x v="1"/>
    <x v="1"/>
    <n v="4"/>
    <x v="0"/>
    <n v="3452"/>
    <n v="17241"/>
    <n v="3"/>
    <s v="Y"/>
    <x v="1"/>
    <n v="18"/>
    <n v="3"/>
    <n v="1"/>
    <n v="80"/>
    <n v="0"/>
    <n v="5"/>
    <n v="4"/>
    <n v="3"/>
    <x v="11"/>
    <n v="2"/>
    <n v="0"/>
    <n v="2"/>
  </r>
  <r>
    <n v="45"/>
    <x v="1"/>
    <n v="0"/>
    <s v="Travel_Rarely"/>
    <n v="974"/>
    <x v="1"/>
    <n v="1"/>
    <n v="4"/>
    <x v="2"/>
    <n v="1"/>
    <n v="996"/>
    <n v="4"/>
    <x v="0"/>
    <n v="91"/>
    <n v="3"/>
    <x v="1"/>
    <x v="2"/>
    <n v="4"/>
    <x v="2"/>
    <n v="2270"/>
    <n v="11005"/>
    <n v="3"/>
    <s v="Y"/>
    <x v="1"/>
    <n v="14"/>
    <n v="3"/>
    <n v="4"/>
    <n v="80"/>
    <n v="2"/>
    <n v="8"/>
    <n v="2"/>
    <n v="3"/>
    <x v="8"/>
    <n v="3"/>
    <n v="0"/>
    <n v="2"/>
  </r>
  <r>
    <n v="50"/>
    <x v="1"/>
    <n v="0"/>
    <s v="Travel_Rarely"/>
    <n v="1126"/>
    <x v="1"/>
    <n v="1"/>
    <n v="2"/>
    <x v="2"/>
    <n v="1"/>
    <n v="997"/>
    <n v="4"/>
    <x v="1"/>
    <n v="66"/>
    <n v="3"/>
    <x v="3"/>
    <x v="7"/>
    <n v="4"/>
    <x v="2"/>
    <n v="17399"/>
    <n v="6615"/>
    <n v="9"/>
    <s v="Y"/>
    <x v="1"/>
    <n v="22"/>
    <n v="4"/>
    <n v="3"/>
    <n v="80"/>
    <n v="1"/>
    <n v="32"/>
    <n v="1"/>
    <n v="2"/>
    <x v="8"/>
    <n v="4"/>
    <n v="1"/>
    <n v="3"/>
  </r>
  <r>
    <n v="33"/>
    <x v="1"/>
    <n v="0"/>
    <s v="Travel_Frequently"/>
    <n v="827"/>
    <x v="1"/>
    <n v="1"/>
    <n v="4"/>
    <x v="1"/>
    <n v="1"/>
    <n v="998"/>
    <n v="3"/>
    <x v="0"/>
    <n v="84"/>
    <n v="4"/>
    <x v="0"/>
    <x v="4"/>
    <n v="2"/>
    <x v="1"/>
    <n v="5488"/>
    <n v="20161"/>
    <n v="1"/>
    <s v="Y"/>
    <x v="0"/>
    <n v="13"/>
    <n v="3"/>
    <n v="1"/>
    <n v="80"/>
    <n v="1"/>
    <n v="6"/>
    <n v="2"/>
    <n v="3"/>
    <x v="0"/>
    <n v="5"/>
    <n v="1"/>
    <n v="2"/>
  </r>
  <r>
    <n v="41"/>
    <x v="1"/>
    <n v="0"/>
    <s v="Travel_Frequently"/>
    <n v="840"/>
    <x v="1"/>
    <n v="9"/>
    <n v="3"/>
    <x v="2"/>
    <n v="1"/>
    <n v="999"/>
    <n v="1"/>
    <x v="1"/>
    <n v="64"/>
    <n v="3"/>
    <x v="4"/>
    <x v="7"/>
    <n v="3"/>
    <x v="2"/>
    <n v="19419"/>
    <n v="3735"/>
    <n v="2"/>
    <s v="Y"/>
    <x v="1"/>
    <n v="17"/>
    <n v="3"/>
    <n v="2"/>
    <n v="80"/>
    <n v="1"/>
    <n v="21"/>
    <n v="2"/>
    <n v="4"/>
    <x v="29"/>
    <n v="16"/>
    <n v="0"/>
    <n v="11"/>
  </r>
  <r>
    <n v="27"/>
    <x v="1"/>
    <n v="0"/>
    <s v="Travel_Rarely"/>
    <n v="1134"/>
    <x v="1"/>
    <n v="16"/>
    <n v="4"/>
    <x v="4"/>
    <n v="1"/>
    <n v="1001"/>
    <n v="3"/>
    <x v="0"/>
    <n v="37"/>
    <n v="3"/>
    <x v="1"/>
    <x v="2"/>
    <n v="2"/>
    <x v="1"/>
    <n v="2811"/>
    <n v="12086"/>
    <n v="9"/>
    <s v="Y"/>
    <x v="1"/>
    <n v="14"/>
    <n v="3"/>
    <n v="2"/>
    <n v="80"/>
    <n v="1"/>
    <n v="4"/>
    <n v="2"/>
    <n v="3"/>
    <x v="4"/>
    <n v="2"/>
    <n v="2"/>
    <n v="2"/>
  </r>
  <r>
    <n v="45"/>
    <x v="1"/>
    <n v="0"/>
    <s v="Non-Travel"/>
    <n v="248"/>
    <x v="1"/>
    <n v="23"/>
    <n v="2"/>
    <x v="0"/>
    <n v="1"/>
    <n v="1002"/>
    <n v="4"/>
    <x v="1"/>
    <n v="42"/>
    <n v="3"/>
    <x v="0"/>
    <x v="2"/>
    <n v="1"/>
    <x v="1"/>
    <n v="3633"/>
    <n v="14039"/>
    <n v="1"/>
    <s v="Y"/>
    <x v="0"/>
    <n v="15"/>
    <n v="3"/>
    <n v="3"/>
    <n v="80"/>
    <n v="1"/>
    <n v="9"/>
    <n v="2"/>
    <n v="3"/>
    <x v="7"/>
    <n v="8"/>
    <n v="0"/>
    <n v="8"/>
  </r>
  <r>
    <n v="47"/>
    <x v="1"/>
    <n v="0"/>
    <s v="Travel_Rarely"/>
    <n v="955"/>
    <x v="0"/>
    <n v="4"/>
    <n v="2"/>
    <x v="0"/>
    <n v="1"/>
    <n v="1003"/>
    <n v="4"/>
    <x v="0"/>
    <n v="83"/>
    <n v="3"/>
    <x v="0"/>
    <x v="0"/>
    <n v="4"/>
    <x v="0"/>
    <n v="4163"/>
    <n v="8571"/>
    <n v="1"/>
    <s v="Y"/>
    <x v="0"/>
    <n v="17"/>
    <n v="3"/>
    <n v="3"/>
    <n v="80"/>
    <n v="0"/>
    <n v="9"/>
    <n v="0"/>
    <n v="3"/>
    <x v="7"/>
    <n v="0"/>
    <n v="0"/>
    <n v="7"/>
  </r>
  <r>
    <n v="30"/>
    <x v="0"/>
    <n v="1"/>
    <s v="Travel_Rarely"/>
    <n v="138"/>
    <x v="1"/>
    <n v="22"/>
    <n v="3"/>
    <x v="0"/>
    <n v="1"/>
    <n v="1004"/>
    <n v="1"/>
    <x v="0"/>
    <n v="48"/>
    <n v="3"/>
    <x v="1"/>
    <x v="1"/>
    <n v="3"/>
    <x v="1"/>
    <n v="2132"/>
    <n v="11539"/>
    <n v="4"/>
    <s v="Y"/>
    <x v="0"/>
    <n v="11"/>
    <n v="3"/>
    <n v="2"/>
    <n v="80"/>
    <n v="0"/>
    <n v="7"/>
    <n v="2"/>
    <n v="3"/>
    <x v="8"/>
    <n v="2"/>
    <n v="0"/>
    <n v="1"/>
  </r>
  <r>
    <n v="50"/>
    <x v="1"/>
    <n v="0"/>
    <s v="Travel_Rarely"/>
    <n v="939"/>
    <x v="1"/>
    <n v="24"/>
    <n v="3"/>
    <x v="0"/>
    <n v="1"/>
    <n v="1005"/>
    <n v="4"/>
    <x v="1"/>
    <n v="95"/>
    <n v="3"/>
    <x v="3"/>
    <x v="3"/>
    <n v="3"/>
    <x v="1"/>
    <n v="13973"/>
    <n v="4161"/>
    <n v="3"/>
    <s v="Y"/>
    <x v="0"/>
    <n v="18"/>
    <n v="3"/>
    <n v="4"/>
    <n v="80"/>
    <n v="1"/>
    <n v="22"/>
    <n v="2"/>
    <n v="3"/>
    <x v="12"/>
    <n v="11"/>
    <n v="1"/>
    <n v="5"/>
  </r>
  <r>
    <n v="38"/>
    <x v="1"/>
    <n v="0"/>
    <s v="Travel_Frequently"/>
    <n v="1391"/>
    <x v="1"/>
    <n v="10"/>
    <n v="1"/>
    <x v="2"/>
    <n v="1"/>
    <n v="1006"/>
    <n v="3"/>
    <x v="1"/>
    <n v="66"/>
    <n v="3"/>
    <x v="1"/>
    <x v="1"/>
    <n v="3"/>
    <x v="1"/>
    <n v="2684"/>
    <n v="12127"/>
    <n v="0"/>
    <s v="Y"/>
    <x v="1"/>
    <n v="17"/>
    <n v="3"/>
    <n v="2"/>
    <n v="80"/>
    <n v="1"/>
    <n v="3"/>
    <n v="0"/>
    <n v="2"/>
    <x v="4"/>
    <n v="1"/>
    <n v="0"/>
    <n v="2"/>
  </r>
  <r>
    <n v="46"/>
    <x v="1"/>
    <n v="0"/>
    <s v="Travel_Rarely"/>
    <n v="566"/>
    <x v="1"/>
    <n v="7"/>
    <n v="2"/>
    <x v="2"/>
    <n v="1"/>
    <n v="1007"/>
    <n v="4"/>
    <x v="1"/>
    <n v="75"/>
    <n v="3"/>
    <x v="2"/>
    <x v="3"/>
    <n v="3"/>
    <x v="2"/>
    <n v="10845"/>
    <n v="24208"/>
    <n v="6"/>
    <s v="Y"/>
    <x v="1"/>
    <n v="13"/>
    <n v="3"/>
    <n v="2"/>
    <n v="80"/>
    <n v="1"/>
    <n v="13"/>
    <n v="3"/>
    <n v="3"/>
    <x v="3"/>
    <n v="7"/>
    <n v="0"/>
    <n v="7"/>
  </r>
  <r>
    <n v="24"/>
    <x v="1"/>
    <n v="0"/>
    <s v="Travel_Rarely"/>
    <n v="1206"/>
    <x v="1"/>
    <n v="17"/>
    <n v="1"/>
    <x v="2"/>
    <n v="1"/>
    <n v="1009"/>
    <n v="4"/>
    <x v="0"/>
    <n v="41"/>
    <n v="2"/>
    <x v="0"/>
    <x v="3"/>
    <n v="3"/>
    <x v="2"/>
    <n v="4377"/>
    <n v="24117"/>
    <n v="1"/>
    <s v="Y"/>
    <x v="1"/>
    <n v="15"/>
    <n v="3"/>
    <n v="2"/>
    <n v="80"/>
    <n v="2"/>
    <n v="5"/>
    <n v="6"/>
    <n v="3"/>
    <x v="9"/>
    <n v="2"/>
    <n v="3"/>
    <n v="2"/>
  </r>
  <r>
    <n v="35"/>
    <x v="0"/>
    <n v="1"/>
    <s v="Travel_Rarely"/>
    <n v="622"/>
    <x v="1"/>
    <n v="14"/>
    <n v="4"/>
    <x v="1"/>
    <n v="1"/>
    <n v="1010"/>
    <n v="3"/>
    <x v="1"/>
    <n v="39"/>
    <n v="2"/>
    <x v="1"/>
    <x v="2"/>
    <n v="2"/>
    <x v="2"/>
    <n v="3743"/>
    <n v="10074"/>
    <n v="1"/>
    <s v="Y"/>
    <x v="0"/>
    <n v="24"/>
    <n v="4"/>
    <n v="4"/>
    <n v="80"/>
    <n v="1"/>
    <n v="5"/>
    <n v="2"/>
    <n v="1"/>
    <x v="9"/>
    <n v="2"/>
    <n v="0"/>
    <n v="2"/>
  </r>
  <r>
    <n v="31"/>
    <x v="1"/>
    <n v="0"/>
    <s v="Travel_Frequently"/>
    <n v="853"/>
    <x v="1"/>
    <n v="1"/>
    <n v="1"/>
    <x v="0"/>
    <n v="1"/>
    <n v="1011"/>
    <n v="3"/>
    <x v="0"/>
    <n v="96"/>
    <n v="3"/>
    <x v="0"/>
    <x v="3"/>
    <n v="1"/>
    <x v="1"/>
    <n v="4148"/>
    <n v="11275"/>
    <n v="1"/>
    <s v="Y"/>
    <x v="1"/>
    <n v="12"/>
    <n v="3"/>
    <n v="3"/>
    <n v="80"/>
    <n v="1"/>
    <n v="4"/>
    <n v="1"/>
    <n v="3"/>
    <x v="9"/>
    <n v="3"/>
    <n v="0"/>
    <n v="3"/>
  </r>
  <r>
    <n v="18"/>
    <x v="1"/>
    <n v="0"/>
    <s v="Non-Travel"/>
    <n v="287"/>
    <x v="1"/>
    <n v="5"/>
    <n v="2"/>
    <x v="0"/>
    <n v="1"/>
    <n v="1012"/>
    <n v="2"/>
    <x v="1"/>
    <n v="73"/>
    <n v="3"/>
    <x v="1"/>
    <x v="1"/>
    <n v="4"/>
    <x v="0"/>
    <n v="1051"/>
    <n v="13493"/>
    <n v="1"/>
    <s v="Y"/>
    <x v="1"/>
    <n v="15"/>
    <n v="3"/>
    <n v="4"/>
    <n v="80"/>
    <n v="0"/>
    <n v="0"/>
    <n v="2"/>
    <n v="3"/>
    <x v="2"/>
    <n v="0"/>
    <n v="0"/>
    <n v="0"/>
  </r>
  <r>
    <n v="54"/>
    <x v="1"/>
    <n v="0"/>
    <s v="Travel_Rarely"/>
    <n v="1441"/>
    <x v="1"/>
    <n v="17"/>
    <n v="3"/>
    <x v="4"/>
    <n v="1"/>
    <n v="1013"/>
    <n v="3"/>
    <x v="0"/>
    <n v="56"/>
    <n v="3"/>
    <x v="2"/>
    <x v="3"/>
    <n v="3"/>
    <x v="1"/>
    <n v="10739"/>
    <n v="13943"/>
    <n v="8"/>
    <s v="Y"/>
    <x v="1"/>
    <n v="11"/>
    <n v="3"/>
    <n v="3"/>
    <n v="80"/>
    <n v="1"/>
    <n v="22"/>
    <n v="2"/>
    <n v="3"/>
    <x v="1"/>
    <n v="7"/>
    <n v="0"/>
    <n v="8"/>
  </r>
  <r>
    <n v="35"/>
    <x v="1"/>
    <n v="0"/>
    <s v="Travel_Rarely"/>
    <n v="583"/>
    <x v="1"/>
    <n v="25"/>
    <n v="4"/>
    <x v="2"/>
    <n v="1"/>
    <n v="1014"/>
    <n v="3"/>
    <x v="0"/>
    <n v="57"/>
    <n v="3"/>
    <x v="2"/>
    <x v="4"/>
    <n v="3"/>
    <x v="2"/>
    <n v="10388"/>
    <n v="6975"/>
    <n v="1"/>
    <s v="Y"/>
    <x v="0"/>
    <n v="11"/>
    <n v="3"/>
    <n v="3"/>
    <n v="80"/>
    <n v="1"/>
    <n v="16"/>
    <n v="3"/>
    <n v="2"/>
    <x v="22"/>
    <n v="10"/>
    <n v="10"/>
    <n v="1"/>
  </r>
  <r>
    <n v="30"/>
    <x v="1"/>
    <n v="0"/>
    <s v="Travel_Rarely"/>
    <n v="153"/>
    <x v="1"/>
    <n v="8"/>
    <n v="2"/>
    <x v="0"/>
    <n v="1"/>
    <n v="1015"/>
    <n v="2"/>
    <x v="0"/>
    <n v="73"/>
    <n v="4"/>
    <x v="2"/>
    <x v="7"/>
    <n v="1"/>
    <x v="1"/>
    <n v="11416"/>
    <n v="17802"/>
    <n v="0"/>
    <s v="Y"/>
    <x v="0"/>
    <n v="12"/>
    <n v="3"/>
    <n v="3"/>
    <n v="80"/>
    <n v="3"/>
    <n v="9"/>
    <n v="4"/>
    <n v="2"/>
    <x v="3"/>
    <n v="7"/>
    <n v="1"/>
    <n v="7"/>
  </r>
  <r>
    <n v="20"/>
    <x v="0"/>
    <n v="1"/>
    <s v="Travel_Rarely"/>
    <n v="1097"/>
    <x v="1"/>
    <n v="11"/>
    <n v="3"/>
    <x v="2"/>
    <n v="1"/>
    <n v="1016"/>
    <n v="4"/>
    <x v="0"/>
    <n v="98"/>
    <n v="2"/>
    <x v="1"/>
    <x v="1"/>
    <n v="1"/>
    <x v="0"/>
    <n v="2600"/>
    <n v="18275"/>
    <n v="1"/>
    <s v="Y"/>
    <x v="0"/>
    <n v="15"/>
    <n v="3"/>
    <n v="1"/>
    <n v="80"/>
    <n v="0"/>
    <n v="1"/>
    <n v="2"/>
    <n v="3"/>
    <x v="6"/>
    <n v="0"/>
    <n v="0"/>
    <n v="0"/>
  </r>
  <r>
    <n v="30"/>
    <x v="0"/>
    <n v="1"/>
    <s v="Travel_Frequently"/>
    <n v="109"/>
    <x v="1"/>
    <n v="5"/>
    <n v="3"/>
    <x v="2"/>
    <n v="1"/>
    <n v="1017"/>
    <n v="2"/>
    <x v="0"/>
    <n v="60"/>
    <n v="3"/>
    <x v="1"/>
    <x v="2"/>
    <n v="2"/>
    <x v="0"/>
    <n v="2422"/>
    <n v="25725"/>
    <n v="0"/>
    <s v="Y"/>
    <x v="1"/>
    <n v="17"/>
    <n v="3"/>
    <n v="1"/>
    <n v="80"/>
    <n v="0"/>
    <n v="4"/>
    <n v="3"/>
    <n v="3"/>
    <x v="11"/>
    <n v="2"/>
    <n v="1"/>
    <n v="2"/>
  </r>
  <r>
    <n v="26"/>
    <x v="1"/>
    <n v="0"/>
    <s v="Travel_Rarely"/>
    <n v="1066"/>
    <x v="1"/>
    <n v="2"/>
    <n v="2"/>
    <x v="2"/>
    <n v="1"/>
    <n v="1018"/>
    <n v="4"/>
    <x v="1"/>
    <n v="32"/>
    <n v="4"/>
    <x v="0"/>
    <x v="3"/>
    <n v="4"/>
    <x v="1"/>
    <n v="5472"/>
    <n v="3334"/>
    <n v="1"/>
    <s v="Y"/>
    <x v="1"/>
    <n v="12"/>
    <n v="3"/>
    <n v="2"/>
    <n v="80"/>
    <n v="0"/>
    <n v="8"/>
    <n v="2"/>
    <n v="3"/>
    <x v="3"/>
    <n v="7"/>
    <n v="1"/>
    <n v="3"/>
  </r>
  <r>
    <n v="22"/>
    <x v="1"/>
    <n v="0"/>
    <s v="Travel_Rarely"/>
    <n v="217"/>
    <x v="1"/>
    <n v="8"/>
    <n v="1"/>
    <x v="0"/>
    <n v="1"/>
    <n v="1019"/>
    <n v="2"/>
    <x v="1"/>
    <n v="94"/>
    <n v="1"/>
    <x v="1"/>
    <x v="2"/>
    <n v="1"/>
    <x v="1"/>
    <n v="2451"/>
    <n v="6881"/>
    <n v="1"/>
    <s v="Y"/>
    <x v="1"/>
    <n v="15"/>
    <n v="3"/>
    <n v="1"/>
    <n v="80"/>
    <n v="1"/>
    <n v="4"/>
    <n v="3"/>
    <n v="2"/>
    <x v="9"/>
    <n v="3"/>
    <n v="1"/>
    <n v="1"/>
  </r>
  <r>
    <n v="48"/>
    <x v="1"/>
    <n v="0"/>
    <s v="Travel_Rarely"/>
    <n v="277"/>
    <x v="1"/>
    <n v="6"/>
    <n v="3"/>
    <x v="0"/>
    <n v="1"/>
    <n v="1022"/>
    <n v="1"/>
    <x v="1"/>
    <n v="97"/>
    <n v="2"/>
    <x v="0"/>
    <x v="4"/>
    <n v="3"/>
    <x v="0"/>
    <n v="4240"/>
    <n v="13119"/>
    <n v="2"/>
    <s v="Y"/>
    <x v="1"/>
    <n v="13"/>
    <n v="3"/>
    <n v="4"/>
    <n v="80"/>
    <n v="0"/>
    <n v="19"/>
    <n v="0"/>
    <n v="3"/>
    <x v="4"/>
    <n v="2"/>
    <n v="2"/>
    <n v="2"/>
  </r>
  <r>
    <n v="48"/>
    <x v="1"/>
    <n v="0"/>
    <s v="Travel_Rarely"/>
    <n v="1355"/>
    <x v="1"/>
    <n v="4"/>
    <n v="4"/>
    <x v="0"/>
    <n v="1"/>
    <n v="1024"/>
    <n v="3"/>
    <x v="1"/>
    <n v="78"/>
    <n v="2"/>
    <x v="2"/>
    <x v="4"/>
    <n v="3"/>
    <x v="0"/>
    <n v="10999"/>
    <n v="22245"/>
    <n v="7"/>
    <s v="Y"/>
    <x v="1"/>
    <n v="14"/>
    <n v="3"/>
    <n v="2"/>
    <n v="80"/>
    <n v="0"/>
    <n v="27"/>
    <n v="3"/>
    <n v="3"/>
    <x v="15"/>
    <n v="11"/>
    <n v="4"/>
    <n v="8"/>
  </r>
  <r>
    <n v="41"/>
    <x v="1"/>
    <n v="0"/>
    <s v="Travel_Rarely"/>
    <n v="549"/>
    <x v="1"/>
    <n v="7"/>
    <n v="2"/>
    <x v="2"/>
    <n v="1"/>
    <n v="1025"/>
    <n v="4"/>
    <x v="0"/>
    <n v="42"/>
    <n v="3"/>
    <x v="0"/>
    <x v="3"/>
    <n v="3"/>
    <x v="0"/>
    <n v="5003"/>
    <n v="23371"/>
    <n v="6"/>
    <s v="Y"/>
    <x v="1"/>
    <n v="14"/>
    <n v="3"/>
    <n v="2"/>
    <n v="80"/>
    <n v="0"/>
    <n v="8"/>
    <n v="6"/>
    <n v="3"/>
    <x v="4"/>
    <n v="2"/>
    <n v="2"/>
    <n v="1"/>
  </r>
  <r>
    <n v="39"/>
    <x v="1"/>
    <n v="0"/>
    <s v="Travel_Rarely"/>
    <n v="466"/>
    <x v="1"/>
    <n v="1"/>
    <n v="1"/>
    <x v="0"/>
    <n v="1"/>
    <n v="1026"/>
    <n v="4"/>
    <x v="0"/>
    <n v="65"/>
    <n v="2"/>
    <x v="3"/>
    <x v="3"/>
    <n v="4"/>
    <x v="1"/>
    <n v="12742"/>
    <n v="7060"/>
    <n v="1"/>
    <s v="Y"/>
    <x v="1"/>
    <n v="16"/>
    <n v="3"/>
    <n v="3"/>
    <n v="80"/>
    <n v="1"/>
    <n v="21"/>
    <n v="3"/>
    <n v="3"/>
    <x v="17"/>
    <n v="6"/>
    <n v="11"/>
    <n v="8"/>
  </r>
  <r>
    <n v="27"/>
    <x v="1"/>
    <n v="0"/>
    <s v="Travel_Rarely"/>
    <n v="1055"/>
    <x v="1"/>
    <n v="2"/>
    <n v="4"/>
    <x v="0"/>
    <n v="1"/>
    <n v="1027"/>
    <n v="1"/>
    <x v="0"/>
    <n v="47"/>
    <n v="3"/>
    <x v="0"/>
    <x v="3"/>
    <n v="4"/>
    <x v="1"/>
    <n v="4227"/>
    <n v="4658"/>
    <n v="0"/>
    <s v="Y"/>
    <x v="1"/>
    <n v="18"/>
    <n v="3"/>
    <n v="2"/>
    <n v="80"/>
    <n v="1"/>
    <n v="4"/>
    <n v="2"/>
    <n v="3"/>
    <x v="11"/>
    <n v="2"/>
    <n v="2"/>
    <n v="2"/>
  </r>
  <r>
    <n v="35"/>
    <x v="1"/>
    <n v="0"/>
    <s v="Travel_Rarely"/>
    <n v="802"/>
    <x v="1"/>
    <n v="10"/>
    <n v="3"/>
    <x v="1"/>
    <n v="1"/>
    <n v="1028"/>
    <n v="2"/>
    <x v="1"/>
    <n v="45"/>
    <n v="3"/>
    <x v="1"/>
    <x v="2"/>
    <n v="4"/>
    <x v="2"/>
    <n v="3917"/>
    <n v="9541"/>
    <n v="1"/>
    <s v="Y"/>
    <x v="1"/>
    <n v="20"/>
    <n v="4"/>
    <n v="1"/>
    <n v="80"/>
    <n v="1"/>
    <n v="3"/>
    <n v="4"/>
    <n v="2"/>
    <x v="11"/>
    <n v="2"/>
    <n v="1"/>
    <n v="2"/>
  </r>
  <r>
    <n v="42"/>
    <x v="1"/>
    <n v="0"/>
    <s v="Travel_Rarely"/>
    <n v="265"/>
    <x v="0"/>
    <n v="5"/>
    <n v="2"/>
    <x v="3"/>
    <n v="1"/>
    <n v="1029"/>
    <n v="4"/>
    <x v="1"/>
    <n v="90"/>
    <n v="3"/>
    <x v="4"/>
    <x v="5"/>
    <n v="3"/>
    <x v="1"/>
    <n v="18303"/>
    <n v="7770"/>
    <n v="6"/>
    <s v="Y"/>
    <x v="1"/>
    <n v="13"/>
    <n v="3"/>
    <n v="2"/>
    <n v="80"/>
    <n v="0"/>
    <n v="21"/>
    <n v="3"/>
    <n v="4"/>
    <x v="6"/>
    <n v="0"/>
    <n v="0"/>
    <n v="0"/>
  </r>
  <r>
    <n v="50"/>
    <x v="1"/>
    <n v="0"/>
    <s v="Travel_Rarely"/>
    <n v="804"/>
    <x v="1"/>
    <n v="9"/>
    <n v="3"/>
    <x v="0"/>
    <n v="1"/>
    <n v="1030"/>
    <n v="1"/>
    <x v="1"/>
    <n v="64"/>
    <n v="3"/>
    <x v="1"/>
    <x v="2"/>
    <n v="4"/>
    <x v="1"/>
    <n v="2380"/>
    <n v="20165"/>
    <n v="4"/>
    <s v="Y"/>
    <x v="1"/>
    <n v="18"/>
    <n v="3"/>
    <n v="2"/>
    <n v="80"/>
    <n v="0"/>
    <n v="8"/>
    <n v="5"/>
    <n v="3"/>
    <x v="6"/>
    <n v="0"/>
    <n v="0"/>
    <n v="0"/>
  </r>
  <r>
    <n v="59"/>
    <x v="1"/>
    <n v="0"/>
    <s v="Travel_Rarely"/>
    <n v="715"/>
    <x v="1"/>
    <n v="2"/>
    <n v="3"/>
    <x v="0"/>
    <n v="1"/>
    <n v="1032"/>
    <n v="3"/>
    <x v="0"/>
    <n v="69"/>
    <n v="2"/>
    <x v="3"/>
    <x v="3"/>
    <n v="4"/>
    <x v="0"/>
    <n v="13726"/>
    <n v="21829"/>
    <n v="3"/>
    <s v="Y"/>
    <x v="0"/>
    <n v="13"/>
    <n v="3"/>
    <n v="1"/>
    <n v="80"/>
    <n v="0"/>
    <n v="30"/>
    <n v="4"/>
    <n v="3"/>
    <x v="8"/>
    <n v="3"/>
    <n v="4"/>
    <n v="3"/>
  </r>
  <r>
    <n v="37"/>
    <x v="0"/>
    <n v="1"/>
    <s v="Travel_Rarely"/>
    <n v="1141"/>
    <x v="1"/>
    <n v="11"/>
    <n v="2"/>
    <x v="2"/>
    <n v="1"/>
    <n v="1033"/>
    <n v="1"/>
    <x v="0"/>
    <n v="61"/>
    <n v="1"/>
    <x v="0"/>
    <x v="4"/>
    <n v="2"/>
    <x v="1"/>
    <n v="4777"/>
    <n v="14382"/>
    <n v="5"/>
    <s v="Y"/>
    <x v="1"/>
    <n v="15"/>
    <n v="3"/>
    <n v="1"/>
    <n v="80"/>
    <n v="0"/>
    <n v="15"/>
    <n v="2"/>
    <n v="1"/>
    <x v="6"/>
    <n v="0"/>
    <n v="0"/>
    <n v="0"/>
  </r>
  <r>
    <n v="55"/>
    <x v="1"/>
    <n v="0"/>
    <s v="Travel_Frequently"/>
    <n v="135"/>
    <x v="1"/>
    <n v="18"/>
    <n v="4"/>
    <x v="2"/>
    <n v="1"/>
    <n v="1034"/>
    <n v="3"/>
    <x v="1"/>
    <n v="62"/>
    <n v="3"/>
    <x v="0"/>
    <x v="4"/>
    <n v="2"/>
    <x v="1"/>
    <n v="6385"/>
    <n v="12992"/>
    <n v="3"/>
    <s v="Y"/>
    <x v="0"/>
    <n v="14"/>
    <n v="3"/>
    <n v="4"/>
    <n v="80"/>
    <n v="2"/>
    <n v="17"/>
    <n v="3"/>
    <n v="3"/>
    <x v="3"/>
    <n v="7"/>
    <n v="6"/>
    <n v="7"/>
  </r>
  <r>
    <n v="41"/>
    <x v="1"/>
    <n v="0"/>
    <s v="Non-Travel"/>
    <n v="247"/>
    <x v="1"/>
    <n v="7"/>
    <n v="1"/>
    <x v="0"/>
    <n v="1"/>
    <n v="1035"/>
    <n v="2"/>
    <x v="0"/>
    <n v="55"/>
    <n v="1"/>
    <x v="4"/>
    <x v="7"/>
    <n v="3"/>
    <x v="2"/>
    <n v="19973"/>
    <n v="20284"/>
    <n v="1"/>
    <s v="Y"/>
    <x v="1"/>
    <n v="22"/>
    <n v="4"/>
    <n v="2"/>
    <n v="80"/>
    <n v="2"/>
    <n v="21"/>
    <n v="3"/>
    <n v="3"/>
    <x v="17"/>
    <n v="16"/>
    <n v="5"/>
    <n v="10"/>
  </r>
  <r>
    <n v="38"/>
    <x v="1"/>
    <n v="0"/>
    <s v="Travel_Rarely"/>
    <n v="1035"/>
    <x v="0"/>
    <n v="3"/>
    <n v="4"/>
    <x v="0"/>
    <n v="1"/>
    <n v="1036"/>
    <n v="2"/>
    <x v="1"/>
    <n v="42"/>
    <n v="3"/>
    <x v="0"/>
    <x v="0"/>
    <n v="4"/>
    <x v="0"/>
    <n v="6861"/>
    <n v="4981"/>
    <n v="8"/>
    <s v="Y"/>
    <x v="0"/>
    <n v="12"/>
    <n v="3"/>
    <n v="3"/>
    <n v="80"/>
    <n v="0"/>
    <n v="19"/>
    <n v="1"/>
    <n v="3"/>
    <x v="6"/>
    <n v="0"/>
    <n v="0"/>
    <n v="0"/>
  </r>
  <r>
    <n v="26"/>
    <x v="0"/>
    <n v="1"/>
    <s v="Non-Travel"/>
    <n v="265"/>
    <x v="0"/>
    <n v="29"/>
    <n v="2"/>
    <x v="2"/>
    <n v="1"/>
    <n v="1037"/>
    <n v="2"/>
    <x v="1"/>
    <n v="79"/>
    <n v="1"/>
    <x v="0"/>
    <x v="0"/>
    <n v="1"/>
    <x v="0"/>
    <n v="4969"/>
    <n v="21813"/>
    <n v="8"/>
    <s v="Y"/>
    <x v="1"/>
    <n v="18"/>
    <n v="3"/>
    <n v="4"/>
    <n v="80"/>
    <n v="0"/>
    <n v="7"/>
    <n v="6"/>
    <n v="3"/>
    <x v="4"/>
    <n v="2"/>
    <n v="2"/>
    <n v="2"/>
  </r>
  <r>
    <n v="52"/>
    <x v="0"/>
    <n v="1"/>
    <s v="Travel_Rarely"/>
    <n v="266"/>
    <x v="0"/>
    <n v="2"/>
    <n v="1"/>
    <x v="3"/>
    <n v="1"/>
    <n v="1038"/>
    <n v="1"/>
    <x v="0"/>
    <n v="57"/>
    <n v="1"/>
    <x v="4"/>
    <x v="5"/>
    <n v="4"/>
    <x v="1"/>
    <n v="19845"/>
    <n v="25846"/>
    <n v="1"/>
    <s v="Y"/>
    <x v="1"/>
    <n v="15"/>
    <n v="3"/>
    <n v="4"/>
    <n v="80"/>
    <n v="1"/>
    <n v="33"/>
    <n v="3"/>
    <n v="3"/>
    <x v="32"/>
    <n v="14"/>
    <n v="6"/>
    <n v="9"/>
  </r>
  <r>
    <n v="44"/>
    <x v="1"/>
    <n v="0"/>
    <s v="Travel_Rarely"/>
    <n v="1448"/>
    <x v="0"/>
    <n v="28"/>
    <n v="3"/>
    <x v="2"/>
    <n v="1"/>
    <n v="1039"/>
    <n v="4"/>
    <x v="0"/>
    <n v="53"/>
    <n v="4"/>
    <x v="3"/>
    <x v="0"/>
    <n v="4"/>
    <x v="1"/>
    <n v="13320"/>
    <n v="11737"/>
    <n v="3"/>
    <s v="Y"/>
    <x v="0"/>
    <n v="18"/>
    <n v="3"/>
    <n v="3"/>
    <n v="80"/>
    <n v="1"/>
    <n v="23"/>
    <n v="2"/>
    <n v="3"/>
    <x v="12"/>
    <n v="11"/>
    <n v="11"/>
    <n v="11"/>
  </r>
  <r>
    <n v="50"/>
    <x v="1"/>
    <n v="0"/>
    <s v="Non-Travel"/>
    <n v="145"/>
    <x v="0"/>
    <n v="1"/>
    <n v="3"/>
    <x v="0"/>
    <n v="1"/>
    <n v="1040"/>
    <n v="4"/>
    <x v="0"/>
    <n v="95"/>
    <n v="3"/>
    <x v="0"/>
    <x v="0"/>
    <n v="3"/>
    <x v="1"/>
    <n v="6347"/>
    <n v="24920"/>
    <n v="0"/>
    <s v="Y"/>
    <x v="1"/>
    <n v="12"/>
    <n v="3"/>
    <n v="1"/>
    <n v="80"/>
    <n v="1"/>
    <n v="19"/>
    <n v="3"/>
    <n v="3"/>
    <x v="29"/>
    <n v="7"/>
    <n v="0"/>
    <n v="13"/>
  </r>
  <r>
    <n v="36"/>
    <x v="0"/>
    <n v="1"/>
    <s v="Travel_Rarely"/>
    <n v="885"/>
    <x v="1"/>
    <n v="16"/>
    <n v="4"/>
    <x v="0"/>
    <n v="1"/>
    <n v="1042"/>
    <n v="3"/>
    <x v="0"/>
    <n v="43"/>
    <n v="4"/>
    <x v="1"/>
    <x v="2"/>
    <n v="1"/>
    <x v="0"/>
    <n v="2743"/>
    <n v="8269"/>
    <n v="1"/>
    <s v="Y"/>
    <x v="1"/>
    <n v="16"/>
    <n v="3"/>
    <n v="3"/>
    <n v="80"/>
    <n v="0"/>
    <n v="18"/>
    <n v="1"/>
    <n v="3"/>
    <x v="18"/>
    <n v="13"/>
    <n v="15"/>
    <n v="14"/>
  </r>
  <r>
    <n v="39"/>
    <x v="1"/>
    <n v="0"/>
    <s v="Travel_Frequently"/>
    <n v="945"/>
    <x v="1"/>
    <n v="22"/>
    <n v="3"/>
    <x v="2"/>
    <n v="1"/>
    <n v="1043"/>
    <n v="4"/>
    <x v="0"/>
    <n v="82"/>
    <n v="3"/>
    <x v="2"/>
    <x v="3"/>
    <n v="1"/>
    <x v="0"/>
    <n v="10880"/>
    <n v="5083"/>
    <n v="1"/>
    <s v="Y"/>
    <x v="0"/>
    <n v="13"/>
    <n v="3"/>
    <n v="3"/>
    <n v="80"/>
    <n v="0"/>
    <n v="21"/>
    <n v="2"/>
    <n v="3"/>
    <x v="17"/>
    <n v="6"/>
    <n v="2"/>
    <n v="8"/>
  </r>
  <r>
    <n v="33"/>
    <x v="1"/>
    <n v="0"/>
    <s v="Non-Travel"/>
    <n v="1038"/>
    <x v="0"/>
    <n v="8"/>
    <n v="1"/>
    <x v="0"/>
    <n v="1"/>
    <n v="1044"/>
    <n v="2"/>
    <x v="0"/>
    <n v="88"/>
    <n v="2"/>
    <x v="1"/>
    <x v="6"/>
    <n v="4"/>
    <x v="0"/>
    <n v="2342"/>
    <n v="21437"/>
    <n v="0"/>
    <s v="Y"/>
    <x v="1"/>
    <n v="19"/>
    <n v="3"/>
    <n v="4"/>
    <n v="80"/>
    <n v="0"/>
    <n v="3"/>
    <n v="2"/>
    <n v="2"/>
    <x v="4"/>
    <n v="2"/>
    <n v="2"/>
    <n v="2"/>
  </r>
  <r>
    <n v="45"/>
    <x v="1"/>
    <n v="0"/>
    <s v="Travel_Rarely"/>
    <n v="1234"/>
    <x v="0"/>
    <n v="11"/>
    <n v="2"/>
    <x v="0"/>
    <n v="1"/>
    <n v="1045"/>
    <n v="4"/>
    <x v="0"/>
    <n v="90"/>
    <n v="3"/>
    <x v="3"/>
    <x v="5"/>
    <n v="4"/>
    <x v="1"/>
    <n v="17650"/>
    <n v="5404"/>
    <n v="3"/>
    <s v="Y"/>
    <x v="1"/>
    <n v="13"/>
    <n v="3"/>
    <n v="2"/>
    <n v="80"/>
    <n v="1"/>
    <n v="26"/>
    <n v="4"/>
    <n v="4"/>
    <x v="7"/>
    <n v="3"/>
    <n v="1"/>
    <n v="1"/>
  </r>
  <r>
    <n v="32"/>
    <x v="1"/>
    <n v="0"/>
    <s v="Non-Travel"/>
    <n v="1109"/>
    <x v="1"/>
    <n v="29"/>
    <n v="4"/>
    <x v="2"/>
    <n v="1"/>
    <n v="1046"/>
    <n v="4"/>
    <x v="0"/>
    <n v="69"/>
    <n v="3"/>
    <x v="1"/>
    <x v="2"/>
    <n v="3"/>
    <x v="0"/>
    <n v="4025"/>
    <n v="11135"/>
    <n v="9"/>
    <s v="Y"/>
    <x v="1"/>
    <n v="12"/>
    <n v="3"/>
    <n v="2"/>
    <n v="80"/>
    <n v="0"/>
    <n v="10"/>
    <n v="2"/>
    <n v="3"/>
    <x v="3"/>
    <n v="7"/>
    <n v="7"/>
    <n v="7"/>
  </r>
  <r>
    <n v="34"/>
    <x v="1"/>
    <n v="0"/>
    <s v="Travel_Rarely"/>
    <n v="216"/>
    <x v="0"/>
    <n v="1"/>
    <n v="4"/>
    <x v="3"/>
    <n v="1"/>
    <n v="1047"/>
    <n v="2"/>
    <x v="1"/>
    <n v="75"/>
    <n v="4"/>
    <x v="0"/>
    <x v="0"/>
    <n v="4"/>
    <x v="2"/>
    <n v="9725"/>
    <n v="12278"/>
    <n v="0"/>
    <s v="Y"/>
    <x v="1"/>
    <n v="11"/>
    <n v="3"/>
    <n v="4"/>
    <n v="80"/>
    <n v="1"/>
    <n v="16"/>
    <n v="2"/>
    <n v="2"/>
    <x v="15"/>
    <n v="1"/>
    <n v="0"/>
    <n v="9"/>
  </r>
  <r>
    <n v="59"/>
    <x v="1"/>
    <n v="0"/>
    <s v="Travel_Rarely"/>
    <n v="1089"/>
    <x v="0"/>
    <n v="1"/>
    <n v="2"/>
    <x v="4"/>
    <n v="1"/>
    <n v="1048"/>
    <n v="2"/>
    <x v="1"/>
    <n v="66"/>
    <n v="3"/>
    <x v="2"/>
    <x v="5"/>
    <n v="4"/>
    <x v="1"/>
    <n v="11904"/>
    <n v="11038"/>
    <n v="3"/>
    <s v="Y"/>
    <x v="0"/>
    <n v="14"/>
    <n v="3"/>
    <n v="3"/>
    <n v="80"/>
    <n v="1"/>
    <n v="14"/>
    <n v="1"/>
    <n v="1"/>
    <x v="0"/>
    <n v="4"/>
    <n v="0"/>
    <n v="4"/>
  </r>
  <r>
    <n v="45"/>
    <x v="1"/>
    <n v="0"/>
    <s v="Travel_Rarely"/>
    <n v="788"/>
    <x v="2"/>
    <n v="24"/>
    <n v="4"/>
    <x v="2"/>
    <n v="1"/>
    <n v="1049"/>
    <n v="2"/>
    <x v="1"/>
    <n v="36"/>
    <n v="3"/>
    <x v="1"/>
    <x v="8"/>
    <n v="2"/>
    <x v="0"/>
    <n v="2177"/>
    <n v="8318"/>
    <n v="1"/>
    <s v="Y"/>
    <x v="1"/>
    <n v="16"/>
    <n v="3"/>
    <n v="1"/>
    <n v="80"/>
    <n v="0"/>
    <n v="6"/>
    <n v="3"/>
    <n v="3"/>
    <x v="0"/>
    <n v="3"/>
    <n v="0"/>
    <n v="4"/>
  </r>
  <r>
    <n v="53"/>
    <x v="1"/>
    <n v="0"/>
    <s v="Travel_Frequently"/>
    <n v="124"/>
    <x v="0"/>
    <n v="2"/>
    <n v="3"/>
    <x v="3"/>
    <n v="1"/>
    <n v="1050"/>
    <n v="3"/>
    <x v="0"/>
    <n v="38"/>
    <n v="2"/>
    <x v="2"/>
    <x v="0"/>
    <n v="2"/>
    <x v="1"/>
    <n v="7525"/>
    <n v="23537"/>
    <n v="2"/>
    <s v="Y"/>
    <x v="1"/>
    <n v="12"/>
    <n v="3"/>
    <n v="1"/>
    <n v="80"/>
    <n v="1"/>
    <n v="30"/>
    <n v="2"/>
    <n v="3"/>
    <x v="15"/>
    <n v="7"/>
    <n v="6"/>
    <n v="12"/>
  </r>
  <r>
    <n v="36"/>
    <x v="0"/>
    <n v="1"/>
    <s v="Travel_Rarely"/>
    <n v="660"/>
    <x v="1"/>
    <n v="15"/>
    <n v="3"/>
    <x v="1"/>
    <n v="1"/>
    <n v="1052"/>
    <n v="1"/>
    <x v="1"/>
    <n v="81"/>
    <n v="3"/>
    <x v="0"/>
    <x v="2"/>
    <n v="3"/>
    <x v="2"/>
    <n v="4834"/>
    <n v="7858"/>
    <n v="7"/>
    <s v="Y"/>
    <x v="1"/>
    <n v="14"/>
    <n v="3"/>
    <n v="2"/>
    <n v="80"/>
    <n v="1"/>
    <n v="9"/>
    <n v="3"/>
    <n v="2"/>
    <x v="6"/>
    <n v="0"/>
    <n v="0"/>
    <n v="0"/>
  </r>
  <r>
    <n v="26"/>
    <x v="0"/>
    <n v="1"/>
    <s v="Travel_Frequently"/>
    <n v="342"/>
    <x v="1"/>
    <n v="2"/>
    <n v="3"/>
    <x v="0"/>
    <n v="1"/>
    <n v="1053"/>
    <n v="1"/>
    <x v="1"/>
    <n v="57"/>
    <n v="3"/>
    <x v="1"/>
    <x v="1"/>
    <n v="1"/>
    <x v="1"/>
    <n v="2042"/>
    <n v="15346"/>
    <n v="6"/>
    <s v="Y"/>
    <x v="0"/>
    <n v="14"/>
    <n v="3"/>
    <n v="2"/>
    <n v="80"/>
    <n v="1"/>
    <n v="6"/>
    <n v="2"/>
    <n v="3"/>
    <x v="11"/>
    <n v="2"/>
    <n v="1"/>
    <n v="2"/>
  </r>
  <r>
    <n v="34"/>
    <x v="1"/>
    <n v="0"/>
    <s v="Travel_Rarely"/>
    <n v="1333"/>
    <x v="0"/>
    <n v="10"/>
    <n v="4"/>
    <x v="0"/>
    <n v="1"/>
    <n v="1055"/>
    <n v="3"/>
    <x v="0"/>
    <n v="87"/>
    <n v="3"/>
    <x v="1"/>
    <x v="6"/>
    <n v="3"/>
    <x v="1"/>
    <n v="2220"/>
    <n v="18410"/>
    <n v="1"/>
    <s v="Y"/>
    <x v="0"/>
    <n v="19"/>
    <n v="3"/>
    <n v="4"/>
    <n v="80"/>
    <n v="1"/>
    <n v="1"/>
    <n v="2"/>
    <n v="3"/>
    <x v="6"/>
    <n v="1"/>
    <n v="0"/>
    <n v="0"/>
  </r>
  <r>
    <n v="28"/>
    <x v="1"/>
    <n v="0"/>
    <s v="Travel_Rarely"/>
    <n v="1144"/>
    <x v="0"/>
    <n v="10"/>
    <n v="1"/>
    <x v="2"/>
    <n v="1"/>
    <n v="1056"/>
    <n v="4"/>
    <x v="1"/>
    <n v="74"/>
    <n v="3"/>
    <x v="1"/>
    <x v="6"/>
    <n v="2"/>
    <x v="1"/>
    <n v="1052"/>
    <n v="23384"/>
    <n v="1"/>
    <s v="Y"/>
    <x v="1"/>
    <n v="22"/>
    <n v="4"/>
    <n v="2"/>
    <n v="80"/>
    <n v="0"/>
    <n v="1"/>
    <n v="5"/>
    <n v="3"/>
    <x v="6"/>
    <n v="0"/>
    <n v="0"/>
    <n v="0"/>
  </r>
  <r>
    <n v="38"/>
    <x v="1"/>
    <n v="0"/>
    <s v="Travel_Frequently"/>
    <n v="1186"/>
    <x v="1"/>
    <n v="3"/>
    <n v="4"/>
    <x v="1"/>
    <n v="1"/>
    <n v="1060"/>
    <n v="3"/>
    <x v="1"/>
    <n v="44"/>
    <n v="3"/>
    <x v="1"/>
    <x v="1"/>
    <n v="3"/>
    <x v="1"/>
    <n v="2821"/>
    <n v="2997"/>
    <n v="3"/>
    <s v="Y"/>
    <x v="1"/>
    <n v="16"/>
    <n v="3"/>
    <n v="1"/>
    <n v="80"/>
    <n v="1"/>
    <n v="8"/>
    <n v="2"/>
    <n v="3"/>
    <x v="4"/>
    <n v="2"/>
    <n v="2"/>
    <n v="2"/>
  </r>
  <r>
    <n v="50"/>
    <x v="1"/>
    <n v="0"/>
    <s v="Travel_Rarely"/>
    <n v="1464"/>
    <x v="1"/>
    <n v="2"/>
    <n v="4"/>
    <x v="2"/>
    <n v="1"/>
    <n v="1061"/>
    <n v="2"/>
    <x v="1"/>
    <n v="62"/>
    <n v="3"/>
    <x v="4"/>
    <x v="7"/>
    <n v="3"/>
    <x v="1"/>
    <n v="19237"/>
    <n v="12853"/>
    <n v="2"/>
    <s v="Y"/>
    <x v="0"/>
    <n v="11"/>
    <n v="3"/>
    <n v="4"/>
    <n v="80"/>
    <n v="1"/>
    <n v="29"/>
    <n v="2"/>
    <n v="2"/>
    <x v="3"/>
    <n v="1"/>
    <n v="7"/>
    <n v="7"/>
  </r>
  <r>
    <n v="37"/>
    <x v="1"/>
    <n v="0"/>
    <s v="Travel_Rarely"/>
    <n v="124"/>
    <x v="1"/>
    <n v="3"/>
    <n v="3"/>
    <x v="1"/>
    <n v="1"/>
    <n v="1062"/>
    <n v="4"/>
    <x v="0"/>
    <n v="35"/>
    <n v="3"/>
    <x v="0"/>
    <x v="4"/>
    <n v="2"/>
    <x v="0"/>
    <n v="4107"/>
    <n v="13848"/>
    <n v="3"/>
    <s v="Y"/>
    <x v="1"/>
    <n v="15"/>
    <n v="3"/>
    <n v="1"/>
    <n v="80"/>
    <n v="0"/>
    <n v="8"/>
    <n v="3"/>
    <n v="2"/>
    <x v="9"/>
    <n v="3"/>
    <n v="0"/>
    <n v="1"/>
  </r>
  <r>
    <n v="40"/>
    <x v="1"/>
    <n v="0"/>
    <s v="Travel_Rarely"/>
    <n v="300"/>
    <x v="0"/>
    <n v="26"/>
    <n v="3"/>
    <x v="3"/>
    <n v="1"/>
    <n v="1066"/>
    <n v="3"/>
    <x v="1"/>
    <n v="74"/>
    <n v="3"/>
    <x v="0"/>
    <x v="0"/>
    <n v="1"/>
    <x v="1"/>
    <n v="8396"/>
    <n v="22217"/>
    <n v="1"/>
    <s v="Y"/>
    <x v="1"/>
    <n v="14"/>
    <n v="3"/>
    <n v="2"/>
    <n v="80"/>
    <n v="1"/>
    <n v="8"/>
    <n v="3"/>
    <n v="2"/>
    <x v="5"/>
    <n v="7"/>
    <n v="7"/>
    <n v="5"/>
  </r>
  <r>
    <n v="26"/>
    <x v="1"/>
    <n v="0"/>
    <s v="Travel_Frequently"/>
    <n v="921"/>
    <x v="1"/>
    <n v="1"/>
    <n v="1"/>
    <x v="2"/>
    <n v="1"/>
    <n v="1068"/>
    <n v="1"/>
    <x v="0"/>
    <n v="66"/>
    <n v="2"/>
    <x v="1"/>
    <x v="1"/>
    <n v="3"/>
    <x v="2"/>
    <n v="2007"/>
    <n v="25265"/>
    <n v="1"/>
    <s v="Y"/>
    <x v="1"/>
    <n v="13"/>
    <n v="3"/>
    <n v="3"/>
    <n v="80"/>
    <n v="2"/>
    <n v="5"/>
    <n v="5"/>
    <n v="3"/>
    <x v="8"/>
    <n v="3"/>
    <n v="1"/>
    <n v="3"/>
  </r>
  <r>
    <n v="46"/>
    <x v="1"/>
    <n v="0"/>
    <s v="Travel_Rarely"/>
    <n v="430"/>
    <x v="1"/>
    <n v="1"/>
    <n v="4"/>
    <x v="2"/>
    <n v="1"/>
    <n v="1069"/>
    <n v="4"/>
    <x v="1"/>
    <n v="40"/>
    <n v="3"/>
    <x v="4"/>
    <x v="7"/>
    <n v="4"/>
    <x v="2"/>
    <n v="19627"/>
    <n v="21445"/>
    <n v="9"/>
    <s v="Y"/>
    <x v="1"/>
    <n v="17"/>
    <n v="3"/>
    <n v="4"/>
    <n v="80"/>
    <n v="2"/>
    <n v="23"/>
    <n v="0"/>
    <n v="3"/>
    <x v="4"/>
    <n v="2"/>
    <n v="2"/>
    <n v="2"/>
  </r>
  <r>
    <n v="54"/>
    <x v="1"/>
    <n v="0"/>
    <s v="Travel_Rarely"/>
    <n v="1082"/>
    <x v="0"/>
    <n v="2"/>
    <n v="4"/>
    <x v="0"/>
    <n v="1"/>
    <n v="1070"/>
    <n v="3"/>
    <x v="0"/>
    <n v="41"/>
    <n v="2"/>
    <x v="2"/>
    <x v="0"/>
    <n v="3"/>
    <x v="1"/>
    <n v="10686"/>
    <n v="8392"/>
    <n v="6"/>
    <s v="Y"/>
    <x v="1"/>
    <n v="11"/>
    <n v="3"/>
    <n v="2"/>
    <n v="80"/>
    <n v="1"/>
    <n v="13"/>
    <n v="4"/>
    <n v="3"/>
    <x v="7"/>
    <n v="4"/>
    <n v="7"/>
    <n v="0"/>
  </r>
  <r>
    <n v="56"/>
    <x v="1"/>
    <n v="0"/>
    <s v="Travel_Frequently"/>
    <n v="1240"/>
    <x v="1"/>
    <n v="9"/>
    <n v="3"/>
    <x v="2"/>
    <n v="1"/>
    <n v="1071"/>
    <n v="1"/>
    <x v="0"/>
    <n v="63"/>
    <n v="3"/>
    <x v="1"/>
    <x v="1"/>
    <n v="3"/>
    <x v="1"/>
    <n v="2942"/>
    <n v="12154"/>
    <n v="2"/>
    <s v="Y"/>
    <x v="1"/>
    <n v="19"/>
    <n v="3"/>
    <n v="2"/>
    <n v="80"/>
    <n v="1"/>
    <n v="18"/>
    <n v="4"/>
    <n v="3"/>
    <x v="8"/>
    <n v="4"/>
    <n v="0"/>
    <n v="3"/>
  </r>
  <r>
    <n v="36"/>
    <x v="1"/>
    <n v="0"/>
    <s v="Travel_Rarely"/>
    <n v="796"/>
    <x v="1"/>
    <n v="12"/>
    <n v="5"/>
    <x v="2"/>
    <n v="1"/>
    <n v="1073"/>
    <n v="4"/>
    <x v="0"/>
    <n v="51"/>
    <n v="2"/>
    <x v="2"/>
    <x v="3"/>
    <n v="4"/>
    <x v="0"/>
    <n v="8858"/>
    <n v="15669"/>
    <n v="0"/>
    <s v="Y"/>
    <x v="1"/>
    <n v="11"/>
    <n v="3"/>
    <n v="2"/>
    <n v="80"/>
    <n v="0"/>
    <n v="15"/>
    <n v="2"/>
    <n v="2"/>
    <x v="13"/>
    <n v="8"/>
    <n v="7"/>
    <n v="8"/>
  </r>
  <r>
    <n v="55"/>
    <x v="1"/>
    <n v="0"/>
    <s v="Non-Travel"/>
    <n v="444"/>
    <x v="1"/>
    <n v="2"/>
    <n v="1"/>
    <x v="2"/>
    <n v="1"/>
    <n v="1074"/>
    <n v="3"/>
    <x v="1"/>
    <n v="40"/>
    <n v="2"/>
    <x v="3"/>
    <x v="5"/>
    <n v="1"/>
    <x v="0"/>
    <n v="16756"/>
    <n v="17323"/>
    <n v="7"/>
    <s v="Y"/>
    <x v="1"/>
    <n v="15"/>
    <n v="3"/>
    <n v="2"/>
    <n v="80"/>
    <n v="0"/>
    <n v="31"/>
    <n v="3"/>
    <n v="4"/>
    <x v="7"/>
    <n v="7"/>
    <n v="6"/>
    <n v="2"/>
  </r>
  <r>
    <n v="43"/>
    <x v="1"/>
    <n v="0"/>
    <s v="Travel_Rarely"/>
    <n v="415"/>
    <x v="0"/>
    <n v="25"/>
    <n v="3"/>
    <x v="2"/>
    <n v="1"/>
    <n v="1076"/>
    <n v="3"/>
    <x v="1"/>
    <n v="79"/>
    <n v="2"/>
    <x v="2"/>
    <x v="0"/>
    <n v="4"/>
    <x v="2"/>
    <n v="10798"/>
    <n v="5268"/>
    <n v="5"/>
    <s v="Y"/>
    <x v="1"/>
    <n v="13"/>
    <n v="3"/>
    <n v="3"/>
    <n v="80"/>
    <n v="1"/>
    <n v="18"/>
    <n v="5"/>
    <n v="3"/>
    <x v="6"/>
    <n v="0"/>
    <n v="0"/>
    <n v="0"/>
  </r>
  <r>
    <n v="20"/>
    <x v="0"/>
    <n v="1"/>
    <s v="Travel_Frequently"/>
    <n v="769"/>
    <x v="0"/>
    <n v="9"/>
    <n v="3"/>
    <x v="3"/>
    <n v="1"/>
    <n v="1077"/>
    <n v="4"/>
    <x v="0"/>
    <n v="54"/>
    <n v="3"/>
    <x v="1"/>
    <x v="6"/>
    <n v="4"/>
    <x v="0"/>
    <n v="2323"/>
    <n v="17205"/>
    <n v="1"/>
    <s v="Y"/>
    <x v="0"/>
    <n v="14"/>
    <n v="3"/>
    <n v="2"/>
    <n v="80"/>
    <n v="0"/>
    <n v="2"/>
    <n v="3"/>
    <n v="3"/>
    <x v="4"/>
    <n v="2"/>
    <n v="0"/>
    <n v="2"/>
  </r>
  <r>
    <n v="21"/>
    <x v="0"/>
    <n v="1"/>
    <s v="Travel_Rarely"/>
    <n v="1334"/>
    <x v="1"/>
    <n v="10"/>
    <n v="3"/>
    <x v="0"/>
    <n v="1"/>
    <n v="1079"/>
    <n v="3"/>
    <x v="0"/>
    <n v="36"/>
    <n v="2"/>
    <x v="1"/>
    <x v="2"/>
    <n v="1"/>
    <x v="0"/>
    <n v="1416"/>
    <n v="17258"/>
    <n v="1"/>
    <s v="Y"/>
    <x v="1"/>
    <n v="13"/>
    <n v="3"/>
    <n v="1"/>
    <n v="80"/>
    <n v="0"/>
    <n v="1"/>
    <n v="6"/>
    <n v="2"/>
    <x v="6"/>
    <n v="0"/>
    <n v="1"/>
    <n v="0"/>
  </r>
  <r>
    <n v="46"/>
    <x v="1"/>
    <n v="0"/>
    <s v="Travel_Rarely"/>
    <n v="1003"/>
    <x v="1"/>
    <n v="8"/>
    <n v="4"/>
    <x v="0"/>
    <n v="1"/>
    <n v="1080"/>
    <n v="4"/>
    <x v="0"/>
    <n v="74"/>
    <n v="2"/>
    <x v="0"/>
    <x v="1"/>
    <n v="1"/>
    <x v="2"/>
    <n v="4615"/>
    <n v="21029"/>
    <n v="8"/>
    <s v="Y"/>
    <x v="0"/>
    <n v="23"/>
    <n v="4"/>
    <n v="1"/>
    <n v="80"/>
    <n v="3"/>
    <n v="19"/>
    <n v="2"/>
    <n v="3"/>
    <x v="22"/>
    <n v="13"/>
    <n v="1"/>
    <n v="7"/>
  </r>
  <r>
    <n v="51"/>
    <x v="0"/>
    <n v="1"/>
    <s v="Travel_Rarely"/>
    <n v="1323"/>
    <x v="1"/>
    <n v="4"/>
    <n v="4"/>
    <x v="0"/>
    <n v="1"/>
    <n v="1081"/>
    <n v="1"/>
    <x v="1"/>
    <n v="34"/>
    <n v="3"/>
    <x v="1"/>
    <x v="1"/>
    <n v="3"/>
    <x v="1"/>
    <n v="2461"/>
    <n v="10332"/>
    <n v="9"/>
    <s v="Y"/>
    <x v="0"/>
    <n v="12"/>
    <n v="3"/>
    <n v="3"/>
    <n v="80"/>
    <n v="3"/>
    <n v="18"/>
    <n v="2"/>
    <n v="4"/>
    <x v="1"/>
    <n v="0"/>
    <n v="2"/>
    <n v="7"/>
  </r>
  <r>
    <n v="28"/>
    <x v="0"/>
    <n v="1"/>
    <s v="Non-Travel"/>
    <n v="1366"/>
    <x v="1"/>
    <n v="24"/>
    <n v="2"/>
    <x v="4"/>
    <n v="1"/>
    <n v="1082"/>
    <n v="2"/>
    <x v="1"/>
    <n v="72"/>
    <n v="2"/>
    <x v="2"/>
    <x v="4"/>
    <n v="1"/>
    <x v="0"/>
    <n v="8722"/>
    <n v="12355"/>
    <n v="1"/>
    <s v="Y"/>
    <x v="1"/>
    <n v="12"/>
    <n v="3"/>
    <n v="1"/>
    <n v="80"/>
    <n v="0"/>
    <n v="10"/>
    <n v="2"/>
    <n v="2"/>
    <x v="1"/>
    <n v="7"/>
    <n v="1"/>
    <n v="9"/>
  </r>
  <r>
    <n v="26"/>
    <x v="1"/>
    <n v="0"/>
    <s v="Travel_Rarely"/>
    <n v="192"/>
    <x v="1"/>
    <n v="1"/>
    <n v="2"/>
    <x v="2"/>
    <n v="1"/>
    <n v="1083"/>
    <n v="1"/>
    <x v="1"/>
    <n v="59"/>
    <n v="2"/>
    <x v="1"/>
    <x v="2"/>
    <n v="1"/>
    <x v="1"/>
    <n v="3955"/>
    <n v="11141"/>
    <n v="1"/>
    <s v="Y"/>
    <x v="1"/>
    <n v="16"/>
    <n v="3"/>
    <n v="1"/>
    <n v="80"/>
    <n v="2"/>
    <n v="6"/>
    <n v="2"/>
    <n v="3"/>
    <x v="8"/>
    <n v="3"/>
    <n v="1"/>
    <n v="3"/>
  </r>
  <r>
    <n v="30"/>
    <x v="1"/>
    <n v="0"/>
    <s v="Travel_Rarely"/>
    <n v="1176"/>
    <x v="1"/>
    <n v="20"/>
    <n v="3"/>
    <x v="1"/>
    <n v="1"/>
    <n v="1084"/>
    <n v="3"/>
    <x v="1"/>
    <n v="85"/>
    <n v="3"/>
    <x v="0"/>
    <x v="3"/>
    <n v="1"/>
    <x v="1"/>
    <n v="9957"/>
    <n v="9096"/>
    <n v="0"/>
    <s v="Y"/>
    <x v="1"/>
    <n v="15"/>
    <n v="3"/>
    <n v="3"/>
    <n v="80"/>
    <n v="1"/>
    <n v="7"/>
    <n v="1"/>
    <n v="2"/>
    <x v="0"/>
    <n v="2"/>
    <n v="0"/>
    <n v="2"/>
  </r>
  <r>
    <n v="41"/>
    <x v="1"/>
    <n v="0"/>
    <s v="Travel_Rarely"/>
    <n v="509"/>
    <x v="1"/>
    <n v="7"/>
    <n v="2"/>
    <x v="4"/>
    <n v="1"/>
    <n v="1085"/>
    <n v="2"/>
    <x v="0"/>
    <n v="43"/>
    <n v="4"/>
    <x v="1"/>
    <x v="1"/>
    <n v="3"/>
    <x v="1"/>
    <n v="3376"/>
    <n v="18863"/>
    <n v="1"/>
    <s v="Y"/>
    <x v="1"/>
    <n v="13"/>
    <n v="3"/>
    <n v="3"/>
    <n v="80"/>
    <n v="0"/>
    <n v="10"/>
    <n v="3"/>
    <n v="3"/>
    <x v="1"/>
    <n v="6"/>
    <n v="0"/>
    <n v="8"/>
  </r>
  <r>
    <n v="38"/>
    <x v="1"/>
    <n v="0"/>
    <s v="Travel_Rarely"/>
    <n v="330"/>
    <x v="1"/>
    <n v="17"/>
    <n v="1"/>
    <x v="0"/>
    <n v="1"/>
    <n v="1088"/>
    <n v="3"/>
    <x v="0"/>
    <n v="65"/>
    <n v="2"/>
    <x v="2"/>
    <x v="4"/>
    <n v="3"/>
    <x v="1"/>
    <n v="8823"/>
    <n v="24608"/>
    <n v="0"/>
    <s v="Y"/>
    <x v="1"/>
    <n v="18"/>
    <n v="3"/>
    <n v="1"/>
    <n v="80"/>
    <n v="1"/>
    <n v="20"/>
    <n v="4"/>
    <n v="2"/>
    <x v="27"/>
    <n v="9"/>
    <n v="1"/>
    <n v="9"/>
  </r>
  <r>
    <n v="40"/>
    <x v="1"/>
    <n v="0"/>
    <s v="Travel_Rarely"/>
    <n v="1492"/>
    <x v="1"/>
    <n v="20"/>
    <n v="4"/>
    <x v="4"/>
    <n v="1"/>
    <n v="1092"/>
    <n v="1"/>
    <x v="1"/>
    <n v="61"/>
    <n v="3"/>
    <x v="2"/>
    <x v="4"/>
    <n v="4"/>
    <x v="1"/>
    <n v="10322"/>
    <n v="26542"/>
    <n v="4"/>
    <s v="Y"/>
    <x v="1"/>
    <n v="20"/>
    <n v="4"/>
    <n v="4"/>
    <n v="80"/>
    <n v="1"/>
    <n v="14"/>
    <n v="6"/>
    <n v="3"/>
    <x v="19"/>
    <n v="10"/>
    <n v="11"/>
    <n v="1"/>
  </r>
  <r>
    <n v="27"/>
    <x v="1"/>
    <n v="0"/>
    <s v="Non-Travel"/>
    <n v="1277"/>
    <x v="1"/>
    <n v="8"/>
    <n v="5"/>
    <x v="0"/>
    <n v="1"/>
    <n v="1094"/>
    <n v="1"/>
    <x v="1"/>
    <n v="87"/>
    <n v="1"/>
    <x v="1"/>
    <x v="2"/>
    <n v="3"/>
    <x v="1"/>
    <n v="4621"/>
    <n v="5869"/>
    <n v="1"/>
    <s v="Y"/>
    <x v="1"/>
    <n v="19"/>
    <n v="3"/>
    <n v="4"/>
    <n v="80"/>
    <n v="3"/>
    <n v="3"/>
    <n v="4"/>
    <n v="3"/>
    <x v="11"/>
    <n v="2"/>
    <n v="1"/>
    <n v="2"/>
  </r>
  <r>
    <n v="55"/>
    <x v="1"/>
    <n v="0"/>
    <s v="Travel_Frequently"/>
    <n v="1091"/>
    <x v="1"/>
    <n v="2"/>
    <n v="1"/>
    <x v="0"/>
    <n v="1"/>
    <n v="1096"/>
    <n v="4"/>
    <x v="1"/>
    <n v="65"/>
    <n v="3"/>
    <x v="2"/>
    <x v="3"/>
    <n v="2"/>
    <x v="1"/>
    <n v="10976"/>
    <n v="15813"/>
    <n v="3"/>
    <s v="Y"/>
    <x v="1"/>
    <n v="18"/>
    <n v="3"/>
    <n v="2"/>
    <n v="80"/>
    <n v="1"/>
    <n v="23"/>
    <n v="4"/>
    <n v="3"/>
    <x v="11"/>
    <n v="2"/>
    <n v="1"/>
    <n v="2"/>
  </r>
  <r>
    <n v="28"/>
    <x v="1"/>
    <n v="0"/>
    <s v="Travel_Rarely"/>
    <n v="857"/>
    <x v="1"/>
    <n v="10"/>
    <n v="3"/>
    <x v="1"/>
    <n v="1"/>
    <n v="1097"/>
    <n v="3"/>
    <x v="0"/>
    <n v="59"/>
    <n v="3"/>
    <x v="0"/>
    <x v="1"/>
    <n v="3"/>
    <x v="0"/>
    <n v="3660"/>
    <n v="7909"/>
    <n v="3"/>
    <s v="Y"/>
    <x v="1"/>
    <n v="13"/>
    <n v="3"/>
    <n v="4"/>
    <n v="80"/>
    <n v="0"/>
    <n v="10"/>
    <n v="4"/>
    <n v="4"/>
    <x v="3"/>
    <n v="7"/>
    <n v="1"/>
    <n v="7"/>
  </r>
  <r>
    <n v="44"/>
    <x v="0"/>
    <n v="1"/>
    <s v="Travel_Rarely"/>
    <n v="1376"/>
    <x v="2"/>
    <n v="1"/>
    <n v="2"/>
    <x v="2"/>
    <n v="1"/>
    <n v="1098"/>
    <n v="2"/>
    <x v="1"/>
    <n v="91"/>
    <n v="2"/>
    <x v="2"/>
    <x v="8"/>
    <n v="1"/>
    <x v="1"/>
    <n v="10482"/>
    <n v="2326"/>
    <n v="9"/>
    <s v="Y"/>
    <x v="1"/>
    <n v="14"/>
    <n v="3"/>
    <n v="4"/>
    <n v="80"/>
    <n v="1"/>
    <n v="24"/>
    <n v="1"/>
    <n v="3"/>
    <x v="23"/>
    <n v="6"/>
    <n v="3"/>
    <n v="6"/>
  </r>
  <r>
    <n v="33"/>
    <x v="1"/>
    <n v="0"/>
    <s v="Travel_Rarely"/>
    <n v="654"/>
    <x v="1"/>
    <n v="5"/>
    <n v="3"/>
    <x v="0"/>
    <n v="1"/>
    <n v="1099"/>
    <n v="4"/>
    <x v="1"/>
    <n v="34"/>
    <n v="2"/>
    <x v="2"/>
    <x v="4"/>
    <n v="4"/>
    <x v="2"/>
    <n v="7119"/>
    <n v="21214"/>
    <n v="4"/>
    <s v="Y"/>
    <x v="1"/>
    <n v="15"/>
    <n v="3"/>
    <n v="3"/>
    <n v="80"/>
    <n v="1"/>
    <n v="9"/>
    <n v="2"/>
    <n v="3"/>
    <x v="11"/>
    <n v="2"/>
    <n v="1"/>
    <n v="2"/>
  </r>
  <r>
    <n v="35"/>
    <x v="0"/>
    <n v="1"/>
    <s v="Travel_Rarely"/>
    <n v="1204"/>
    <x v="0"/>
    <n v="4"/>
    <n v="3"/>
    <x v="4"/>
    <n v="1"/>
    <n v="1100"/>
    <n v="4"/>
    <x v="1"/>
    <n v="86"/>
    <n v="3"/>
    <x v="2"/>
    <x v="0"/>
    <n v="1"/>
    <x v="0"/>
    <n v="9582"/>
    <n v="10333"/>
    <n v="0"/>
    <s v="Y"/>
    <x v="0"/>
    <n v="22"/>
    <n v="4"/>
    <n v="1"/>
    <n v="80"/>
    <n v="0"/>
    <n v="9"/>
    <n v="2"/>
    <n v="3"/>
    <x v="3"/>
    <n v="7"/>
    <n v="4"/>
    <n v="7"/>
  </r>
  <r>
    <n v="33"/>
    <x v="0"/>
    <n v="1"/>
    <s v="Travel_Frequently"/>
    <n v="827"/>
    <x v="1"/>
    <n v="29"/>
    <n v="4"/>
    <x v="2"/>
    <n v="1"/>
    <n v="1101"/>
    <n v="1"/>
    <x v="0"/>
    <n v="54"/>
    <n v="2"/>
    <x v="0"/>
    <x v="1"/>
    <n v="3"/>
    <x v="0"/>
    <n v="4508"/>
    <n v="3129"/>
    <n v="1"/>
    <s v="Y"/>
    <x v="1"/>
    <n v="22"/>
    <n v="4"/>
    <n v="2"/>
    <n v="80"/>
    <n v="0"/>
    <n v="14"/>
    <n v="4"/>
    <n v="3"/>
    <x v="20"/>
    <n v="7"/>
    <n v="3"/>
    <n v="8"/>
  </r>
  <r>
    <n v="28"/>
    <x v="1"/>
    <n v="0"/>
    <s v="Travel_Rarely"/>
    <n v="895"/>
    <x v="1"/>
    <n v="15"/>
    <n v="2"/>
    <x v="0"/>
    <n v="1"/>
    <n v="1102"/>
    <n v="1"/>
    <x v="1"/>
    <n v="50"/>
    <n v="3"/>
    <x v="1"/>
    <x v="2"/>
    <n v="3"/>
    <x v="2"/>
    <n v="2207"/>
    <n v="22482"/>
    <n v="1"/>
    <s v="Y"/>
    <x v="1"/>
    <n v="16"/>
    <n v="3"/>
    <n v="4"/>
    <n v="80"/>
    <n v="1"/>
    <n v="4"/>
    <n v="5"/>
    <n v="2"/>
    <x v="9"/>
    <n v="2"/>
    <n v="2"/>
    <n v="2"/>
  </r>
  <r>
    <n v="34"/>
    <x v="1"/>
    <n v="0"/>
    <s v="Travel_Frequently"/>
    <n v="618"/>
    <x v="1"/>
    <n v="3"/>
    <n v="1"/>
    <x v="0"/>
    <n v="1"/>
    <n v="1103"/>
    <n v="1"/>
    <x v="1"/>
    <n v="45"/>
    <n v="3"/>
    <x v="0"/>
    <x v="4"/>
    <n v="4"/>
    <x v="0"/>
    <n v="7756"/>
    <n v="22266"/>
    <n v="0"/>
    <s v="Y"/>
    <x v="1"/>
    <n v="17"/>
    <n v="3"/>
    <n v="3"/>
    <n v="80"/>
    <n v="0"/>
    <n v="7"/>
    <n v="1"/>
    <n v="2"/>
    <x v="0"/>
    <n v="2"/>
    <n v="0"/>
    <n v="4"/>
  </r>
  <r>
    <n v="37"/>
    <x v="1"/>
    <n v="0"/>
    <s v="Travel_Rarely"/>
    <n v="309"/>
    <x v="0"/>
    <n v="10"/>
    <n v="4"/>
    <x v="0"/>
    <n v="1"/>
    <n v="1105"/>
    <n v="4"/>
    <x v="0"/>
    <n v="88"/>
    <n v="2"/>
    <x v="0"/>
    <x v="0"/>
    <n v="4"/>
    <x v="2"/>
    <n v="6694"/>
    <n v="24223"/>
    <n v="2"/>
    <s v="Y"/>
    <x v="0"/>
    <n v="14"/>
    <n v="3"/>
    <n v="3"/>
    <n v="80"/>
    <n v="3"/>
    <n v="8"/>
    <n v="5"/>
    <n v="3"/>
    <x v="6"/>
    <n v="0"/>
    <n v="0"/>
    <n v="0"/>
  </r>
  <r>
    <n v="25"/>
    <x v="0"/>
    <n v="1"/>
    <s v="Travel_Rarely"/>
    <n v="1219"/>
    <x v="1"/>
    <n v="4"/>
    <n v="1"/>
    <x v="4"/>
    <n v="1"/>
    <n v="1106"/>
    <n v="4"/>
    <x v="1"/>
    <n v="32"/>
    <n v="3"/>
    <x v="1"/>
    <x v="2"/>
    <n v="4"/>
    <x v="1"/>
    <n v="3691"/>
    <n v="4605"/>
    <n v="1"/>
    <s v="Y"/>
    <x v="0"/>
    <n v="15"/>
    <n v="3"/>
    <n v="2"/>
    <n v="80"/>
    <n v="1"/>
    <n v="7"/>
    <n v="3"/>
    <n v="4"/>
    <x v="5"/>
    <n v="7"/>
    <n v="5"/>
    <n v="6"/>
  </r>
  <r>
    <n v="26"/>
    <x v="0"/>
    <n v="1"/>
    <s v="Travel_Rarely"/>
    <n v="1330"/>
    <x v="1"/>
    <n v="21"/>
    <n v="3"/>
    <x v="2"/>
    <n v="1"/>
    <n v="1107"/>
    <n v="1"/>
    <x v="1"/>
    <n v="37"/>
    <n v="3"/>
    <x v="1"/>
    <x v="2"/>
    <n v="3"/>
    <x v="2"/>
    <n v="2377"/>
    <n v="19373"/>
    <n v="1"/>
    <s v="Y"/>
    <x v="1"/>
    <n v="20"/>
    <n v="4"/>
    <n v="3"/>
    <n v="80"/>
    <n v="1"/>
    <n v="1"/>
    <n v="0"/>
    <n v="2"/>
    <x v="6"/>
    <n v="1"/>
    <n v="0"/>
    <n v="0"/>
  </r>
  <r>
    <n v="33"/>
    <x v="0"/>
    <n v="1"/>
    <s v="Travel_Rarely"/>
    <n v="1017"/>
    <x v="1"/>
    <n v="25"/>
    <n v="3"/>
    <x v="2"/>
    <n v="1"/>
    <n v="1108"/>
    <n v="1"/>
    <x v="1"/>
    <n v="55"/>
    <n v="2"/>
    <x v="1"/>
    <x v="1"/>
    <n v="2"/>
    <x v="0"/>
    <n v="2313"/>
    <n v="2993"/>
    <n v="4"/>
    <s v="Y"/>
    <x v="0"/>
    <n v="20"/>
    <n v="4"/>
    <n v="2"/>
    <n v="80"/>
    <n v="0"/>
    <n v="5"/>
    <n v="0"/>
    <n v="3"/>
    <x v="4"/>
    <n v="2"/>
    <n v="2"/>
    <n v="2"/>
  </r>
  <r>
    <n v="42"/>
    <x v="1"/>
    <n v="0"/>
    <s v="Travel_Rarely"/>
    <n v="469"/>
    <x v="1"/>
    <n v="2"/>
    <n v="2"/>
    <x v="2"/>
    <n v="1"/>
    <n v="1109"/>
    <n v="4"/>
    <x v="1"/>
    <n v="35"/>
    <n v="3"/>
    <x v="3"/>
    <x v="5"/>
    <n v="1"/>
    <x v="1"/>
    <n v="17665"/>
    <n v="14399"/>
    <n v="0"/>
    <s v="Y"/>
    <x v="1"/>
    <n v="17"/>
    <n v="3"/>
    <n v="4"/>
    <n v="80"/>
    <n v="1"/>
    <n v="23"/>
    <n v="3"/>
    <n v="3"/>
    <x v="14"/>
    <n v="6"/>
    <n v="13"/>
    <n v="7"/>
  </r>
  <r>
    <n v="28"/>
    <x v="0"/>
    <n v="1"/>
    <s v="Travel_Frequently"/>
    <n v="1009"/>
    <x v="1"/>
    <n v="1"/>
    <n v="3"/>
    <x v="2"/>
    <n v="1"/>
    <n v="1111"/>
    <n v="1"/>
    <x v="1"/>
    <n v="45"/>
    <n v="2"/>
    <x v="1"/>
    <x v="2"/>
    <n v="2"/>
    <x v="2"/>
    <n v="2596"/>
    <n v="7160"/>
    <n v="1"/>
    <s v="Y"/>
    <x v="1"/>
    <n v="15"/>
    <n v="3"/>
    <n v="1"/>
    <n v="80"/>
    <n v="2"/>
    <n v="1"/>
    <n v="2"/>
    <n v="3"/>
    <x v="6"/>
    <n v="0"/>
    <n v="0"/>
    <n v="0"/>
  </r>
  <r>
    <n v="50"/>
    <x v="0"/>
    <n v="1"/>
    <s v="Travel_Frequently"/>
    <n v="959"/>
    <x v="0"/>
    <n v="1"/>
    <n v="4"/>
    <x v="1"/>
    <n v="1"/>
    <n v="1113"/>
    <n v="4"/>
    <x v="1"/>
    <n v="81"/>
    <n v="3"/>
    <x v="0"/>
    <x v="0"/>
    <n v="3"/>
    <x v="0"/>
    <n v="4728"/>
    <n v="17251"/>
    <n v="3"/>
    <s v="Y"/>
    <x v="0"/>
    <n v="14"/>
    <n v="3"/>
    <n v="4"/>
    <n v="80"/>
    <n v="0"/>
    <n v="5"/>
    <n v="4"/>
    <n v="3"/>
    <x v="2"/>
    <n v="0"/>
    <n v="0"/>
    <n v="0"/>
  </r>
  <r>
    <n v="33"/>
    <x v="1"/>
    <n v="0"/>
    <s v="Travel_Frequently"/>
    <n v="970"/>
    <x v="0"/>
    <n v="7"/>
    <n v="3"/>
    <x v="0"/>
    <n v="1"/>
    <n v="1114"/>
    <n v="4"/>
    <x v="0"/>
    <n v="30"/>
    <n v="3"/>
    <x v="0"/>
    <x v="0"/>
    <n v="2"/>
    <x v="1"/>
    <n v="4302"/>
    <n v="13401"/>
    <n v="0"/>
    <s v="Y"/>
    <x v="1"/>
    <n v="17"/>
    <n v="3"/>
    <n v="3"/>
    <n v="80"/>
    <n v="1"/>
    <n v="4"/>
    <n v="3"/>
    <n v="3"/>
    <x v="11"/>
    <n v="2"/>
    <n v="0"/>
    <n v="2"/>
  </r>
  <r>
    <n v="34"/>
    <x v="1"/>
    <n v="0"/>
    <s v="Non-Travel"/>
    <n v="697"/>
    <x v="1"/>
    <n v="3"/>
    <n v="4"/>
    <x v="0"/>
    <n v="1"/>
    <n v="1115"/>
    <n v="3"/>
    <x v="1"/>
    <n v="40"/>
    <n v="2"/>
    <x v="1"/>
    <x v="1"/>
    <n v="4"/>
    <x v="1"/>
    <n v="2979"/>
    <n v="22478"/>
    <n v="3"/>
    <s v="Y"/>
    <x v="1"/>
    <n v="17"/>
    <n v="3"/>
    <n v="4"/>
    <n v="80"/>
    <n v="3"/>
    <n v="6"/>
    <n v="2"/>
    <n v="3"/>
    <x v="2"/>
    <n v="0"/>
    <n v="0"/>
    <n v="0"/>
  </r>
  <r>
    <n v="48"/>
    <x v="1"/>
    <n v="0"/>
    <s v="Non-Travel"/>
    <n v="1262"/>
    <x v="1"/>
    <n v="1"/>
    <n v="4"/>
    <x v="2"/>
    <n v="1"/>
    <n v="1116"/>
    <n v="1"/>
    <x v="1"/>
    <n v="35"/>
    <n v="4"/>
    <x v="3"/>
    <x v="5"/>
    <n v="4"/>
    <x v="0"/>
    <n v="16885"/>
    <n v="16154"/>
    <n v="2"/>
    <s v="Y"/>
    <x v="1"/>
    <n v="22"/>
    <n v="4"/>
    <n v="3"/>
    <n v="80"/>
    <n v="0"/>
    <n v="27"/>
    <n v="3"/>
    <n v="2"/>
    <x v="8"/>
    <n v="4"/>
    <n v="2"/>
    <n v="1"/>
  </r>
  <r>
    <n v="45"/>
    <x v="1"/>
    <n v="0"/>
    <s v="Non-Travel"/>
    <n v="1050"/>
    <x v="0"/>
    <n v="9"/>
    <n v="4"/>
    <x v="0"/>
    <n v="1"/>
    <n v="1117"/>
    <n v="2"/>
    <x v="0"/>
    <n v="65"/>
    <n v="2"/>
    <x v="0"/>
    <x v="0"/>
    <n v="3"/>
    <x v="1"/>
    <n v="5593"/>
    <n v="17970"/>
    <n v="1"/>
    <s v="Y"/>
    <x v="1"/>
    <n v="13"/>
    <n v="3"/>
    <n v="4"/>
    <n v="80"/>
    <n v="1"/>
    <n v="15"/>
    <n v="2"/>
    <n v="3"/>
    <x v="15"/>
    <n v="10"/>
    <n v="4"/>
    <n v="12"/>
  </r>
  <r>
    <n v="52"/>
    <x v="1"/>
    <n v="0"/>
    <s v="Travel_Rarely"/>
    <n v="994"/>
    <x v="1"/>
    <n v="7"/>
    <n v="4"/>
    <x v="0"/>
    <n v="1"/>
    <n v="1118"/>
    <n v="2"/>
    <x v="1"/>
    <n v="87"/>
    <n v="3"/>
    <x v="2"/>
    <x v="4"/>
    <n v="2"/>
    <x v="0"/>
    <n v="10445"/>
    <n v="15322"/>
    <n v="7"/>
    <s v="Y"/>
    <x v="1"/>
    <n v="19"/>
    <n v="3"/>
    <n v="4"/>
    <n v="80"/>
    <n v="0"/>
    <n v="18"/>
    <n v="4"/>
    <n v="3"/>
    <x v="3"/>
    <n v="6"/>
    <n v="4"/>
    <n v="0"/>
  </r>
  <r>
    <n v="38"/>
    <x v="1"/>
    <n v="0"/>
    <s v="Travel_Rarely"/>
    <n v="770"/>
    <x v="0"/>
    <n v="10"/>
    <n v="4"/>
    <x v="3"/>
    <n v="1"/>
    <n v="1119"/>
    <n v="3"/>
    <x v="1"/>
    <n v="73"/>
    <n v="2"/>
    <x v="2"/>
    <x v="0"/>
    <n v="3"/>
    <x v="2"/>
    <n v="8740"/>
    <n v="5569"/>
    <n v="0"/>
    <s v="Y"/>
    <x v="0"/>
    <n v="14"/>
    <n v="3"/>
    <n v="2"/>
    <n v="80"/>
    <n v="2"/>
    <n v="9"/>
    <n v="2"/>
    <n v="3"/>
    <x v="3"/>
    <n v="7"/>
    <n v="2"/>
    <n v="7"/>
  </r>
  <r>
    <n v="29"/>
    <x v="1"/>
    <n v="0"/>
    <s v="Travel_Rarely"/>
    <n v="1107"/>
    <x v="1"/>
    <n v="28"/>
    <n v="4"/>
    <x v="0"/>
    <n v="1"/>
    <n v="1120"/>
    <n v="3"/>
    <x v="0"/>
    <n v="93"/>
    <n v="3"/>
    <x v="1"/>
    <x v="1"/>
    <n v="4"/>
    <x v="2"/>
    <n v="2514"/>
    <n v="26968"/>
    <n v="4"/>
    <s v="Y"/>
    <x v="1"/>
    <n v="22"/>
    <n v="4"/>
    <n v="1"/>
    <n v="80"/>
    <n v="1"/>
    <n v="11"/>
    <n v="1"/>
    <n v="3"/>
    <x v="5"/>
    <n v="5"/>
    <n v="1"/>
    <n v="7"/>
  </r>
  <r>
    <n v="28"/>
    <x v="1"/>
    <n v="0"/>
    <s v="Travel_Rarely"/>
    <n v="950"/>
    <x v="1"/>
    <n v="3"/>
    <n v="3"/>
    <x v="2"/>
    <n v="1"/>
    <n v="1121"/>
    <n v="4"/>
    <x v="0"/>
    <n v="93"/>
    <n v="3"/>
    <x v="2"/>
    <x v="3"/>
    <n v="2"/>
    <x v="2"/>
    <n v="7655"/>
    <n v="8039"/>
    <n v="0"/>
    <s v="Y"/>
    <x v="1"/>
    <n v="17"/>
    <n v="3"/>
    <n v="2"/>
    <n v="80"/>
    <n v="3"/>
    <n v="10"/>
    <n v="3"/>
    <n v="2"/>
    <x v="7"/>
    <n v="7"/>
    <n v="1"/>
    <n v="7"/>
  </r>
  <r>
    <n v="46"/>
    <x v="1"/>
    <n v="0"/>
    <s v="Travel_Rarely"/>
    <n v="406"/>
    <x v="0"/>
    <n v="3"/>
    <n v="1"/>
    <x v="3"/>
    <n v="1"/>
    <n v="1124"/>
    <n v="1"/>
    <x v="1"/>
    <n v="52"/>
    <n v="3"/>
    <x v="3"/>
    <x v="5"/>
    <n v="3"/>
    <x v="1"/>
    <n v="17465"/>
    <n v="15596"/>
    <n v="3"/>
    <s v="Y"/>
    <x v="1"/>
    <n v="12"/>
    <n v="3"/>
    <n v="4"/>
    <n v="80"/>
    <n v="1"/>
    <n v="23"/>
    <n v="3"/>
    <n v="3"/>
    <x v="12"/>
    <n v="9"/>
    <n v="4"/>
    <n v="9"/>
  </r>
  <r>
    <n v="38"/>
    <x v="1"/>
    <n v="0"/>
    <s v="Travel_Rarely"/>
    <n v="130"/>
    <x v="0"/>
    <n v="2"/>
    <n v="2"/>
    <x v="3"/>
    <n v="1"/>
    <n v="1125"/>
    <n v="4"/>
    <x v="1"/>
    <n v="32"/>
    <n v="3"/>
    <x v="2"/>
    <x v="0"/>
    <n v="2"/>
    <x v="0"/>
    <n v="7351"/>
    <n v="20619"/>
    <n v="7"/>
    <s v="Y"/>
    <x v="1"/>
    <n v="16"/>
    <n v="3"/>
    <n v="3"/>
    <n v="80"/>
    <n v="0"/>
    <n v="10"/>
    <n v="2"/>
    <n v="3"/>
    <x v="6"/>
    <n v="0"/>
    <n v="0"/>
    <n v="0"/>
  </r>
  <r>
    <n v="43"/>
    <x v="1"/>
    <n v="0"/>
    <s v="Travel_Frequently"/>
    <n v="1082"/>
    <x v="1"/>
    <n v="27"/>
    <n v="3"/>
    <x v="0"/>
    <n v="1"/>
    <n v="1126"/>
    <n v="3"/>
    <x v="0"/>
    <n v="83"/>
    <n v="3"/>
    <x v="2"/>
    <x v="3"/>
    <n v="1"/>
    <x v="1"/>
    <n v="10820"/>
    <n v="11535"/>
    <n v="8"/>
    <s v="Y"/>
    <x v="1"/>
    <n v="11"/>
    <n v="3"/>
    <n v="3"/>
    <n v="80"/>
    <n v="1"/>
    <n v="18"/>
    <n v="1"/>
    <n v="3"/>
    <x v="3"/>
    <n v="7"/>
    <n v="0"/>
    <n v="1"/>
  </r>
  <r>
    <n v="39"/>
    <x v="0"/>
    <n v="1"/>
    <s v="Travel_Frequently"/>
    <n v="203"/>
    <x v="1"/>
    <n v="2"/>
    <n v="3"/>
    <x v="0"/>
    <n v="1"/>
    <n v="1127"/>
    <n v="1"/>
    <x v="1"/>
    <n v="84"/>
    <n v="3"/>
    <x v="3"/>
    <x v="4"/>
    <n v="4"/>
    <x v="2"/>
    <n v="12169"/>
    <n v="13547"/>
    <n v="7"/>
    <s v="Y"/>
    <x v="1"/>
    <n v="11"/>
    <n v="3"/>
    <n v="4"/>
    <n v="80"/>
    <n v="3"/>
    <n v="21"/>
    <n v="4"/>
    <n v="3"/>
    <x v="29"/>
    <n v="7"/>
    <n v="11"/>
    <n v="5"/>
  </r>
  <r>
    <n v="40"/>
    <x v="1"/>
    <n v="0"/>
    <s v="Travel_Rarely"/>
    <n v="1308"/>
    <x v="1"/>
    <n v="14"/>
    <n v="3"/>
    <x v="2"/>
    <n v="1"/>
    <n v="1128"/>
    <n v="3"/>
    <x v="1"/>
    <n v="44"/>
    <n v="2"/>
    <x v="4"/>
    <x v="7"/>
    <n v="3"/>
    <x v="0"/>
    <n v="19626"/>
    <n v="17544"/>
    <n v="1"/>
    <s v="Y"/>
    <x v="1"/>
    <n v="14"/>
    <n v="3"/>
    <n v="1"/>
    <n v="80"/>
    <n v="0"/>
    <n v="21"/>
    <n v="2"/>
    <n v="4"/>
    <x v="23"/>
    <n v="7"/>
    <n v="4"/>
    <n v="9"/>
  </r>
  <r>
    <n v="21"/>
    <x v="1"/>
    <n v="0"/>
    <s v="Travel_Rarely"/>
    <n v="984"/>
    <x v="1"/>
    <n v="1"/>
    <n v="1"/>
    <x v="4"/>
    <n v="1"/>
    <n v="1131"/>
    <n v="4"/>
    <x v="0"/>
    <n v="70"/>
    <n v="2"/>
    <x v="1"/>
    <x v="1"/>
    <n v="2"/>
    <x v="0"/>
    <n v="2070"/>
    <n v="25326"/>
    <n v="1"/>
    <s v="Y"/>
    <x v="0"/>
    <n v="11"/>
    <n v="3"/>
    <n v="3"/>
    <n v="80"/>
    <n v="0"/>
    <n v="2"/>
    <n v="6"/>
    <n v="4"/>
    <x v="4"/>
    <n v="2"/>
    <n v="2"/>
    <n v="2"/>
  </r>
  <r>
    <n v="39"/>
    <x v="1"/>
    <n v="0"/>
    <s v="Non-Travel"/>
    <n v="439"/>
    <x v="1"/>
    <n v="9"/>
    <n v="3"/>
    <x v="0"/>
    <n v="1"/>
    <n v="1132"/>
    <n v="3"/>
    <x v="1"/>
    <n v="70"/>
    <n v="3"/>
    <x v="0"/>
    <x v="2"/>
    <n v="2"/>
    <x v="0"/>
    <n v="6782"/>
    <n v="8770"/>
    <n v="9"/>
    <s v="Y"/>
    <x v="1"/>
    <n v="15"/>
    <n v="3"/>
    <n v="3"/>
    <n v="80"/>
    <n v="0"/>
    <n v="9"/>
    <n v="2"/>
    <n v="2"/>
    <x v="8"/>
    <n v="4"/>
    <n v="0"/>
    <n v="3"/>
  </r>
  <r>
    <n v="36"/>
    <x v="1"/>
    <n v="0"/>
    <s v="Non-Travel"/>
    <n v="217"/>
    <x v="1"/>
    <n v="18"/>
    <n v="4"/>
    <x v="0"/>
    <n v="1"/>
    <n v="1133"/>
    <n v="1"/>
    <x v="1"/>
    <n v="78"/>
    <n v="3"/>
    <x v="0"/>
    <x v="3"/>
    <n v="4"/>
    <x v="0"/>
    <n v="7779"/>
    <n v="23238"/>
    <n v="2"/>
    <s v="Y"/>
    <x v="1"/>
    <n v="20"/>
    <n v="4"/>
    <n v="1"/>
    <n v="80"/>
    <n v="0"/>
    <n v="18"/>
    <n v="0"/>
    <n v="3"/>
    <x v="19"/>
    <n v="9"/>
    <n v="0"/>
    <n v="9"/>
  </r>
  <r>
    <n v="31"/>
    <x v="1"/>
    <n v="0"/>
    <s v="Travel_Frequently"/>
    <n v="793"/>
    <x v="0"/>
    <n v="20"/>
    <n v="3"/>
    <x v="0"/>
    <n v="1"/>
    <n v="1135"/>
    <n v="3"/>
    <x v="1"/>
    <n v="67"/>
    <n v="4"/>
    <x v="1"/>
    <x v="6"/>
    <n v="4"/>
    <x v="1"/>
    <n v="2791"/>
    <n v="21981"/>
    <n v="0"/>
    <s v="Y"/>
    <x v="1"/>
    <n v="12"/>
    <n v="3"/>
    <n v="1"/>
    <n v="80"/>
    <n v="1"/>
    <n v="3"/>
    <n v="4"/>
    <n v="3"/>
    <x v="4"/>
    <n v="2"/>
    <n v="2"/>
    <n v="2"/>
  </r>
  <r>
    <n v="28"/>
    <x v="1"/>
    <n v="0"/>
    <s v="Travel_Rarely"/>
    <n v="1451"/>
    <x v="1"/>
    <n v="2"/>
    <n v="1"/>
    <x v="0"/>
    <n v="1"/>
    <n v="1136"/>
    <n v="1"/>
    <x v="1"/>
    <n v="67"/>
    <n v="2"/>
    <x v="1"/>
    <x v="1"/>
    <n v="2"/>
    <x v="1"/>
    <n v="3201"/>
    <n v="19911"/>
    <n v="0"/>
    <s v="Y"/>
    <x v="1"/>
    <n v="17"/>
    <n v="3"/>
    <n v="1"/>
    <n v="80"/>
    <n v="0"/>
    <n v="6"/>
    <n v="2"/>
    <n v="1"/>
    <x v="8"/>
    <n v="3"/>
    <n v="0"/>
    <n v="4"/>
  </r>
  <r>
    <n v="35"/>
    <x v="1"/>
    <n v="0"/>
    <s v="Travel_Frequently"/>
    <n v="1182"/>
    <x v="0"/>
    <n v="11"/>
    <n v="2"/>
    <x v="3"/>
    <n v="1"/>
    <n v="1137"/>
    <n v="4"/>
    <x v="1"/>
    <n v="54"/>
    <n v="3"/>
    <x v="0"/>
    <x v="0"/>
    <n v="4"/>
    <x v="2"/>
    <n v="4968"/>
    <n v="18500"/>
    <n v="1"/>
    <s v="Y"/>
    <x v="1"/>
    <n v="11"/>
    <n v="3"/>
    <n v="4"/>
    <n v="80"/>
    <n v="1"/>
    <n v="5"/>
    <n v="3"/>
    <n v="3"/>
    <x v="8"/>
    <n v="2"/>
    <n v="0"/>
    <n v="2"/>
  </r>
  <r>
    <n v="49"/>
    <x v="1"/>
    <n v="0"/>
    <s v="Travel_Rarely"/>
    <n v="174"/>
    <x v="0"/>
    <n v="8"/>
    <n v="4"/>
    <x v="4"/>
    <n v="1"/>
    <n v="1138"/>
    <n v="4"/>
    <x v="1"/>
    <n v="56"/>
    <n v="2"/>
    <x v="3"/>
    <x v="0"/>
    <n v="2"/>
    <x v="1"/>
    <n v="13120"/>
    <n v="11879"/>
    <n v="6"/>
    <s v="Y"/>
    <x v="1"/>
    <n v="17"/>
    <n v="3"/>
    <n v="2"/>
    <n v="80"/>
    <n v="1"/>
    <n v="22"/>
    <n v="3"/>
    <n v="3"/>
    <x v="7"/>
    <n v="8"/>
    <n v="2"/>
    <n v="3"/>
  </r>
  <r>
    <n v="34"/>
    <x v="1"/>
    <n v="0"/>
    <s v="Travel_Frequently"/>
    <n v="1003"/>
    <x v="1"/>
    <n v="2"/>
    <n v="2"/>
    <x v="0"/>
    <n v="1"/>
    <n v="1140"/>
    <n v="4"/>
    <x v="1"/>
    <n v="95"/>
    <n v="3"/>
    <x v="0"/>
    <x v="3"/>
    <n v="3"/>
    <x v="0"/>
    <n v="4033"/>
    <n v="15834"/>
    <n v="2"/>
    <s v="Y"/>
    <x v="1"/>
    <n v="11"/>
    <n v="3"/>
    <n v="4"/>
    <n v="80"/>
    <n v="0"/>
    <n v="5"/>
    <n v="3"/>
    <n v="2"/>
    <x v="11"/>
    <n v="2"/>
    <n v="0"/>
    <n v="2"/>
  </r>
  <r>
    <n v="29"/>
    <x v="1"/>
    <n v="0"/>
    <s v="Travel_Frequently"/>
    <n v="490"/>
    <x v="1"/>
    <n v="10"/>
    <n v="3"/>
    <x v="0"/>
    <n v="1"/>
    <n v="1143"/>
    <n v="4"/>
    <x v="0"/>
    <n v="61"/>
    <n v="3"/>
    <x v="1"/>
    <x v="1"/>
    <n v="2"/>
    <x v="2"/>
    <n v="3291"/>
    <n v="17940"/>
    <n v="0"/>
    <s v="Y"/>
    <x v="1"/>
    <n v="14"/>
    <n v="3"/>
    <n v="4"/>
    <n v="80"/>
    <n v="2"/>
    <n v="8"/>
    <n v="2"/>
    <n v="2"/>
    <x v="5"/>
    <n v="5"/>
    <n v="1"/>
    <n v="1"/>
  </r>
  <r>
    <n v="42"/>
    <x v="1"/>
    <n v="0"/>
    <s v="Travel_Rarely"/>
    <n v="188"/>
    <x v="1"/>
    <n v="29"/>
    <n v="3"/>
    <x v="2"/>
    <n v="1"/>
    <n v="1148"/>
    <n v="2"/>
    <x v="1"/>
    <n v="56"/>
    <n v="1"/>
    <x v="0"/>
    <x v="2"/>
    <n v="4"/>
    <x v="0"/>
    <n v="4272"/>
    <n v="9558"/>
    <n v="4"/>
    <s v="Y"/>
    <x v="1"/>
    <n v="19"/>
    <n v="3"/>
    <n v="1"/>
    <n v="80"/>
    <n v="0"/>
    <n v="16"/>
    <n v="3"/>
    <n v="3"/>
    <x v="6"/>
    <n v="0"/>
    <n v="0"/>
    <n v="0"/>
  </r>
  <r>
    <n v="29"/>
    <x v="1"/>
    <n v="0"/>
    <s v="Travel_Rarely"/>
    <n v="718"/>
    <x v="1"/>
    <n v="8"/>
    <n v="1"/>
    <x v="2"/>
    <n v="1"/>
    <n v="1150"/>
    <n v="2"/>
    <x v="1"/>
    <n v="79"/>
    <n v="2"/>
    <x v="0"/>
    <x v="3"/>
    <n v="4"/>
    <x v="1"/>
    <n v="5056"/>
    <n v="17689"/>
    <n v="1"/>
    <s v="Y"/>
    <x v="0"/>
    <n v="15"/>
    <n v="3"/>
    <n v="3"/>
    <n v="80"/>
    <n v="1"/>
    <n v="10"/>
    <n v="2"/>
    <n v="2"/>
    <x v="1"/>
    <n v="7"/>
    <n v="1"/>
    <n v="2"/>
  </r>
  <r>
    <n v="38"/>
    <x v="1"/>
    <n v="0"/>
    <s v="Travel_Rarely"/>
    <n v="433"/>
    <x v="2"/>
    <n v="1"/>
    <n v="3"/>
    <x v="5"/>
    <n v="1"/>
    <n v="1152"/>
    <n v="3"/>
    <x v="1"/>
    <n v="37"/>
    <n v="4"/>
    <x v="1"/>
    <x v="8"/>
    <n v="3"/>
    <x v="1"/>
    <n v="2844"/>
    <n v="6004"/>
    <n v="1"/>
    <s v="Y"/>
    <x v="1"/>
    <n v="13"/>
    <n v="3"/>
    <n v="4"/>
    <n v="80"/>
    <n v="1"/>
    <n v="7"/>
    <n v="2"/>
    <n v="4"/>
    <x v="5"/>
    <n v="6"/>
    <n v="5"/>
    <n v="0"/>
  </r>
  <r>
    <n v="28"/>
    <x v="1"/>
    <n v="0"/>
    <s v="Travel_Frequently"/>
    <n v="773"/>
    <x v="1"/>
    <n v="6"/>
    <n v="3"/>
    <x v="0"/>
    <n v="1"/>
    <n v="1154"/>
    <n v="3"/>
    <x v="1"/>
    <n v="39"/>
    <n v="2"/>
    <x v="1"/>
    <x v="1"/>
    <n v="3"/>
    <x v="2"/>
    <n v="2703"/>
    <n v="22088"/>
    <n v="1"/>
    <s v="Y"/>
    <x v="0"/>
    <n v="14"/>
    <n v="3"/>
    <n v="4"/>
    <n v="80"/>
    <n v="1"/>
    <n v="3"/>
    <n v="2"/>
    <n v="3"/>
    <x v="11"/>
    <n v="1"/>
    <n v="0"/>
    <n v="2"/>
  </r>
  <r>
    <n v="18"/>
    <x v="0"/>
    <n v="1"/>
    <s v="Non-Travel"/>
    <n v="247"/>
    <x v="1"/>
    <n v="8"/>
    <n v="1"/>
    <x v="2"/>
    <n v="1"/>
    <n v="1156"/>
    <n v="3"/>
    <x v="1"/>
    <n v="80"/>
    <n v="3"/>
    <x v="1"/>
    <x v="2"/>
    <n v="3"/>
    <x v="0"/>
    <n v="1904"/>
    <n v="13556"/>
    <n v="1"/>
    <s v="Y"/>
    <x v="1"/>
    <n v="12"/>
    <n v="3"/>
    <n v="4"/>
    <n v="80"/>
    <n v="0"/>
    <n v="0"/>
    <n v="0"/>
    <n v="3"/>
    <x v="2"/>
    <n v="0"/>
    <n v="0"/>
    <n v="0"/>
  </r>
  <r>
    <n v="33"/>
    <x v="0"/>
    <n v="1"/>
    <s v="Travel_Rarely"/>
    <n v="603"/>
    <x v="0"/>
    <n v="9"/>
    <n v="4"/>
    <x v="3"/>
    <n v="1"/>
    <n v="1157"/>
    <n v="1"/>
    <x v="0"/>
    <n v="77"/>
    <n v="3"/>
    <x v="0"/>
    <x v="0"/>
    <n v="1"/>
    <x v="0"/>
    <n v="8224"/>
    <n v="18385"/>
    <n v="0"/>
    <s v="Y"/>
    <x v="0"/>
    <n v="17"/>
    <n v="3"/>
    <n v="1"/>
    <n v="80"/>
    <n v="0"/>
    <n v="6"/>
    <n v="3"/>
    <n v="3"/>
    <x v="8"/>
    <n v="2"/>
    <n v="0"/>
    <n v="3"/>
  </r>
  <r>
    <n v="41"/>
    <x v="1"/>
    <n v="0"/>
    <s v="Travel_Rarely"/>
    <n v="167"/>
    <x v="1"/>
    <n v="12"/>
    <n v="4"/>
    <x v="0"/>
    <n v="1"/>
    <n v="1158"/>
    <n v="2"/>
    <x v="1"/>
    <n v="46"/>
    <n v="3"/>
    <x v="1"/>
    <x v="2"/>
    <n v="4"/>
    <x v="1"/>
    <n v="4766"/>
    <n v="9051"/>
    <n v="3"/>
    <s v="Y"/>
    <x v="0"/>
    <n v="11"/>
    <n v="3"/>
    <n v="1"/>
    <n v="80"/>
    <n v="1"/>
    <n v="6"/>
    <n v="4"/>
    <n v="3"/>
    <x v="6"/>
    <n v="0"/>
    <n v="0"/>
    <n v="0"/>
  </r>
  <r>
    <n v="31"/>
    <x v="0"/>
    <n v="1"/>
    <s v="Travel_Frequently"/>
    <n v="874"/>
    <x v="1"/>
    <n v="15"/>
    <n v="3"/>
    <x v="2"/>
    <n v="1"/>
    <n v="1160"/>
    <n v="3"/>
    <x v="1"/>
    <n v="72"/>
    <n v="3"/>
    <x v="1"/>
    <x v="2"/>
    <n v="3"/>
    <x v="1"/>
    <n v="2610"/>
    <n v="6233"/>
    <n v="1"/>
    <s v="Y"/>
    <x v="1"/>
    <n v="12"/>
    <n v="3"/>
    <n v="3"/>
    <n v="80"/>
    <n v="1"/>
    <n v="2"/>
    <n v="5"/>
    <n v="2"/>
    <x v="4"/>
    <n v="2"/>
    <n v="2"/>
    <n v="2"/>
  </r>
  <r>
    <n v="37"/>
    <x v="1"/>
    <n v="0"/>
    <s v="Travel_Rarely"/>
    <n v="367"/>
    <x v="1"/>
    <n v="25"/>
    <n v="2"/>
    <x v="2"/>
    <n v="1"/>
    <n v="1161"/>
    <n v="3"/>
    <x v="0"/>
    <n v="52"/>
    <n v="2"/>
    <x v="0"/>
    <x v="4"/>
    <n v="4"/>
    <x v="2"/>
    <n v="5731"/>
    <n v="17171"/>
    <n v="7"/>
    <s v="Y"/>
    <x v="1"/>
    <n v="13"/>
    <n v="3"/>
    <n v="3"/>
    <n v="80"/>
    <n v="2"/>
    <n v="9"/>
    <n v="2"/>
    <n v="3"/>
    <x v="0"/>
    <n v="2"/>
    <n v="1"/>
    <n v="3"/>
  </r>
  <r>
    <n v="27"/>
    <x v="1"/>
    <n v="0"/>
    <s v="Travel_Rarely"/>
    <n v="199"/>
    <x v="1"/>
    <n v="6"/>
    <n v="3"/>
    <x v="0"/>
    <n v="1"/>
    <n v="1162"/>
    <n v="4"/>
    <x v="1"/>
    <n v="55"/>
    <n v="2"/>
    <x v="1"/>
    <x v="1"/>
    <n v="3"/>
    <x v="1"/>
    <n v="2539"/>
    <n v="7950"/>
    <n v="1"/>
    <s v="Y"/>
    <x v="1"/>
    <n v="13"/>
    <n v="3"/>
    <n v="3"/>
    <n v="80"/>
    <n v="1"/>
    <n v="4"/>
    <n v="0"/>
    <n v="3"/>
    <x v="9"/>
    <n v="2"/>
    <n v="2"/>
    <n v="2"/>
  </r>
  <r>
    <n v="34"/>
    <x v="1"/>
    <n v="0"/>
    <s v="Travel_Rarely"/>
    <n v="1400"/>
    <x v="0"/>
    <n v="9"/>
    <n v="1"/>
    <x v="0"/>
    <n v="1"/>
    <n v="1163"/>
    <n v="2"/>
    <x v="0"/>
    <n v="70"/>
    <n v="3"/>
    <x v="0"/>
    <x v="0"/>
    <n v="3"/>
    <x v="1"/>
    <n v="5714"/>
    <n v="5829"/>
    <n v="1"/>
    <s v="Y"/>
    <x v="1"/>
    <n v="20"/>
    <n v="4"/>
    <n v="1"/>
    <n v="80"/>
    <n v="0"/>
    <n v="6"/>
    <n v="3"/>
    <n v="2"/>
    <x v="0"/>
    <n v="5"/>
    <n v="1"/>
    <n v="3"/>
  </r>
  <r>
    <n v="35"/>
    <x v="1"/>
    <n v="0"/>
    <s v="Travel_Rarely"/>
    <n v="528"/>
    <x v="2"/>
    <n v="8"/>
    <n v="4"/>
    <x v="4"/>
    <n v="1"/>
    <n v="1164"/>
    <n v="3"/>
    <x v="1"/>
    <n v="100"/>
    <n v="3"/>
    <x v="1"/>
    <x v="8"/>
    <n v="3"/>
    <x v="0"/>
    <n v="4323"/>
    <n v="7108"/>
    <n v="1"/>
    <s v="Y"/>
    <x v="1"/>
    <n v="17"/>
    <n v="3"/>
    <n v="2"/>
    <n v="80"/>
    <n v="0"/>
    <n v="6"/>
    <n v="2"/>
    <n v="1"/>
    <x v="8"/>
    <n v="4"/>
    <n v="1"/>
    <n v="4"/>
  </r>
  <r>
    <n v="29"/>
    <x v="0"/>
    <n v="1"/>
    <s v="Travel_Rarely"/>
    <n v="408"/>
    <x v="0"/>
    <n v="23"/>
    <n v="1"/>
    <x v="0"/>
    <n v="1"/>
    <n v="1165"/>
    <n v="4"/>
    <x v="0"/>
    <n v="45"/>
    <n v="2"/>
    <x v="2"/>
    <x v="0"/>
    <n v="1"/>
    <x v="1"/>
    <n v="7336"/>
    <n v="11162"/>
    <n v="1"/>
    <s v="Y"/>
    <x v="1"/>
    <n v="13"/>
    <n v="3"/>
    <n v="1"/>
    <n v="80"/>
    <n v="1"/>
    <n v="11"/>
    <n v="3"/>
    <n v="1"/>
    <x v="19"/>
    <n v="8"/>
    <n v="3"/>
    <n v="10"/>
  </r>
  <r>
    <n v="40"/>
    <x v="1"/>
    <n v="0"/>
    <s v="Travel_Frequently"/>
    <n v="593"/>
    <x v="1"/>
    <n v="9"/>
    <n v="4"/>
    <x v="2"/>
    <n v="1"/>
    <n v="1166"/>
    <n v="2"/>
    <x v="0"/>
    <n v="88"/>
    <n v="3"/>
    <x v="2"/>
    <x v="7"/>
    <n v="3"/>
    <x v="0"/>
    <n v="13499"/>
    <n v="13782"/>
    <n v="9"/>
    <s v="Y"/>
    <x v="1"/>
    <n v="17"/>
    <n v="3"/>
    <n v="3"/>
    <n v="80"/>
    <n v="0"/>
    <n v="20"/>
    <n v="3"/>
    <n v="2"/>
    <x v="29"/>
    <n v="7"/>
    <n v="2"/>
    <n v="13"/>
  </r>
  <r>
    <n v="42"/>
    <x v="0"/>
    <n v="1"/>
    <s v="Travel_Frequently"/>
    <n v="481"/>
    <x v="0"/>
    <n v="12"/>
    <n v="3"/>
    <x v="0"/>
    <n v="1"/>
    <n v="1167"/>
    <n v="3"/>
    <x v="1"/>
    <n v="44"/>
    <n v="3"/>
    <x v="3"/>
    <x v="0"/>
    <n v="1"/>
    <x v="0"/>
    <n v="13758"/>
    <n v="2447"/>
    <n v="0"/>
    <s v="Y"/>
    <x v="0"/>
    <n v="12"/>
    <n v="3"/>
    <n v="2"/>
    <n v="80"/>
    <n v="0"/>
    <n v="22"/>
    <n v="2"/>
    <n v="2"/>
    <x v="17"/>
    <n v="9"/>
    <n v="13"/>
    <n v="14"/>
  </r>
  <r>
    <n v="42"/>
    <x v="1"/>
    <n v="0"/>
    <s v="Travel_Rarely"/>
    <n v="647"/>
    <x v="0"/>
    <n v="4"/>
    <n v="4"/>
    <x v="3"/>
    <n v="1"/>
    <n v="1171"/>
    <n v="2"/>
    <x v="1"/>
    <n v="45"/>
    <n v="3"/>
    <x v="0"/>
    <x v="0"/>
    <n v="1"/>
    <x v="0"/>
    <n v="5155"/>
    <n v="2253"/>
    <n v="7"/>
    <s v="Y"/>
    <x v="1"/>
    <n v="13"/>
    <n v="3"/>
    <n v="4"/>
    <n v="80"/>
    <n v="0"/>
    <n v="9"/>
    <n v="3"/>
    <n v="4"/>
    <x v="0"/>
    <n v="4"/>
    <n v="1"/>
    <n v="5"/>
  </r>
  <r>
    <n v="35"/>
    <x v="1"/>
    <n v="0"/>
    <s v="Travel_Rarely"/>
    <n v="982"/>
    <x v="1"/>
    <n v="1"/>
    <n v="4"/>
    <x v="2"/>
    <n v="1"/>
    <n v="1172"/>
    <n v="4"/>
    <x v="1"/>
    <n v="58"/>
    <n v="2"/>
    <x v="1"/>
    <x v="2"/>
    <n v="3"/>
    <x v="1"/>
    <n v="2258"/>
    <n v="16340"/>
    <n v="6"/>
    <s v="Y"/>
    <x v="1"/>
    <n v="12"/>
    <n v="3"/>
    <n v="2"/>
    <n v="80"/>
    <n v="1"/>
    <n v="10"/>
    <n v="2"/>
    <n v="3"/>
    <x v="3"/>
    <n v="0"/>
    <n v="1"/>
    <n v="7"/>
  </r>
  <r>
    <n v="24"/>
    <x v="1"/>
    <n v="0"/>
    <s v="Travel_Rarely"/>
    <n v="477"/>
    <x v="1"/>
    <n v="24"/>
    <n v="3"/>
    <x v="2"/>
    <n v="1"/>
    <n v="1173"/>
    <n v="4"/>
    <x v="1"/>
    <n v="49"/>
    <n v="3"/>
    <x v="1"/>
    <x v="2"/>
    <n v="2"/>
    <x v="0"/>
    <n v="3597"/>
    <n v="6409"/>
    <n v="8"/>
    <s v="Y"/>
    <x v="1"/>
    <n v="22"/>
    <n v="4"/>
    <n v="4"/>
    <n v="80"/>
    <n v="0"/>
    <n v="6"/>
    <n v="2"/>
    <n v="3"/>
    <x v="9"/>
    <n v="3"/>
    <n v="1"/>
    <n v="2"/>
  </r>
  <r>
    <n v="28"/>
    <x v="0"/>
    <n v="1"/>
    <s v="Travel_Rarely"/>
    <n v="1485"/>
    <x v="1"/>
    <n v="12"/>
    <n v="1"/>
    <x v="0"/>
    <n v="1"/>
    <n v="1175"/>
    <n v="3"/>
    <x v="0"/>
    <n v="79"/>
    <n v="3"/>
    <x v="1"/>
    <x v="2"/>
    <n v="4"/>
    <x v="1"/>
    <n v="2515"/>
    <n v="22955"/>
    <n v="1"/>
    <s v="Y"/>
    <x v="0"/>
    <n v="11"/>
    <n v="3"/>
    <n v="4"/>
    <n v="80"/>
    <n v="0"/>
    <n v="1"/>
    <n v="4"/>
    <n v="2"/>
    <x v="6"/>
    <n v="1"/>
    <n v="0"/>
    <n v="0"/>
  </r>
  <r>
    <n v="26"/>
    <x v="1"/>
    <n v="0"/>
    <s v="Travel_Rarely"/>
    <n v="1384"/>
    <x v="1"/>
    <n v="3"/>
    <n v="4"/>
    <x v="2"/>
    <n v="1"/>
    <n v="1177"/>
    <n v="1"/>
    <x v="1"/>
    <n v="82"/>
    <n v="4"/>
    <x v="1"/>
    <x v="2"/>
    <n v="4"/>
    <x v="1"/>
    <n v="4420"/>
    <n v="13421"/>
    <n v="1"/>
    <s v="Y"/>
    <x v="1"/>
    <n v="22"/>
    <n v="4"/>
    <n v="2"/>
    <n v="80"/>
    <n v="1"/>
    <n v="8"/>
    <n v="2"/>
    <n v="3"/>
    <x v="3"/>
    <n v="7"/>
    <n v="0"/>
    <n v="7"/>
  </r>
  <r>
    <n v="30"/>
    <x v="1"/>
    <n v="0"/>
    <s v="Travel_Rarely"/>
    <n v="852"/>
    <x v="0"/>
    <n v="10"/>
    <n v="3"/>
    <x v="3"/>
    <n v="1"/>
    <n v="1179"/>
    <n v="3"/>
    <x v="1"/>
    <n v="72"/>
    <n v="2"/>
    <x v="0"/>
    <x v="0"/>
    <n v="3"/>
    <x v="1"/>
    <n v="6578"/>
    <n v="2706"/>
    <n v="1"/>
    <s v="Y"/>
    <x v="1"/>
    <n v="18"/>
    <n v="3"/>
    <n v="1"/>
    <n v="80"/>
    <n v="1"/>
    <n v="10"/>
    <n v="3"/>
    <n v="3"/>
    <x v="1"/>
    <n v="3"/>
    <n v="1"/>
    <n v="4"/>
  </r>
  <r>
    <n v="40"/>
    <x v="1"/>
    <n v="0"/>
    <s v="Travel_Frequently"/>
    <n v="902"/>
    <x v="1"/>
    <n v="26"/>
    <n v="2"/>
    <x v="2"/>
    <n v="1"/>
    <n v="1180"/>
    <n v="3"/>
    <x v="0"/>
    <n v="92"/>
    <n v="2"/>
    <x v="0"/>
    <x v="1"/>
    <n v="4"/>
    <x v="1"/>
    <n v="4422"/>
    <n v="21203"/>
    <n v="3"/>
    <s v="Y"/>
    <x v="0"/>
    <n v="13"/>
    <n v="3"/>
    <n v="4"/>
    <n v="80"/>
    <n v="1"/>
    <n v="16"/>
    <n v="3"/>
    <n v="1"/>
    <x v="6"/>
    <n v="1"/>
    <n v="0"/>
    <n v="0"/>
  </r>
  <r>
    <n v="35"/>
    <x v="1"/>
    <n v="0"/>
    <s v="Travel_Rarely"/>
    <n v="819"/>
    <x v="1"/>
    <n v="2"/>
    <n v="3"/>
    <x v="0"/>
    <n v="1"/>
    <n v="1182"/>
    <n v="3"/>
    <x v="1"/>
    <n v="44"/>
    <n v="2"/>
    <x v="2"/>
    <x v="3"/>
    <n v="2"/>
    <x v="2"/>
    <n v="10274"/>
    <n v="19588"/>
    <n v="2"/>
    <s v="Y"/>
    <x v="1"/>
    <n v="18"/>
    <n v="3"/>
    <n v="2"/>
    <n v="80"/>
    <n v="1"/>
    <n v="15"/>
    <n v="2"/>
    <n v="4"/>
    <x v="5"/>
    <n v="7"/>
    <n v="6"/>
    <n v="4"/>
  </r>
  <r>
    <n v="34"/>
    <x v="1"/>
    <n v="0"/>
    <s v="Travel_Frequently"/>
    <n v="669"/>
    <x v="1"/>
    <n v="1"/>
    <n v="3"/>
    <x v="2"/>
    <n v="1"/>
    <n v="1184"/>
    <n v="4"/>
    <x v="1"/>
    <n v="97"/>
    <n v="2"/>
    <x v="0"/>
    <x v="4"/>
    <n v="1"/>
    <x v="0"/>
    <n v="5343"/>
    <n v="25755"/>
    <n v="0"/>
    <s v="Y"/>
    <x v="1"/>
    <n v="20"/>
    <n v="4"/>
    <n v="3"/>
    <n v="80"/>
    <n v="0"/>
    <n v="14"/>
    <n v="3"/>
    <n v="3"/>
    <x v="20"/>
    <n v="9"/>
    <n v="4"/>
    <n v="9"/>
  </r>
  <r>
    <n v="35"/>
    <x v="1"/>
    <n v="0"/>
    <s v="Travel_Frequently"/>
    <n v="636"/>
    <x v="1"/>
    <n v="4"/>
    <n v="4"/>
    <x v="1"/>
    <n v="1"/>
    <n v="1185"/>
    <n v="4"/>
    <x v="1"/>
    <n v="47"/>
    <n v="2"/>
    <x v="1"/>
    <x v="2"/>
    <n v="4"/>
    <x v="1"/>
    <n v="2376"/>
    <n v="26537"/>
    <n v="1"/>
    <s v="Y"/>
    <x v="1"/>
    <n v="13"/>
    <n v="3"/>
    <n v="2"/>
    <n v="80"/>
    <n v="1"/>
    <n v="2"/>
    <n v="2"/>
    <n v="4"/>
    <x v="4"/>
    <n v="2"/>
    <n v="2"/>
    <n v="2"/>
  </r>
  <r>
    <n v="43"/>
    <x v="0"/>
    <n v="1"/>
    <s v="Travel_Rarely"/>
    <n v="1372"/>
    <x v="0"/>
    <n v="9"/>
    <n v="3"/>
    <x v="3"/>
    <n v="1"/>
    <n v="1188"/>
    <n v="1"/>
    <x v="0"/>
    <n v="85"/>
    <n v="1"/>
    <x v="0"/>
    <x v="0"/>
    <n v="3"/>
    <x v="0"/>
    <n v="5346"/>
    <n v="9489"/>
    <n v="8"/>
    <s v="Y"/>
    <x v="1"/>
    <n v="13"/>
    <n v="3"/>
    <n v="2"/>
    <n v="80"/>
    <n v="0"/>
    <n v="7"/>
    <n v="2"/>
    <n v="2"/>
    <x v="9"/>
    <n v="3"/>
    <n v="1"/>
    <n v="3"/>
  </r>
  <r>
    <n v="32"/>
    <x v="1"/>
    <n v="0"/>
    <s v="Non-Travel"/>
    <n v="862"/>
    <x v="0"/>
    <n v="2"/>
    <n v="1"/>
    <x v="0"/>
    <n v="1"/>
    <n v="1190"/>
    <n v="3"/>
    <x v="0"/>
    <n v="76"/>
    <n v="3"/>
    <x v="1"/>
    <x v="6"/>
    <n v="1"/>
    <x v="2"/>
    <n v="2827"/>
    <n v="14947"/>
    <n v="1"/>
    <s v="Y"/>
    <x v="1"/>
    <n v="12"/>
    <n v="3"/>
    <n v="3"/>
    <n v="80"/>
    <n v="3"/>
    <n v="1"/>
    <n v="3"/>
    <n v="3"/>
    <x v="6"/>
    <n v="0"/>
    <n v="0"/>
    <n v="0"/>
  </r>
  <r>
    <n v="56"/>
    <x v="1"/>
    <n v="0"/>
    <s v="Travel_Rarely"/>
    <n v="718"/>
    <x v="1"/>
    <n v="4"/>
    <n v="4"/>
    <x v="4"/>
    <n v="1"/>
    <n v="1191"/>
    <n v="4"/>
    <x v="0"/>
    <n v="92"/>
    <n v="3"/>
    <x v="4"/>
    <x v="5"/>
    <n v="1"/>
    <x v="2"/>
    <n v="19943"/>
    <n v="18575"/>
    <n v="4"/>
    <s v="Y"/>
    <x v="1"/>
    <n v="13"/>
    <n v="3"/>
    <n v="4"/>
    <n v="80"/>
    <n v="1"/>
    <n v="28"/>
    <n v="2"/>
    <n v="3"/>
    <x v="8"/>
    <n v="2"/>
    <n v="4"/>
    <n v="2"/>
  </r>
  <r>
    <n v="29"/>
    <x v="1"/>
    <n v="0"/>
    <s v="Travel_Rarely"/>
    <n v="1401"/>
    <x v="1"/>
    <n v="6"/>
    <n v="1"/>
    <x v="2"/>
    <n v="1"/>
    <n v="1192"/>
    <n v="2"/>
    <x v="0"/>
    <n v="54"/>
    <n v="3"/>
    <x v="1"/>
    <x v="2"/>
    <n v="4"/>
    <x v="1"/>
    <n v="3131"/>
    <n v="26342"/>
    <n v="1"/>
    <s v="Y"/>
    <x v="1"/>
    <n v="13"/>
    <n v="3"/>
    <n v="1"/>
    <n v="80"/>
    <n v="1"/>
    <n v="10"/>
    <n v="5"/>
    <n v="3"/>
    <x v="1"/>
    <n v="8"/>
    <n v="0"/>
    <n v="8"/>
  </r>
  <r>
    <n v="19"/>
    <x v="1"/>
    <n v="0"/>
    <s v="Travel_Rarely"/>
    <n v="645"/>
    <x v="1"/>
    <n v="9"/>
    <n v="2"/>
    <x v="0"/>
    <n v="1"/>
    <n v="1193"/>
    <n v="3"/>
    <x v="1"/>
    <n v="54"/>
    <n v="3"/>
    <x v="1"/>
    <x v="1"/>
    <n v="1"/>
    <x v="0"/>
    <n v="2552"/>
    <n v="7172"/>
    <n v="1"/>
    <s v="Y"/>
    <x v="1"/>
    <n v="25"/>
    <n v="4"/>
    <n v="3"/>
    <n v="80"/>
    <n v="0"/>
    <n v="1"/>
    <n v="4"/>
    <n v="3"/>
    <x v="6"/>
    <n v="1"/>
    <n v="0"/>
    <n v="0"/>
  </r>
  <r>
    <n v="45"/>
    <x v="1"/>
    <n v="0"/>
    <s v="Travel_Rarely"/>
    <n v="1457"/>
    <x v="1"/>
    <n v="7"/>
    <n v="3"/>
    <x v="2"/>
    <n v="1"/>
    <n v="1195"/>
    <n v="1"/>
    <x v="0"/>
    <n v="83"/>
    <n v="3"/>
    <x v="1"/>
    <x v="1"/>
    <n v="3"/>
    <x v="1"/>
    <n v="4477"/>
    <n v="20100"/>
    <n v="4"/>
    <s v="Y"/>
    <x v="0"/>
    <n v="19"/>
    <n v="3"/>
    <n v="3"/>
    <n v="80"/>
    <n v="1"/>
    <n v="7"/>
    <n v="2"/>
    <n v="2"/>
    <x v="11"/>
    <n v="2"/>
    <n v="0"/>
    <n v="2"/>
  </r>
  <r>
    <n v="37"/>
    <x v="1"/>
    <n v="0"/>
    <s v="Travel_Rarely"/>
    <n v="977"/>
    <x v="1"/>
    <n v="1"/>
    <n v="3"/>
    <x v="0"/>
    <n v="1"/>
    <n v="1196"/>
    <n v="4"/>
    <x v="0"/>
    <n v="56"/>
    <n v="2"/>
    <x v="0"/>
    <x v="3"/>
    <n v="4"/>
    <x v="1"/>
    <n v="6474"/>
    <n v="9961"/>
    <n v="1"/>
    <s v="Y"/>
    <x v="1"/>
    <n v="13"/>
    <n v="3"/>
    <n v="2"/>
    <n v="80"/>
    <n v="1"/>
    <n v="14"/>
    <n v="2"/>
    <n v="2"/>
    <x v="13"/>
    <n v="8"/>
    <n v="3"/>
    <n v="11"/>
  </r>
  <r>
    <n v="20"/>
    <x v="1"/>
    <n v="0"/>
    <s v="Travel_Rarely"/>
    <n v="805"/>
    <x v="1"/>
    <n v="3"/>
    <n v="3"/>
    <x v="0"/>
    <n v="1"/>
    <n v="1198"/>
    <n v="1"/>
    <x v="1"/>
    <n v="87"/>
    <n v="2"/>
    <x v="1"/>
    <x v="2"/>
    <n v="3"/>
    <x v="0"/>
    <n v="3033"/>
    <n v="12828"/>
    <n v="1"/>
    <s v="Y"/>
    <x v="1"/>
    <n v="12"/>
    <n v="3"/>
    <n v="1"/>
    <n v="80"/>
    <n v="0"/>
    <n v="2"/>
    <n v="2"/>
    <n v="2"/>
    <x v="4"/>
    <n v="2"/>
    <n v="1"/>
    <n v="2"/>
  </r>
  <r>
    <n v="44"/>
    <x v="0"/>
    <n v="1"/>
    <s v="Travel_Rarely"/>
    <n v="1097"/>
    <x v="1"/>
    <n v="10"/>
    <n v="4"/>
    <x v="0"/>
    <n v="1"/>
    <n v="1200"/>
    <n v="3"/>
    <x v="1"/>
    <n v="96"/>
    <n v="3"/>
    <x v="1"/>
    <x v="1"/>
    <n v="3"/>
    <x v="0"/>
    <n v="2936"/>
    <n v="10826"/>
    <n v="1"/>
    <s v="Y"/>
    <x v="0"/>
    <n v="11"/>
    <n v="3"/>
    <n v="3"/>
    <n v="80"/>
    <n v="0"/>
    <n v="6"/>
    <n v="4"/>
    <n v="3"/>
    <x v="0"/>
    <n v="4"/>
    <n v="0"/>
    <n v="2"/>
  </r>
  <r>
    <n v="53"/>
    <x v="1"/>
    <n v="0"/>
    <s v="Travel_Rarely"/>
    <n v="1223"/>
    <x v="1"/>
    <n v="7"/>
    <n v="2"/>
    <x v="2"/>
    <n v="1"/>
    <n v="1201"/>
    <n v="4"/>
    <x v="0"/>
    <n v="50"/>
    <n v="3"/>
    <x v="4"/>
    <x v="5"/>
    <n v="3"/>
    <x v="2"/>
    <n v="18606"/>
    <n v="18640"/>
    <n v="3"/>
    <s v="Y"/>
    <x v="1"/>
    <n v="18"/>
    <n v="3"/>
    <n v="2"/>
    <n v="80"/>
    <n v="1"/>
    <n v="26"/>
    <n v="6"/>
    <n v="3"/>
    <x v="5"/>
    <n v="7"/>
    <n v="4"/>
    <n v="7"/>
  </r>
  <r>
    <n v="29"/>
    <x v="1"/>
    <n v="0"/>
    <s v="Travel_Rarely"/>
    <n v="942"/>
    <x v="1"/>
    <n v="15"/>
    <n v="1"/>
    <x v="0"/>
    <n v="1"/>
    <n v="1202"/>
    <n v="2"/>
    <x v="0"/>
    <n v="69"/>
    <n v="1"/>
    <x v="1"/>
    <x v="1"/>
    <n v="4"/>
    <x v="1"/>
    <n v="2168"/>
    <n v="26933"/>
    <n v="0"/>
    <s v="Y"/>
    <x v="0"/>
    <n v="18"/>
    <n v="3"/>
    <n v="1"/>
    <n v="80"/>
    <n v="1"/>
    <n v="6"/>
    <n v="2"/>
    <n v="2"/>
    <x v="8"/>
    <n v="4"/>
    <n v="1"/>
    <n v="3"/>
  </r>
  <r>
    <n v="22"/>
    <x v="0"/>
    <n v="1"/>
    <s v="Travel_Frequently"/>
    <n v="1256"/>
    <x v="1"/>
    <n v="3"/>
    <n v="4"/>
    <x v="0"/>
    <n v="1"/>
    <n v="1203"/>
    <n v="3"/>
    <x v="1"/>
    <n v="48"/>
    <n v="2"/>
    <x v="1"/>
    <x v="1"/>
    <n v="4"/>
    <x v="1"/>
    <n v="2853"/>
    <n v="4223"/>
    <n v="0"/>
    <s v="Y"/>
    <x v="0"/>
    <n v="11"/>
    <n v="3"/>
    <n v="2"/>
    <n v="80"/>
    <n v="1"/>
    <n v="1"/>
    <n v="5"/>
    <n v="3"/>
    <x v="2"/>
    <n v="0"/>
    <n v="0"/>
    <n v="0"/>
  </r>
  <r>
    <n v="46"/>
    <x v="1"/>
    <n v="0"/>
    <s v="Travel_Rarely"/>
    <n v="1402"/>
    <x v="0"/>
    <n v="2"/>
    <n v="3"/>
    <x v="3"/>
    <n v="1"/>
    <n v="1204"/>
    <n v="3"/>
    <x v="0"/>
    <n v="69"/>
    <n v="3"/>
    <x v="3"/>
    <x v="5"/>
    <n v="1"/>
    <x v="1"/>
    <n v="17048"/>
    <n v="24097"/>
    <n v="8"/>
    <s v="Y"/>
    <x v="1"/>
    <n v="23"/>
    <n v="4"/>
    <n v="1"/>
    <n v="80"/>
    <n v="0"/>
    <n v="28"/>
    <n v="2"/>
    <n v="3"/>
    <x v="34"/>
    <n v="15"/>
    <n v="15"/>
    <n v="9"/>
  </r>
  <r>
    <n v="44"/>
    <x v="1"/>
    <n v="0"/>
    <s v="Non-Travel"/>
    <n v="111"/>
    <x v="1"/>
    <n v="17"/>
    <n v="3"/>
    <x v="0"/>
    <n v="1"/>
    <n v="1206"/>
    <n v="4"/>
    <x v="1"/>
    <n v="74"/>
    <n v="1"/>
    <x v="1"/>
    <x v="1"/>
    <n v="3"/>
    <x v="0"/>
    <n v="2290"/>
    <n v="4279"/>
    <n v="2"/>
    <s v="Y"/>
    <x v="1"/>
    <n v="13"/>
    <n v="3"/>
    <n v="4"/>
    <n v="80"/>
    <n v="0"/>
    <n v="6"/>
    <n v="3"/>
    <n v="3"/>
    <x v="2"/>
    <n v="0"/>
    <n v="0"/>
    <n v="0"/>
  </r>
  <r>
    <n v="33"/>
    <x v="1"/>
    <n v="0"/>
    <s v="Travel_Rarely"/>
    <n v="147"/>
    <x v="2"/>
    <n v="2"/>
    <n v="3"/>
    <x v="5"/>
    <n v="1"/>
    <n v="1207"/>
    <n v="2"/>
    <x v="1"/>
    <n v="99"/>
    <n v="3"/>
    <x v="1"/>
    <x v="8"/>
    <n v="3"/>
    <x v="1"/>
    <n v="3600"/>
    <n v="8429"/>
    <n v="1"/>
    <s v="Y"/>
    <x v="1"/>
    <n v="13"/>
    <n v="3"/>
    <n v="4"/>
    <n v="80"/>
    <n v="1"/>
    <n v="5"/>
    <n v="2"/>
    <n v="3"/>
    <x v="8"/>
    <n v="4"/>
    <n v="1"/>
    <n v="4"/>
  </r>
  <r>
    <n v="41"/>
    <x v="0"/>
    <n v="1"/>
    <s v="Non-Travel"/>
    <n v="906"/>
    <x v="1"/>
    <n v="5"/>
    <n v="2"/>
    <x v="0"/>
    <n v="1"/>
    <n v="1210"/>
    <n v="1"/>
    <x v="1"/>
    <n v="95"/>
    <n v="2"/>
    <x v="1"/>
    <x v="1"/>
    <n v="1"/>
    <x v="2"/>
    <n v="2107"/>
    <n v="20293"/>
    <n v="6"/>
    <s v="Y"/>
    <x v="1"/>
    <n v="17"/>
    <n v="3"/>
    <n v="1"/>
    <n v="80"/>
    <n v="1"/>
    <n v="5"/>
    <n v="2"/>
    <n v="1"/>
    <x v="6"/>
    <n v="0"/>
    <n v="0"/>
    <n v="0"/>
  </r>
  <r>
    <n v="30"/>
    <x v="1"/>
    <n v="0"/>
    <s v="Travel_Rarely"/>
    <n v="1329"/>
    <x v="0"/>
    <n v="29"/>
    <n v="4"/>
    <x v="0"/>
    <n v="1"/>
    <n v="1211"/>
    <n v="3"/>
    <x v="1"/>
    <n v="61"/>
    <n v="3"/>
    <x v="0"/>
    <x v="0"/>
    <n v="1"/>
    <x v="2"/>
    <n v="4115"/>
    <n v="13192"/>
    <n v="8"/>
    <s v="Y"/>
    <x v="1"/>
    <n v="19"/>
    <n v="3"/>
    <n v="3"/>
    <n v="80"/>
    <n v="3"/>
    <n v="8"/>
    <n v="3"/>
    <n v="3"/>
    <x v="9"/>
    <n v="3"/>
    <n v="0"/>
    <n v="3"/>
  </r>
  <r>
    <n v="40"/>
    <x v="1"/>
    <n v="0"/>
    <s v="Travel_Frequently"/>
    <n v="1184"/>
    <x v="0"/>
    <n v="2"/>
    <n v="4"/>
    <x v="2"/>
    <n v="1"/>
    <n v="1212"/>
    <n v="2"/>
    <x v="1"/>
    <n v="62"/>
    <n v="3"/>
    <x v="0"/>
    <x v="0"/>
    <n v="2"/>
    <x v="1"/>
    <n v="4327"/>
    <n v="25440"/>
    <n v="5"/>
    <s v="Y"/>
    <x v="1"/>
    <n v="12"/>
    <n v="3"/>
    <n v="4"/>
    <n v="80"/>
    <n v="3"/>
    <n v="5"/>
    <n v="2"/>
    <n v="3"/>
    <x v="2"/>
    <n v="0"/>
    <n v="0"/>
    <n v="0"/>
  </r>
  <r>
    <n v="50"/>
    <x v="1"/>
    <n v="0"/>
    <s v="Travel_Frequently"/>
    <n v="1421"/>
    <x v="1"/>
    <n v="2"/>
    <n v="3"/>
    <x v="2"/>
    <n v="1"/>
    <n v="1215"/>
    <n v="4"/>
    <x v="0"/>
    <n v="30"/>
    <n v="3"/>
    <x v="3"/>
    <x v="5"/>
    <n v="1"/>
    <x v="1"/>
    <n v="17856"/>
    <n v="9490"/>
    <n v="2"/>
    <s v="Y"/>
    <x v="1"/>
    <n v="22"/>
    <n v="4"/>
    <n v="3"/>
    <n v="80"/>
    <n v="1"/>
    <n v="32"/>
    <n v="3"/>
    <n v="3"/>
    <x v="4"/>
    <n v="2"/>
    <n v="2"/>
    <n v="2"/>
  </r>
  <r>
    <n v="28"/>
    <x v="1"/>
    <n v="0"/>
    <s v="Travel_Rarely"/>
    <n v="1179"/>
    <x v="1"/>
    <n v="19"/>
    <n v="4"/>
    <x v="2"/>
    <n v="1"/>
    <n v="1216"/>
    <n v="4"/>
    <x v="1"/>
    <n v="78"/>
    <n v="2"/>
    <x v="1"/>
    <x v="2"/>
    <n v="1"/>
    <x v="1"/>
    <n v="3196"/>
    <n v="12449"/>
    <n v="1"/>
    <s v="Y"/>
    <x v="1"/>
    <n v="12"/>
    <n v="3"/>
    <n v="3"/>
    <n v="80"/>
    <n v="3"/>
    <n v="6"/>
    <n v="2"/>
    <n v="3"/>
    <x v="0"/>
    <n v="5"/>
    <n v="3"/>
    <n v="3"/>
  </r>
  <r>
    <n v="46"/>
    <x v="1"/>
    <n v="0"/>
    <s v="Travel_Rarely"/>
    <n v="1450"/>
    <x v="1"/>
    <n v="15"/>
    <n v="2"/>
    <x v="0"/>
    <n v="1"/>
    <n v="1217"/>
    <n v="4"/>
    <x v="1"/>
    <n v="52"/>
    <n v="3"/>
    <x v="4"/>
    <x v="7"/>
    <n v="2"/>
    <x v="1"/>
    <n v="19081"/>
    <n v="10849"/>
    <n v="5"/>
    <s v="Y"/>
    <x v="1"/>
    <n v="11"/>
    <n v="3"/>
    <n v="1"/>
    <n v="80"/>
    <n v="1"/>
    <n v="25"/>
    <n v="2"/>
    <n v="3"/>
    <x v="9"/>
    <n v="2"/>
    <n v="0"/>
    <n v="3"/>
  </r>
  <r>
    <n v="35"/>
    <x v="1"/>
    <n v="0"/>
    <s v="Travel_Rarely"/>
    <n v="1361"/>
    <x v="0"/>
    <n v="17"/>
    <n v="4"/>
    <x v="0"/>
    <n v="1"/>
    <n v="1218"/>
    <n v="3"/>
    <x v="1"/>
    <n v="94"/>
    <n v="3"/>
    <x v="0"/>
    <x v="0"/>
    <n v="1"/>
    <x v="1"/>
    <n v="8966"/>
    <n v="21026"/>
    <n v="3"/>
    <s v="Y"/>
    <x v="0"/>
    <n v="15"/>
    <n v="3"/>
    <n v="4"/>
    <n v="80"/>
    <n v="3"/>
    <n v="15"/>
    <n v="2"/>
    <n v="3"/>
    <x v="5"/>
    <n v="7"/>
    <n v="1"/>
    <n v="7"/>
  </r>
  <r>
    <n v="24"/>
    <x v="0"/>
    <n v="1"/>
    <s v="Travel_Rarely"/>
    <n v="984"/>
    <x v="1"/>
    <n v="17"/>
    <n v="2"/>
    <x v="0"/>
    <n v="1"/>
    <n v="1219"/>
    <n v="4"/>
    <x v="0"/>
    <n v="97"/>
    <n v="3"/>
    <x v="1"/>
    <x v="2"/>
    <n v="2"/>
    <x v="1"/>
    <n v="2210"/>
    <n v="3372"/>
    <n v="1"/>
    <s v="Y"/>
    <x v="1"/>
    <n v="13"/>
    <n v="3"/>
    <n v="1"/>
    <n v="80"/>
    <n v="1"/>
    <n v="1"/>
    <n v="3"/>
    <n v="1"/>
    <x v="6"/>
    <n v="0"/>
    <n v="0"/>
    <n v="0"/>
  </r>
  <r>
    <n v="33"/>
    <x v="1"/>
    <n v="0"/>
    <s v="Travel_Frequently"/>
    <n v="1146"/>
    <x v="0"/>
    <n v="25"/>
    <n v="3"/>
    <x v="2"/>
    <n v="1"/>
    <n v="1220"/>
    <n v="2"/>
    <x v="0"/>
    <n v="82"/>
    <n v="3"/>
    <x v="0"/>
    <x v="0"/>
    <n v="3"/>
    <x v="1"/>
    <n v="4539"/>
    <n v="4905"/>
    <n v="1"/>
    <s v="Y"/>
    <x v="1"/>
    <n v="12"/>
    <n v="3"/>
    <n v="1"/>
    <n v="80"/>
    <n v="1"/>
    <n v="10"/>
    <n v="3"/>
    <n v="2"/>
    <x v="1"/>
    <n v="7"/>
    <n v="0"/>
    <n v="1"/>
  </r>
  <r>
    <n v="36"/>
    <x v="1"/>
    <n v="0"/>
    <s v="Travel_Rarely"/>
    <n v="917"/>
    <x v="1"/>
    <n v="6"/>
    <n v="4"/>
    <x v="0"/>
    <n v="1"/>
    <n v="1221"/>
    <n v="3"/>
    <x v="1"/>
    <n v="60"/>
    <n v="1"/>
    <x v="1"/>
    <x v="2"/>
    <n v="3"/>
    <x v="2"/>
    <n v="2741"/>
    <n v="6865"/>
    <n v="1"/>
    <s v="Y"/>
    <x v="1"/>
    <n v="14"/>
    <n v="3"/>
    <n v="3"/>
    <n v="80"/>
    <n v="1"/>
    <n v="7"/>
    <n v="4"/>
    <n v="3"/>
    <x v="5"/>
    <n v="7"/>
    <n v="1"/>
    <n v="7"/>
  </r>
  <r>
    <n v="30"/>
    <x v="1"/>
    <n v="0"/>
    <s v="Travel_Rarely"/>
    <n v="853"/>
    <x v="1"/>
    <n v="7"/>
    <n v="4"/>
    <x v="0"/>
    <n v="1"/>
    <n v="1224"/>
    <n v="3"/>
    <x v="1"/>
    <n v="49"/>
    <n v="3"/>
    <x v="0"/>
    <x v="2"/>
    <n v="3"/>
    <x v="2"/>
    <n v="3491"/>
    <n v="11309"/>
    <n v="1"/>
    <s v="Y"/>
    <x v="1"/>
    <n v="13"/>
    <n v="3"/>
    <n v="1"/>
    <n v="80"/>
    <n v="3"/>
    <n v="10"/>
    <n v="4"/>
    <n v="2"/>
    <x v="1"/>
    <n v="7"/>
    <n v="8"/>
    <n v="9"/>
  </r>
  <r>
    <n v="44"/>
    <x v="1"/>
    <n v="0"/>
    <s v="Travel_Rarely"/>
    <n v="200"/>
    <x v="1"/>
    <n v="29"/>
    <n v="4"/>
    <x v="1"/>
    <n v="1"/>
    <n v="1225"/>
    <n v="4"/>
    <x v="1"/>
    <n v="32"/>
    <n v="3"/>
    <x v="0"/>
    <x v="1"/>
    <n v="4"/>
    <x v="0"/>
    <n v="4541"/>
    <n v="7744"/>
    <n v="1"/>
    <s v="Y"/>
    <x v="1"/>
    <n v="25"/>
    <n v="4"/>
    <n v="2"/>
    <n v="80"/>
    <n v="0"/>
    <n v="20"/>
    <n v="3"/>
    <n v="3"/>
    <x v="23"/>
    <n v="11"/>
    <n v="13"/>
    <n v="17"/>
  </r>
  <r>
    <n v="20"/>
    <x v="1"/>
    <n v="0"/>
    <s v="Travel_Rarely"/>
    <n v="654"/>
    <x v="0"/>
    <n v="21"/>
    <n v="3"/>
    <x v="3"/>
    <n v="1"/>
    <n v="1226"/>
    <n v="3"/>
    <x v="1"/>
    <n v="43"/>
    <n v="4"/>
    <x v="1"/>
    <x v="6"/>
    <n v="4"/>
    <x v="0"/>
    <n v="2678"/>
    <n v="5050"/>
    <n v="1"/>
    <s v="Y"/>
    <x v="1"/>
    <n v="17"/>
    <n v="3"/>
    <n v="4"/>
    <n v="80"/>
    <n v="0"/>
    <n v="2"/>
    <n v="2"/>
    <n v="3"/>
    <x v="4"/>
    <n v="1"/>
    <n v="2"/>
    <n v="2"/>
  </r>
  <r>
    <n v="46"/>
    <x v="1"/>
    <n v="0"/>
    <s v="Travel_Rarely"/>
    <n v="150"/>
    <x v="1"/>
    <n v="2"/>
    <n v="4"/>
    <x v="4"/>
    <n v="1"/>
    <n v="1228"/>
    <n v="4"/>
    <x v="1"/>
    <n v="60"/>
    <n v="3"/>
    <x v="0"/>
    <x v="3"/>
    <n v="4"/>
    <x v="2"/>
    <n v="7379"/>
    <n v="17433"/>
    <n v="2"/>
    <s v="Y"/>
    <x v="1"/>
    <n v="11"/>
    <n v="3"/>
    <n v="3"/>
    <n v="80"/>
    <n v="1"/>
    <n v="12"/>
    <n v="3"/>
    <n v="2"/>
    <x v="0"/>
    <n v="3"/>
    <n v="1"/>
    <n v="4"/>
  </r>
  <r>
    <n v="42"/>
    <x v="1"/>
    <n v="0"/>
    <s v="Non-Travel"/>
    <n v="179"/>
    <x v="2"/>
    <n v="2"/>
    <n v="5"/>
    <x v="2"/>
    <n v="1"/>
    <n v="1231"/>
    <n v="4"/>
    <x v="1"/>
    <n v="79"/>
    <n v="4"/>
    <x v="0"/>
    <x v="8"/>
    <n v="1"/>
    <x v="1"/>
    <n v="6272"/>
    <n v="12858"/>
    <n v="7"/>
    <s v="Y"/>
    <x v="1"/>
    <n v="16"/>
    <n v="3"/>
    <n v="1"/>
    <n v="80"/>
    <n v="1"/>
    <n v="10"/>
    <n v="3"/>
    <n v="4"/>
    <x v="9"/>
    <n v="3"/>
    <n v="0"/>
    <n v="3"/>
  </r>
  <r>
    <n v="60"/>
    <x v="1"/>
    <n v="0"/>
    <s v="Travel_Rarely"/>
    <n v="696"/>
    <x v="0"/>
    <n v="7"/>
    <n v="4"/>
    <x v="3"/>
    <n v="1"/>
    <n v="1233"/>
    <n v="2"/>
    <x v="1"/>
    <n v="52"/>
    <n v="4"/>
    <x v="0"/>
    <x v="0"/>
    <n v="4"/>
    <x v="2"/>
    <n v="5220"/>
    <n v="10893"/>
    <n v="0"/>
    <s v="Y"/>
    <x v="0"/>
    <n v="18"/>
    <n v="3"/>
    <n v="2"/>
    <n v="80"/>
    <n v="1"/>
    <n v="12"/>
    <n v="3"/>
    <n v="3"/>
    <x v="19"/>
    <n v="7"/>
    <n v="1"/>
    <n v="9"/>
  </r>
  <r>
    <n v="32"/>
    <x v="1"/>
    <n v="0"/>
    <s v="Travel_Frequently"/>
    <n v="116"/>
    <x v="1"/>
    <n v="13"/>
    <n v="3"/>
    <x v="1"/>
    <n v="1"/>
    <n v="1234"/>
    <n v="3"/>
    <x v="0"/>
    <n v="77"/>
    <n v="2"/>
    <x v="1"/>
    <x v="2"/>
    <n v="2"/>
    <x v="1"/>
    <n v="2743"/>
    <n v="7331"/>
    <n v="1"/>
    <s v="Y"/>
    <x v="1"/>
    <n v="20"/>
    <n v="4"/>
    <n v="3"/>
    <n v="80"/>
    <n v="1"/>
    <n v="2"/>
    <n v="2"/>
    <n v="3"/>
    <x v="4"/>
    <n v="2"/>
    <n v="2"/>
    <n v="2"/>
  </r>
  <r>
    <n v="32"/>
    <x v="1"/>
    <n v="0"/>
    <s v="Travel_Frequently"/>
    <n v="1316"/>
    <x v="1"/>
    <n v="2"/>
    <n v="2"/>
    <x v="0"/>
    <n v="1"/>
    <n v="1235"/>
    <n v="4"/>
    <x v="0"/>
    <n v="38"/>
    <n v="3"/>
    <x v="0"/>
    <x v="1"/>
    <n v="3"/>
    <x v="0"/>
    <n v="4998"/>
    <n v="2338"/>
    <n v="4"/>
    <s v="Y"/>
    <x v="0"/>
    <n v="14"/>
    <n v="3"/>
    <n v="4"/>
    <n v="80"/>
    <n v="0"/>
    <n v="10"/>
    <n v="2"/>
    <n v="3"/>
    <x v="3"/>
    <n v="7"/>
    <n v="0"/>
    <n v="7"/>
  </r>
  <r>
    <n v="36"/>
    <x v="1"/>
    <n v="0"/>
    <s v="Travel_Rarely"/>
    <n v="363"/>
    <x v="1"/>
    <n v="1"/>
    <n v="3"/>
    <x v="4"/>
    <n v="1"/>
    <n v="1237"/>
    <n v="3"/>
    <x v="0"/>
    <n v="77"/>
    <n v="1"/>
    <x v="2"/>
    <x v="3"/>
    <n v="1"/>
    <x v="2"/>
    <n v="10252"/>
    <n v="4235"/>
    <n v="2"/>
    <s v="Y"/>
    <x v="0"/>
    <n v="21"/>
    <n v="4"/>
    <n v="3"/>
    <n v="80"/>
    <n v="1"/>
    <n v="17"/>
    <n v="2"/>
    <n v="3"/>
    <x v="5"/>
    <n v="7"/>
    <n v="7"/>
    <n v="7"/>
  </r>
  <r>
    <n v="33"/>
    <x v="1"/>
    <n v="0"/>
    <s v="Travel_Rarely"/>
    <n v="117"/>
    <x v="1"/>
    <n v="9"/>
    <n v="3"/>
    <x v="2"/>
    <n v="1"/>
    <n v="1238"/>
    <n v="1"/>
    <x v="1"/>
    <n v="60"/>
    <n v="3"/>
    <x v="1"/>
    <x v="1"/>
    <n v="4"/>
    <x v="1"/>
    <n v="2781"/>
    <n v="6311"/>
    <n v="0"/>
    <s v="Y"/>
    <x v="1"/>
    <n v="13"/>
    <n v="3"/>
    <n v="2"/>
    <n v="80"/>
    <n v="1"/>
    <n v="15"/>
    <n v="5"/>
    <n v="3"/>
    <x v="13"/>
    <n v="10"/>
    <n v="4"/>
    <n v="10"/>
  </r>
  <r>
    <n v="40"/>
    <x v="1"/>
    <n v="0"/>
    <s v="Travel_Rarely"/>
    <n v="107"/>
    <x v="0"/>
    <n v="10"/>
    <n v="3"/>
    <x v="4"/>
    <n v="1"/>
    <n v="1239"/>
    <n v="2"/>
    <x v="0"/>
    <n v="84"/>
    <n v="2"/>
    <x v="0"/>
    <x v="0"/>
    <n v="2"/>
    <x v="2"/>
    <n v="6852"/>
    <n v="11591"/>
    <n v="7"/>
    <s v="Y"/>
    <x v="1"/>
    <n v="12"/>
    <n v="3"/>
    <n v="2"/>
    <n v="80"/>
    <n v="1"/>
    <n v="7"/>
    <n v="2"/>
    <n v="4"/>
    <x v="8"/>
    <n v="1"/>
    <n v="1"/>
    <n v="3"/>
  </r>
  <r>
    <n v="25"/>
    <x v="1"/>
    <n v="0"/>
    <s v="Travel_Rarely"/>
    <n v="1356"/>
    <x v="0"/>
    <n v="10"/>
    <n v="4"/>
    <x v="0"/>
    <n v="1"/>
    <n v="1240"/>
    <n v="3"/>
    <x v="1"/>
    <n v="57"/>
    <n v="3"/>
    <x v="0"/>
    <x v="0"/>
    <n v="4"/>
    <x v="0"/>
    <n v="4950"/>
    <n v="20623"/>
    <n v="0"/>
    <s v="Y"/>
    <x v="1"/>
    <n v="14"/>
    <n v="3"/>
    <n v="2"/>
    <n v="80"/>
    <n v="0"/>
    <n v="5"/>
    <n v="4"/>
    <n v="3"/>
    <x v="9"/>
    <n v="3"/>
    <n v="1"/>
    <n v="1"/>
  </r>
  <r>
    <n v="30"/>
    <x v="1"/>
    <n v="0"/>
    <s v="Travel_Rarely"/>
    <n v="1465"/>
    <x v="1"/>
    <n v="1"/>
    <n v="3"/>
    <x v="2"/>
    <n v="1"/>
    <n v="1241"/>
    <n v="4"/>
    <x v="1"/>
    <n v="63"/>
    <n v="3"/>
    <x v="1"/>
    <x v="1"/>
    <n v="2"/>
    <x v="1"/>
    <n v="3579"/>
    <n v="9369"/>
    <n v="0"/>
    <s v="Y"/>
    <x v="0"/>
    <n v="21"/>
    <n v="4"/>
    <n v="1"/>
    <n v="80"/>
    <n v="1"/>
    <n v="12"/>
    <n v="2"/>
    <n v="3"/>
    <x v="19"/>
    <n v="9"/>
    <n v="5"/>
    <n v="7"/>
  </r>
  <r>
    <n v="42"/>
    <x v="1"/>
    <n v="0"/>
    <s v="Travel_Frequently"/>
    <n v="458"/>
    <x v="1"/>
    <n v="26"/>
    <n v="5"/>
    <x v="2"/>
    <n v="1"/>
    <n v="1242"/>
    <n v="1"/>
    <x v="0"/>
    <n v="60"/>
    <n v="3"/>
    <x v="2"/>
    <x v="7"/>
    <n v="1"/>
    <x v="1"/>
    <n v="13191"/>
    <n v="23281"/>
    <n v="3"/>
    <s v="Y"/>
    <x v="0"/>
    <n v="17"/>
    <n v="3"/>
    <n v="3"/>
    <n v="80"/>
    <n v="0"/>
    <n v="20"/>
    <n v="6"/>
    <n v="3"/>
    <x v="6"/>
    <n v="0"/>
    <n v="0"/>
    <n v="0"/>
  </r>
  <r>
    <n v="35"/>
    <x v="1"/>
    <n v="0"/>
    <s v="Non-Travel"/>
    <n v="1212"/>
    <x v="0"/>
    <n v="8"/>
    <n v="2"/>
    <x v="3"/>
    <n v="1"/>
    <n v="1243"/>
    <n v="3"/>
    <x v="0"/>
    <n v="78"/>
    <n v="2"/>
    <x v="2"/>
    <x v="0"/>
    <n v="4"/>
    <x v="1"/>
    <n v="10377"/>
    <n v="13755"/>
    <n v="4"/>
    <s v="Y"/>
    <x v="0"/>
    <n v="11"/>
    <n v="3"/>
    <n v="2"/>
    <n v="80"/>
    <n v="1"/>
    <n v="16"/>
    <n v="6"/>
    <n v="2"/>
    <x v="20"/>
    <n v="2"/>
    <n v="4"/>
    <n v="12"/>
  </r>
  <r>
    <n v="27"/>
    <x v="1"/>
    <n v="0"/>
    <s v="Travel_Rarely"/>
    <n v="1103"/>
    <x v="1"/>
    <n v="14"/>
    <n v="3"/>
    <x v="0"/>
    <n v="1"/>
    <n v="1244"/>
    <n v="1"/>
    <x v="1"/>
    <n v="42"/>
    <n v="3"/>
    <x v="1"/>
    <x v="1"/>
    <n v="1"/>
    <x v="1"/>
    <n v="2235"/>
    <n v="14377"/>
    <n v="1"/>
    <s v="Y"/>
    <x v="0"/>
    <n v="14"/>
    <n v="3"/>
    <n v="4"/>
    <n v="80"/>
    <n v="2"/>
    <n v="9"/>
    <n v="3"/>
    <n v="2"/>
    <x v="7"/>
    <n v="7"/>
    <n v="6"/>
    <n v="8"/>
  </r>
  <r>
    <n v="54"/>
    <x v="1"/>
    <n v="0"/>
    <s v="Travel_Frequently"/>
    <n v="966"/>
    <x v="1"/>
    <n v="1"/>
    <n v="4"/>
    <x v="0"/>
    <n v="1"/>
    <n v="1245"/>
    <n v="4"/>
    <x v="0"/>
    <n v="53"/>
    <n v="3"/>
    <x v="2"/>
    <x v="3"/>
    <n v="3"/>
    <x v="2"/>
    <n v="10502"/>
    <n v="9659"/>
    <n v="7"/>
    <s v="Y"/>
    <x v="1"/>
    <n v="17"/>
    <n v="3"/>
    <n v="1"/>
    <n v="80"/>
    <n v="1"/>
    <n v="33"/>
    <n v="2"/>
    <n v="1"/>
    <x v="8"/>
    <n v="4"/>
    <n v="1"/>
    <n v="4"/>
  </r>
  <r>
    <n v="44"/>
    <x v="1"/>
    <n v="0"/>
    <s v="Travel_Rarely"/>
    <n v="1117"/>
    <x v="1"/>
    <n v="2"/>
    <n v="1"/>
    <x v="0"/>
    <n v="1"/>
    <n v="1246"/>
    <n v="1"/>
    <x v="0"/>
    <n v="72"/>
    <n v="4"/>
    <x v="1"/>
    <x v="1"/>
    <n v="4"/>
    <x v="1"/>
    <n v="2011"/>
    <n v="19982"/>
    <n v="1"/>
    <s v="Y"/>
    <x v="1"/>
    <n v="13"/>
    <n v="3"/>
    <n v="4"/>
    <n v="80"/>
    <n v="1"/>
    <n v="10"/>
    <n v="5"/>
    <n v="3"/>
    <x v="1"/>
    <n v="5"/>
    <n v="7"/>
    <n v="7"/>
  </r>
  <r>
    <n v="19"/>
    <x v="0"/>
    <n v="1"/>
    <s v="Non-Travel"/>
    <n v="504"/>
    <x v="1"/>
    <n v="10"/>
    <n v="3"/>
    <x v="2"/>
    <n v="1"/>
    <n v="1248"/>
    <n v="1"/>
    <x v="0"/>
    <n v="96"/>
    <n v="2"/>
    <x v="1"/>
    <x v="1"/>
    <n v="2"/>
    <x v="0"/>
    <n v="1859"/>
    <n v="6148"/>
    <n v="1"/>
    <s v="Y"/>
    <x v="0"/>
    <n v="25"/>
    <n v="4"/>
    <n v="2"/>
    <n v="80"/>
    <n v="0"/>
    <n v="1"/>
    <n v="2"/>
    <n v="4"/>
    <x v="6"/>
    <n v="1"/>
    <n v="0"/>
    <n v="0"/>
  </r>
  <r>
    <n v="29"/>
    <x v="1"/>
    <n v="0"/>
    <s v="Travel_Rarely"/>
    <n v="1010"/>
    <x v="1"/>
    <n v="1"/>
    <n v="3"/>
    <x v="0"/>
    <n v="1"/>
    <n v="1249"/>
    <n v="1"/>
    <x v="0"/>
    <n v="97"/>
    <n v="3"/>
    <x v="1"/>
    <x v="1"/>
    <n v="4"/>
    <x v="2"/>
    <n v="3760"/>
    <n v="5598"/>
    <n v="1"/>
    <s v="Y"/>
    <x v="1"/>
    <n v="15"/>
    <n v="3"/>
    <n v="1"/>
    <n v="80"/>
    <n v="3"/>
    <n v="3"/>
    <n v="5"/>
    <n v="3"/>
    <x v="11"/>
    <n v="2"/>
    <n v="1"/>
    <n v="2"/>
  </r>
  <r>
    <n v="54"/>
    <x v="1"/>
    <n v="0"/>
    <s v="Travel_Rarely"/>
    <n v="685"/>
    <x v="1"/>
    <n v="3"/>
    <n v="3"/>
    <x v="0"/>
    <n v="1"/>
    <n v="1250"/>
    <n v="4"/>
    <x v="1"/>
    <n v="85"/>
    <n v="3"/>
    <x v="3"/>
    <x v="7"/>
    <n v="4"/>
    <x v="1"/>
    <n v="17779"/>
    <n v="23474"/>
    <n v="3"/>
    <s v="Y"/>
    <x v="1"/>
    <n v="14"/>
    <n v="3"/>
    <n v="1"/>
    <n v="80"/>
    <n v="0"/>
    <n v="36"/>
    <n v="2"/>
    <n v="3"/>
    <x v="1"/>
    <n v="9"/>
    <n v="0"/>
    <n v="9"/>
  </r>
  <r>
    <n v="31"/>
    <x v="1"/>
    <n v="0"/>
    <s v="Travel_Rarely"/>
    <n v="1332"/>
    <x v="1"/>
    <n v="11"/>
    <n v="2"/>
    <x v="2"/>
    <n v="1"/>
    <n v="1251"/>
    <n v="3"/>
    <x v="1"/>
    <n v="80"/>
    <n v="3"/>
    <x v="0"/>
    <x v="4"/>
    <n v="1"/>
    <x v="1"/>
    <n v="6833"/>
    <n v="17089"/>
    <n v="1"/>
    <s v="Y"/>
    <x v="0"/>
    <n v="12"/>
    <n v="3"/>
    <n v="4"/>
    <n v="80"/>
    <n v="0"/>
    <n v="6"/>
    <n v="2"/>
    <n v="2"/>
    <x v="0"/>
    <n v="5"/>
    <n v="0"/>
    <n v="1"/>
  </r>
  <r>
    <n v="31"/>
    <x v="1"/>
    <n v="0"/>
    <s v="Travel_Rarely"/>
    <n v="1062"/>
    <x v="1"/>
    <n v="24"/>
    <n v="3"/>
    <x v="2"/>
    <n v="1"/>
    <n v="1252"/>
    <n v="3"/>
    <x v="0"/>
    <n v="96"/>
    <n v="2"/>
    <x v="0"/>
    <x v="4"/>
    <n v="1"/>
    <x v="0"/>
    <n v="6812"/>
    <n v="17198"/>
    <n v="1"/>
    <s v="Y"/>
    <x v="1"/>
    <n v="19"/>
    <n v="3"/>
    <n v="2"/>
    <n v="80"/>
    <n v="0"/>
    <n v="10"/>
    <n v="2"/>
    <n v="3"/>
    <x v="1"/>
    <n v="9"/>
    <n v="1"/>
    <n v="8"/>
  </r>
  <r>
    <n v="59"/>
    <x v="1"/>
    <n v="0"/>
    <s v="Travel_Rarely"/>
    <n v="326"/>
    <x v="0"/>
    <n v="3"/>
    <n v="3"/>
    <x v="0"/>
    <n v="1"/>
    <n v="1254"/>
    <n v="3"/>
    <x v="0"/>
    <n v="48"/>
    <n v="2"/>
    <x v="0"/>
    <x v="0"/>
    <n v="4"/>
    <x v="0"/>
    <n v="5171"/>
    <n v="16490"/>
    <n v="5"/>
    <s v="Y"/>
    <x v="1"/>
    <n v="17"/>
    <n v="3"/>
    <n v="4"/>
    <n v="80"/>
    <n v="0"/>
    <n v="13"/>
    <n v="2"/>
    <n v="3"/>
    <x v="0"/>
    <n v="1"/>
    <n v="0"/>
    <n v="5"/>
  </r>
  <r>
    <n v="43"/>
    <x v="1"/>
    <n v="0"/>
    <s v="Travel_Rarely"/>
    <n v="920"/>
    <x v="1"/>
    <n v="3"/>
    <n v="3"/>
    <x v="0"/>
    <n v="1"/>
    <n v="1255"/>
    <n v="3"/>
    <x v="1"/>
    <n v="96"/>
    <n v="1"/>
    <x v="4"/>
    <x v="7"/>
    <n v="4"/>
    <x v="1"/>
    <n v="19740"/>
    <n v="18625"/>
    <n v="3"/>
    <s v="Y"/>
    <x v="1"/>
    <n v="14"/>
    <n v="3"/>
    <n v="2"/>
    <n v="80"/>
    <n v="1"/>
    <n v="25"/>
    <n v="2"/>
    <n v="3"/>
    <x v="3"/>
    <n v="7"/>
    <n v="0"/>
    <n v="7"/>
  </r>
  <r>
    <n v="49"/>
    <x v="1"/>
    <n v="0"/>
    <s v="Travel_Rarely"/>
    <n v="1098"/>
    <x v="1"/>
    <n v="4"/>
    <n v="2"/>
    <x v="2"/>
    <n v="1"/>
    <n v="1256"/>
    <n v="1"/>
    <x v="1"/>
    <n v="85"/>
    <n v="2"/>
    <x v="4"/>
    <x v="5"/>
    <n v="3"/>
    <x v="1"/>
    <n v="18711"/>
    <n v="12124"/>
    <n v="2"/>
    <s v="Y"/>
    <x v="1"/>
    <n v="13"/>
    <n v="3"/>
    <n v="3"/>
    <n v="80"/>
    <n v="1"/>
    <n v="23"/>
    <n v="2"/>
    <n v="4"/>
    <x v="6"/>
    <n v="0"/>
    <n v="0"/>
    <n v="0"/>
  </r>
  <r>
    <n v="36"/>
    <x v="1"/>
    <n v="0"/>
    <s v="Travel_Frequently"/>
    <n v="469"/>
    <x v="1"/>
    <n v="3"/>
    <n v="3"/>
    <x v="4"/>
    <n v="1"/>
    <n v="1257"/>
    <n v="3"/>
    <x v="1"/>
    <n v="46"/>
    <n v="3"/>
    <x v="1"/>
    <x v="1"/>
    <n v="2"/>
    <x v="1"/>
    <n v="3692"/>
    <n v="9256"/>
    <n v="1"/>
    <s v="Y"/>
    <x v="1"/>
    <n v="12"/>
    <n v="3"/>
    <n v="3"/>
    <n v="80"/>
    <n v="0"/>
    <n v="12"/>
    <n v="2"/>
    <n v="2"/>
    <x v="19"/>
    <n v="10"/>
    <n v="0"/>
    <n v="7"/>
  </r>
  <r>
    <n v="48"/>
    <x v="1"/>
    <n v="0"/>
    <s v="Travel_Rarely"/>
    <n v="969"/>
    <x v="1"/>
    <n v="2"/>
    <n v="2"/>
    <x v="4"/>
    <n v="1"/>
    <n v="1258"/>
    <n v="4"/>
    <x v="1"/>
    <n v="76"/>
    <n v="4"/>
    <x v="1"/>
    <x v="2"/>
    <n v="2"/>
    <x v="0"/>
    <n v="2559"/>
    <n v="16620"/>
    <n v="5"/>
    <s v="Y"/>
    <x v="1"/>
    <n v="11"/>
    <n v="3"/>
    <n v="3"/>
    <n v="80"/>
    <n v="0"/>
    <n v="7"/>
    <n v="4"/>
    <n v="2"/>
    <x v="6"/>
    <n v="0"/>
    <n v="0"/>
    <n v="0"/>
  </r>
  <r>
    <n v="27"/>
    <x v="1"/>
    <n v="0"/>
    <s v="Travel_Rarely"/>
    <n v="1167"/>
    <x v="1"/>
    <n v="4"/>
    <n v="2"/>
    <x v="0"/>
    <n v="1"/>
    <n v="1259"/>
    <n v="1"/>
    <x v="1"/>
    <n v="76"/>
    <n v="3"/>
    <x v="1"/>
    <x v="1"/>
    <n v="3"/>
    <x v="2"/>
    <n v="2517"/>
    <n v="3208"/>
    <n v="1"/>
    <s v="Y"/>
    <x v="1"/>
    <n v="11"/>
    <n v="3"/>
    <n v="2"/>
    <n v="80"/>
    <n v="3"/>
    <n v="5"/>
    <n v="2"/>
    <n v="3"/>
    <x v="8"/>
    <n v="3"/>
    <n v="0"/>
    <n v="3"/>
  </r>
  <r>
    <n v="29"/>
    <x v="1"/>
    <n v="0"/>
    <s v="Travel_Rarely"/>
    <n v="1329"/>
    <x v="1"/>
    <n v="7"/>
    <n v="3"/>
    <x v="0"/>
    <n v="1"/>
    <n v="1260"/>
    <n v="3"/>
    <x v="1"/>
    <n v="82"/>
    <n v="3"/>
    <x v="0"/>
    <x v="4"/>
    <n v="4"/>
    <x v="2"/>
    <n v="6623"/>
    <n v="4204"/>
    <n v="1"/>
    <s v="Y"/>
    <x v="0"/>
    <n v="11"/>
    <n v="3"/>
    <n v="2"/>
    <n v="80"/>
    <n v="2"/>
    <n v="6"/>
    <n v="2"/>
    <n v="3"/>
    <x v="0"/>
    <n v="0"/>
    <n v="1"/>
    <n v="0"/>
  </r>
  <r>
    <n v="48"/>
    <x v="1"/>
    <n v="0"/>
    <s v="Travel_Rarely"/>
    <n v="715"/>
    <x v="1"/>
    <n v="1"/>
    <n v="3"/>
    <x v="0"/>
    <n v="1"/>
    <n v="1263"/>
    <n v="4"/>
    <x v="1"/>
    <n v="76"/>
    <n v="2"/>
    <x v="4"/>
    <x v="7"/>
    <n v="4"/>
    <x v="0"/>
    <n v="18265"/>
    <n v="8733"/>
    <n v="6"/>
    <s v="Y"/>
    <x v="1"/>
    <n v="12"/>
    <n v="3"/>
    <n v="3"/>
    <n v="80"/>
    <n v="0"/>
    <n v="25"/>
    <n v="3"/>
    <n v="4"/>
    <x v="6"/>
    <n v="0"/>
    <n v="0"/>
    <n v="0"/>
  </r>
  <r>
    <n v="29"/>
    <x v="1"/>
    <n v="0"/>
    <s v="Travel_Rarely"/>
    <n v="694"/>
    <x v="1"/>
    <n v="1"/>
    <n v="3"/>
    <x v="0"/>
    <n v="1"/>
    <n v="1264"/>
    <n v="4"/>
    <x v="0"/>
    <n v="87"/>
    <n v="2"/>
    <x v="3"/>
    <x v="7"/>
    <n v="4"/>
    <x v="2"/>
    <n v="16124"/>
    <n v="3423"/>
    <n v="3"/>
    <s v="Y"/>
    <x v="1"/>
    <n v="14"/>
    <n v="3"/>
    <n v="2"/>
    <n v="80"/>
    <n v="2"/>
    <n v="9"/>
    <n v="2"/>
    <n v="2"/>
    <x v="5"/>
    <n v="7"/>
    <n v="1"/>
    <n v="7"/>
  </r>
  <r>
    <n v="34"/>
    <x v="1"/>
    <n v="0"/>
    <s v="Travel_Rarely"/>
    <n v="1320"/>
    <x v="1"/>
    <n v="20"/>
    <n v="3"/>
    <x v="4"/>
    <n v="1"/>
    <n v="1265"/>
    <n v="3"/>
    <x v="0"/>
    <n v="89"/>
    <n v="4"/>
    <x v="1"/>
    <x v="1"/>
    <n v="3"/>
    <x v="1"/>
    <n v="2585"/>
    <n v="21643"/>
    <n v="0"/>
    <s v="Y"/>
    <x v="1"/>
    <n v="17"/>
    <n v="3"/>
    <n v="4"/>
    <n v="80"/>
    <n v="0"/>
    <n v="2"/>
    <n v="5"/>
    <n v="2"/>
    <x v="6"/>
    <n v="0"/>
    <n v="0"/>
    <n v="0"/>
  </r>
  <r>
    <n v="44"/>
    <x v="1"/>
    <n v="0"/>
    <s v="Travel_Rarely"/>
    <n v="1099"/>
    <x v="0"/>
    <n v="5"/>
    <n v="3"/>
    <x v="3"/>
    <n v="1"/>
    <n v="1267"/>
    <n v="2"/>
    <x v="1"/>
    <n v="88"/>
    <n v="3"/>
    <x v="4"/>
    <x v="5"/>
    <n v="2"/>
    <x v="1"/>
    <n v="18213"/>
    <n v="8751"/>
    <n v="7"/>
    <s v="Y"/>
    <x v="1"/>
    <n v="11"/>
    <n v="3"/>
    <n v="3"/>
    <n v="80"/>
    <n v="1"/>
    <n v="26"/>
    <n v="5"/>
    <n v="3"/>
    <x v="14"/>
    <n v="9"/>
    <n v="3"/>
    <n v="10"/>
  </r>
  <r>
    <n v="33"/>
    <x v="1"/>
    <n v="0"/>
    <s v="Travel_Rarely"/>
    <n v="536"/>
    <x v="0"/>
    <n v="10"/>
    <n v="5"/>
    <x v="3"/>
    <n v="1"/>
    <n v="1268"/>
    <n v="4"/>
    <x v="1"/>
    <n v="82"/>
    <n v="4"/>
    <x v="2"/>
    <x v="0"/>
    <n v="3"/>
    <x v="2"/>
    <n v="8380"/>
    <n v="21708"/>
    <n v="0"/>
    <s v="Y"/>
    <x v="0"/>
    <n v="14"/>
    <n v="3"/>
    <n v="4"/>
    <n v="80"/>
    <n v="2"/>
    <n v="10"/>
    <n v="3"/>
    <n v="3"/>
    <x v="7"/>
    <n v="8"/>
    <n v="0"/>
    <n v="8"/>
  </r>
  <r>
    <n v="19"/>
    <x v="1"/>
    <n v="0"/>
    <s v="Travel_Rarely"/>
    <n v="265"/>
    <x v="1"/>
    <n v="25"/>
    <n v="3"/>
    <x v="0"/>
    <n v="1"/>
    <n v="1269"/>
    <n v="2"/>
    <x v="0"/>
    <n v="57"/>
    <n v="4"/>
    <x v="1"/>
    <x v="1"/>
    <n v="4"/>
    <x v="0"/>
    <n v="2994"/>
    <n v="21221"/>
    <n v="1"/>
    <s v="Y"/>
    <x v="0"/>
    <n v="12"/>
    <n v="3"/>
    <n v="4"/>
    <n v="80"/>
    <n v="0"/>
    <n v="1"/>
    <n v="2"/>
    <n v="3"/>
    <x v="6"/>
    <n v="0"/>
    <n v="0"/>
    <n v="1"/>
  </r>
  <r>
    <n v="23"/>
    <x v="1"/>
    <n v="0"/>
    <s v="Travel_Rarely"/>
    <n v="373"/>
    <x v="1"/>
    <n v="1"/>
    <n v="2"/>
    <x v="0"/>
    <n v="1"/>
    <n v="1270"/>
    <n v="4"/>
    <x v="1"/>
    <n v="47"/>
    <n v="3"/>
    <x v="1"/>
    <x v="1"/>
    <n v="3"/>
    <x v="1"/>
    <n v="1223"/>
    <n v="16901"/>
    <n v="1"/>
    <s v="Y"/>
    <x v="1"/>
    <n v="22"/>
    <n v="4"/>
    <n v="4"/>
    <n v="80"/>
    <n v="1"/>
    <n v="1"/>
    <n v="2"/>
    <n v="3"/>
    <x v="6"/>
    <n v="0"/>
    <n v="0"/>
    <n v="1"/>
  </r>
  <r>
    <n v="25"/>
    <x v="0"/>
    <n v="1"/>
    <s v="Travel_Frequently"/>
    <n v="599"/>
    <x v="0"/>
    <n v="24"/>
    <n v="1"/>
    <x v="0"/>
    <n v="1"/>
    <n v="1273"/>
    <n v="3"/>
    <x v="1"/>
    <n v="73"/>
    <n v="1"/>
    <x v="1"/>
    <x v="6"/>
    <n v="4"/>
    <x v="0"/>
    <n v="1118"/>
    <n v="8040"/>
    <n v="1"/>
    <s v="Y"/>
    <x v="0"/>
    <n v="14"/>
    <n v="3"/>
    <n v="4"/>
    <n v="80"/>
    <n v="0"/>
    <n v="1"/>
    <n v="4"/>
    <n v="3"/>
    <x v="6"/>
    <n v="0"/>
    <n v="1"/>
    <n v="0"/>
  </r>
  <r>
    <n v="26"/>
    <x v="1"/>
    <n v="0"/>
    <s v="Travel_Rarely"/>
    <n v="583"/>
    <x v="1"/>
    <n v="4"/>
    <n v="2"/>
    <x v="0"/>
    <n v="1"/>
    <n v="1275"/>
    <n v="3"/>
    <x v="1"/>
    <n v="53"/>
    <n v="3"/>
    <x v="1"/>
    <x v="1"/>
    <n v="4"/>
    <x v="0"/>
    <n v="2875"/>
    <n v="9973"/>
    <n v="1"/>
    <s v="Y"/>
    <x v="0"/>
    <n v="20"/>
    <n v="4"/>
    <n v="2"/>
    <n v="80"/>
    <n v="0"/>
    <n v="8"/>
    <n v="2"/>
    <n v="2"/>
    <x v="3"/>
    <n v="5"/>
    <n v="2"/>
    <n v="2"/>
  </r>
  <r>
    <n v="45"/>
    <x v="0"/>
    <n v="1"/>
    <s v="Travel_Rarely"/>
    <n v="1449"/>
    <x v="0"/>
    <n v="2"/>
    <n v="3"/>
    <x v="3"/>
    <n v="1"/>
    <n v="1277"/>
    <n v="1"/>
    <x v="0"/>
    <n v="94"/>
    <n v="1"/>
    <x v="4"/>
    <x v="5"/>
    <n v="2"/>
    <x v="0"/>
    <n v="18824"/>
    <n v="2493"/>
    <n v="2"/>
    <s v="Y"/>
    <x v="0"/>
    <n v="16"/>
    <n v="3"/>
    <n v="1"/>
    <n v="80"/>
    <n v="0"/>
    <n v="26"/>
    <n v="2"/>
    <n v="3"/>
    <x v="25"/>
    <n v="10"/>
    <n v="1"/>
    <n v="11"/>
  </r>
  <r>
    <n v="55"/>
    <x v="1"/>
    <n v="0"/>
    <s v="Non-Travel"/>
    <n v="177"/>
    <x v="1"/>
    <n v="8"/>
    <n v="1"/>
    <x v="2"/>
    <n v="1"/>
    <n v="1278"/>
    <n v="4"/>
    <x v="1"/>
    <n v="37"/>
    <n v="2"/>
    <x v="3"/>
    <x v="4"/>
    <n v="2"/>
    <x v="2"/>
    <n v="13577"/>
    <n v="25592"/>
    <n v="1"/>
    <s v="Y"/>
    <x v="0"/>
    <n v="15"/>
    <n v="3"/>
    <n v="4"/>
    <n v="80"/>
    <n v="1"/>
    <n v="34"/>
    <n v="3"/>
    <n v="3"/>
    <x v="26"/>
    <n v="9"/>
    <n v="15"/>
    <n v="0"/>
  </r>
  <r>
    <n v="21"/>
    <x v="0"/>
    <n v="1"/>
    <s v="Travel_Frequently"/>
    <n v="251"/>
    <x v="1"/>
    <n v="10"/>
    <n v="2"/>
    <x v="0"/>
    <n v="1"/>
    <n v="1279"/>
    <n v="1"/>
    <x v="0"/>
    <n v="45"/>
    <n v="2"/>
    <x v="1"/>
    <x v="2"/>
    <n v="3"/>
    <x v="0"/>
    <n v="2625"/>
    <n v="25308"/>
    <n v="1"/>
    <s v="Y"/>
    <x v="1"/>
    <n v="20"/>
    <n v="4"/>
    <n v="3"/>
    <n v="80"/>
    <n v="0"/>
    <n v="2"/>
    <n v="2"/>
    <n v="1"/>
    <x v="4"/>
    <n v="2"/>
    <n v="2"/>
    <n v="2"/>
  </r>
  <r>
    <n v="46"/>
    <x v="1"/>
    <n v="0"/>
    <s v="Travel_Rarely"/>
    <n v="168"/>
    <x v="0"/>
    <n v="4"/>
    <n v="2"/>
    <x v="3"/>
    <n v="1"/>
    <n v="1280"/>
    <n v="4"/>
    <x v="0"/>
    <n v="33"/>
    <n v="2"/>
    <x v="4"/>
    <x v="5"/>
    <n v="2"/>
    <x v="1"/>
    <n v="18789"/>
    <n v="9946"/>
    <n v="2"/>
    <s v="Y"/>
    <x v="1"/>
    <n v="14"/>
    <n v="3"/>
    <n v="3"/>
    <n v="80"/>
    <n v="1"/>
    <n v="26"/>
    <n v="2"/>
    <n v="3"/>
    <x v="19"/>
    <n v="4"/>
    <n v="0"/>
    <n v="8"/>
  </r>
  <r>
    <n v="34"/>
    <x v="1"/>
    <n v="0"/>
    <s v="Travel_Rarely"/>
    <n v="131"/>
    <x v="0"/>
    <n v="2"/>
    <n v="3"/>
    <x v="3"/>
    <n v="1"/>
    <n v="1281"/>
    <n v="3"/>
    <x v="0"/>
    <n v="86"/>
    <n v="3"/>
    <x v="0"/>
    <x v="0"/>
    <n v="1"/>
    <x v="0"/>
    <n v="4538"/>
    <n v="6039"/>
    <n v="0"/>
    <s v="Y"/>
    <x v="0"/>
    <n v="12"/>
    <n v="3"/>
    <n v="4"/>
    <n v="80"/>
    <n v="0"/>
    <n v="4"/>
    <n v="3"/>
    <n v="3"/>
    <x v="11"/>
    <n v="2"/>
    <n v="0"/>
    <n v="2"/>
  </r>
  <r>
    <n v="51"/>
    <x v="1"/>
    <n v="0"/>
    <s v="Travel_Frequently"/>
    <n v="237"/>
    <x v="0"/>
    <n v="9"/>
    <n v="3"/>
    <x v="0"/>
    <n v="1"/>
    <n v="1282"/>
    <n v="4"/>
    <x v="1"/>
    <n v="83"/>
    <n v="3"/>
    <x v="4"/>
    <x v="5"/>
    <n v="2"/>
    <x v="2"/>
    <n v="19847"/>
    <n v="19196"/>
    <n v="4"/>
    <s v="Y"/>
    <x v="0"/>
    <n v="24"/>
    <n v="4"/>
    <n v="1"/>
    <n v="80"/>
    <n v="1"/>
    <n v="31"/>
    <n v="5"/>
    <n v="2"/>
    <x v="30"/>
    <n v="10"/>
    <n v="11"/>
    <n v="10"/>
  </r>
  <r>
    <n v="59"/>
    <x v="1"/>
    <n v="0"/>
    <s v="Travel_Rarely"/>
    <n v="1429"/>
    <x v="1"/>
    <n v="18"/>
    <n v="4"/>
    <x v="2"/>
    <n v="1"/>
    <n v="1283"/>
    <n v="4"/>
    <x v="1"/>
    <n v="67"/>
    <n v="3"/>
    <x v="2"/>
    <x v="3"/>
    <n v="4"/>
    <x v="0"/>
    <n v="10512"/>
    <n v="20002"/>
    <n v="6"/>
    <s v="Y"/>
    <x v="1"/>
    <n v="12"/>
    <n v="3"/>
    <n v="4"/>
    <n v="80"/>
    <n v="0"/>
    <n v="25"/>
    <n v="6"/>
    <n v="2"/>
    <x v="7"/>
    <n v="7"/>
    <n v="5"/>
    <n v="4"/>
  </r>
  <r>
    <n v="34"/>
    <x v="1"/>
    <n v="0"/>
    <s v="Travel_Frequently"/>
    <n v="135"/>
    <x v="1"/>
    <n v="19"/>
    <n v="3"/>
    <x v="2"/>
    <n v="1"/>
    <n v="1285"/>
    <n v="3"/>
    <x v="0"/>
    <n v="46"/>
    <n v="3"/>
    <x v="0"/>
    <x v="2"/>
    <n v="2"/>
    <x v="2"/>
    <n v="4444"/>
    <n v="22534"/>
    <n v="4"/>
    <s v="Y"/>
    <x v="1"/>
    <n v="13"/>
    <n v="3"/>
    <n v="3"/>
    <n v="80"/>
    <n v="2"/>
    <n v="15"/>
    <n v="2"/>
    <n v="4"/>
    <x v="19"/>
    <n v="8"/>
    <n v="5"/>
    <n v="10"/>
  </r>
  <r>
    <n v="28"/>
    <x v="1"/>
    <n v="0"/>
    <s v="Travel_Frequently"/>
    <n v="791"/>
    <x v="1"/>
    <n v="1"/>
    <n v="4"/>
    <x v="2"/>
    <n v="1"/>
    <n v="1286"/>
    <n v="4"/>
    <x v="1"/>
    <n v="44"/>
    <n v="3"/>
    <x v="1"/>
    <x v="2"/>
    <n v="3"/>
    <x v="0"/>
    <n v="2154"/>
    <n v="6842"/>
    <n v="0"/>
    <s v="Y"/>
    <x v="0"/>
    <n v="11"/>
    <n v="3"/>
    <n v="3"/>
    <n v="80"/>
    <n v="0"/>
    <n v="5"/>
    <n v="2"/>
    <n v="2"/>
    <x v="9"/>
    <n v="2"/>
    <n v="0"/>
    <n v="2"/>
  </r>
  <r>
    <n v="44"/>
    <x v="1"/>
    <n v="0"/>
    <s v="Travel_Rarely"/>
    <n v="1199"/>
    <x v="1"/>
    <n v="4"/>
    <n v="2"/>
    <x v="0"/>
    <n v="1"/>
    <n v="1288"/>
    <n v="3"/>
    <x v="1"/>
    <n v="92"/>
    <n v="4"/>
    <x v="4"/>
    <x v="5"/>
    <n v="1"/>
    <x v="2"/>
    <n v="19190"/>
    <n v="17477"/>
    <n v="1"/>
    <s v="Y"/>
    <x v="1"/>
    <n v="14"/>
    <n v="3"/>
    <n v="4"/>
    <n v="80"/>
    <n v="2"/>
    <n v="26"/>
    <n v="4"/>
    <n v="2"/>
    <x v="10"/>
    <n v="9"/>
    <n v="14"/>
    <n v="13"/>
  </r>
  <r>
    <n v="34"/>
    <x v="1"/>
    <n v="0"/>
    <s v="Travel_Frequently"/>
    <n v="648"/>
    <x v="2"/>
    <n v="11"/>
    <n v="3"/>
    <x v="0"/>
    <n v="1"/>
    <n v="1289"/>
    <n v="3"/>
    <x v="1"/>
    <n v="56"/>
    <n v="2"/>
    <x v="0"/>
    <x v="8"/>
    <n v="2"/>
    <x v="1"/>
    <n v="4490"/>
    <n v="21833"/>
    <n v="4"/>
    <s v="Y"/>
    <x v="1"/>
    <n v="11"/>
    <n v="3"/>
    <n v="4"/>
    <n v="80"/>
    <n v="2"/>
    <n v="14"/>
    <n v="5"/>
    <n v="4"/>
    <x v="1"/>
    <n v="9"/>
    <n v="1"/>
    <n v="8"/>
  </r>
  <r>
    <n v="35"/>
    <x v="1"/>
    <n v="0"/>
    <s v="Travel_Rarely"/>
    <n v="735"/>
    <x v="1"/>
    <n v="6"/>
    <n v="1"/>
    <x v="0"/>
    <n v="1"/>
    <n v="1291"/>
    <n v="3"/>
    <x v="1"/>
    <n v="66"/>
    <n v="3"/>
    <x v="1"/>
    <x v="1"/>
    <n v="3"/>
    <x v="1"/>
    <n v="3506"/>
    <n v="6020"/>
    <n v="0"/>
    <s v="Y"/>
    <x v="0"/>
    <n v="14"/>
    <n v="3"/>
    <n v="4"/>
    <n v="80"/>
    <n v="0"/>
    <n v="4"/>
    <n v="3"/>
    <n v="3"/>
    <x v="11"/>
    <n v="2"/>
    <n v="2"/>
    <n v="2"/>
  </r>
  <r>
    <n v="42"/>
    <x v="1"/>
    <n v="0"/>
    <s v="Travel_Rarely"/>
    <n v="603"/>
    <x v="1"/>
    <n v="7"/>
    <n v="4"/>
    <x v="2"/>
    <n v="1"/>
    <n v="1292"/>
    <n v="2"/>
    <x v="0"/>
    <n v="78"/>
    <n v="4"/>
    <x v="0"/>
    <x v="1"/>
    <n v="2"/>
    <x v="1"/>
    <n v="2372"/>
    <n v="5628"/>
    <n v="6"/>
    <s v="Y"/>
    <x v="0"/>
    <n v="16"/>
    <n v="3"/>
    <n v="4"/>
    <n v="80"/>
    <n v="0"/>
    <n v="18"/>
    <n v="2"/>
    <n v="3"/>
    <x v="6"/>
    <n v="0"/>
    <n v="0"/>
    <n v="0"/>
  </r>
  <r>
    <n v="43"/>
    <x v="1"/>
    <n v="0"/>
    <s v="Travel_Rarely"/>
    <n v="531"/>
    <x v="0"/>
    <n v="4"/>
    <n v="4"/>
    <x v="3"/>
    <n v="1"/>
    <n v="1293"/>
    <n v="4"/>
    <x v="0"/>
    <n v="56"/>
    <n v="2"/>
    <x v="2"/>
    <x v="0"/>
    <n v="4"/>
    <x v="0"/>
    <n v="10231"/>
    <n v="20364"/>
    <n v="3"/>
    <s v="Y"/>
    <x v="1"/>
    <n v="14"/>
    <n v="3"/>
    <n v="4"/>
    <n v="80"/>
    <n v="0"/>
    <n v="23"/>
    <n v="3"/>
    <n v="4"/>
    <x v="17"/>
    <n v="7"/>
    <n v="15"/>
    <n v="17"/>
  </r>
  <r>
    <n v="36"/>
    <x v="1"/>
    <n v="0"/>
    <s v="Travel_Rarely"/>
    <n v="429"/>
    <x v="1"/>
    <n v="2"/>
    <n v="4"/>
    <x v="0"/>
    <n v="1"/>
    <n v="1294"/>
    <n v="3"/>
    <x v="0"/>
    <n v="53"/>
    <n v="3"/>
    <x v="0"/>
    <x v="3"/>
    <n v="2"/>
    <x v="0"/>
    <n v="5410"/>
    <n v="2323"/>
    <n v="9"/>
    <s v="Y"/>
    <x v="0"/>
    <n v="11"/>
    <n v="3"/>
    <n v="4"/>
    <n v="80"/>
    <n v="0"/>
    <n v="18"/>
    <n v="2"/>
    <n v="3"/>
    <x v="22"/>
    <n v="14"/>
    <n v="5"/>
    <n v="12"/>
  </r>
  <r>
    <n v="44"/>
    <x v="0"/>
    <n v="1"/>
    <s v="Travel_Rarely"/>
    <n v="621"/>
    <x v="1"/>
    <n v="15"/>
    <n v="3"/>
    <x v="2"/>
    <n v="1"/>
    <n v="1295"/>
    <n v="1"/>
    <x v="0"/>
    <n v="73"/>
    <n v="3"/>
    <x v="2"/>
    <x v="4"/>
    <n v="4"/>
    <x v="1"/>
    <n v="7978"/>
    <n v="14075"/>
    <n v="1"/>
    <s v="Y"/>
    <x v="1"/>
    <n v="11"/>
    <n v="3"/>
    <n v="4"/>
    <n v="80"/>
    <n v="1"/>
    <n v="10"/>
    <n v="2"/>
    <n v="3"/>
    <x v="1"/>
    <n v="7"/>
    <n v="0"/>
    <n v="5"/>
  </r>
  <r>
    <n v="28"/>
    <x v="1"/>
    <n v="0"/>
    <s v="Travel_Frequently"/>
    <n v="193"/>
    <x v="1"/>
    <n v="2"/>
    <n v="3"/>
    <x v="0"/>
    <n v="1"/>
    <n v="1296"/>
    <n v="4"/>
    <x v="1"/>
    <n v="52"/>
    <n v="2"/>
    <x v="1"/>
    <x v="2"/>
    <n v="4"/>
    <x v="1"/>
    <n v="3867"/>
    <n v="14222"/>
    <n v="1"/>
    <s v="Y"/>
    <x v="0"/>
    <n v="12"/>
    <n v="3"/>
    <n v="2"/>
    <n v="80"/>
    <n v="1"/>
    <n v="2"/>
    <n v="2"/>
    <n v="3"/>
    <x v="4"/>
    <n v="2"/>
    <n v="2"/>
    <n v="2"/>
  </r>
  <r>
    <n v="51"/>
    <x v="1"/>
    <n v="0"/>
    <s v="Travel_Frequently"/>
    <n v="968"/>
    <x v="1"/>
    <n v="6"/>
    <n v="2"/>
    <x v="2"/>
    <n v="1"/>
    <n v="1297"/>
    <n v="2"/>
    <x v="0"/>
    <n v="40"/>
    <n v="2"/>
    <x v="1"/>
    <x v="2"/>
    <n v="3"/>
    <x v="0"/>
    <n v="2838"/>
    <n v="4257"/>
    <n v="0"/>
    <s v="Y"/>
    <x v="1"/>
    <n v="14"/>
    <n v="3"/>
    <n v="2"/>
    <n v="80"/>
    <n v="0"/>
    <n v="8"/>
    <n v="6"/>
    <n v="2"/>
    <x v="5"/>
    <n v="0"/>
    <n v="7"/>
    <n v="7"/>
  </r>
  <r>
    <n v="30"/>
    <x v="1"/>
    <n v="0"/>
    <s v="Non-Travel"/>
    <n v="879"/>
    <x v="1"/>
    <n v="9"/>
    <n v="2"/>
    <x v="2"/>
    <n v="1"/>
    <n v="1298"/>
    <n v="3"/>
    <x v="0"/>
    <n v="72"/>
    <n v="3"/>
    <x v="0"/>
    <x v="3"/>
    <n v="3"/>
    <x v="0"/>
    <n v="4695"/>
    <n v="12858"/>
    <n v="7"/>
    <s v="Y"/>
    <x v="0"/>
    <n v="18"/>
    <n v="3"/>
    <n v="3"/>
    <n v="80"/>
    <n v="0"/>
    <n v="10"/>
    <n v="3"/>
    <n v="3"/>
    <x v="3"/>
    <n v="4"/>
    <n v="1"/>
    <n v="7"/>
  </r>
  <r>
    <n v="29"/>
    <x v="0"/>
    <n v="1"/>
    <s v="Travel_Rarely"/>
    <n v="806"/>
    <x v="1"/>
    <n v="7"/>
    <n v="3"/>
    <x v="4"/>
    <n v="1"/>
    <n v="1299"/>
    <n v="2"/>
    <x v="0"/>
    <n v="39"/>
    <n v="3"/>
    <x v="1"/>
    <x v="2"/>
    <n v="3"/>
    <x v="2"/>
    <n v="3339"/>
    <n v="17285"/>
    <n v="3"/>
    <s v="Y"/>
    <x v="0"/>
    <n v="13"/>
    <n v="3"/>
    <n v="1"/>
    <n v="80"/>
    <n v="2"/>
    <n v="10"/>
    <n v="2"/>
    <n v="3"/>
    <x v="5"/>
    <n v="7"/>
    <n v="7"/>
    <n v="7"/>
  </r>
  <r>
    <n v="28"/>
    <x v="1"/>
    <n v="0"/>
    <s v="Travel_Rarely"/>
    <n v="640"/>
    <x v="1"/>
    <n v="1"/>
    <n v="3"/>
    <x v="4"/>
    <n v="1"/>
    <n v="1301"/>
    <n v="4"/>
    <x v="1"/>
    <n v="84"/>
    <n v="3"/>
    <x v="1"/>
    <x v="1"/>
    <n v="1"/>
    <x v="0"/>
    <n v="2080"/>
    <n v="4732"/>
    <n v="2"/>
    <s v="Y"/>
    <x v="1"/>
    <n v="11"/>
    <n v="3"/>
    <n v="2"/>
    <n v="80"/>
    <n v="0"/>
    <n v="5"/>
    <n v="2"/>
    <n v="2"/>
    <x v="11"/>
    <n v="2"/>
    <n v="1"/>
    <n v="2"/>
  </r>
  <r>
    <n v="25"/>
    <x v="1"/>
    <n v="0"/>
    <s v="Travel_Rarely"/>
    <n v="266"/>
    <x v="1"/>
    <n v="1"/>
    <n v="3"/>
    <x v="2"/>
    <n v="1"/>
    <n v="1303"/>
    <n v="4"/>
    <x v="0"/>
    <n v="40"/>
    <n v="3"/>
    <x v="1"/>
    <x v="1"/>
    <n v="2"/>
    <x v="0"/>
    <n v="2096"/>
    <n v="18830"/>
    <n v="1"/>
    <s v="Y"/>
    <x v="1"/>
    <n v="18"/>
    <n v="3"/>
    <n v="4"/>
    <n v="80"/>
    <n v="0"/>
    <n v="2"/>
    <n v="3"/>
    <n v="2"/>
    <x v="4"/>
    <n v="2"/>
    <n v="2"/>
    <n v="1"/>
  </r>
  <r>
    <n v="32"/>
    <x v="1"/>
    <n v="0"/>
    <s v="Travel_Rarely"/>
    <n v="604"/>
    <x v="0"/>
    <n v="8"/>
    <n v="3"/>
    <x v="2"/>
    <n v="1"/>
    <n v="1304"/>
    <n v="3"/>
    <x v="1"/>
    <n v="56"/>
    <n v="4"/>
    <x v="0"/>
    <x v="0"/>
    <n v="4"/>
    <x v="1"/>
    <n v="6209"/>
    <n v="11693"/>
    <n v="1"/>
    <s v="Y"/>
    <x v="1"/>
    <n v="15"/>
    <n v="3"/>
    <n v="3"/>
    <n v="80"/>
    <n v="2"/>
    <n v="10"/>
    <n v="4"/>
    <n v="4"/>
    <x v="1"/>
    <n v="7"/>
    <n v="0"/>
    <n v="8"/>
  </r>
  <r>
    <n v="45"/>
    <x v="1"/>
    <n v="0"/>
    <s v="Travel_Frequently"/>
    <n v="364"/>
    <x v="1"/>
    <n v="25"/>
    <n v="3"/>
    <x v="2"/>
    <n v="1"/>
    <n v="1306"/>
    <n v="2"/>
    <x v="0"/>
    <n v="83"/>
    <n v="3"/>
    <x v="4"/>
    <x v="5"/>
    <n v="2"/>
    <x v="0"/>
    <n v="18061"/>
    <n v="13035"/>
    <n v="3"/>
    <s v="Y"/>
    <x v="1"/>
    <n v="22"/>
    <n v="4"/>
    <n v="3"/>
    <n v="80"/>
    <n v="0"/>
    <n v="22"/>
    <n v="4"/>
    <n v="3"/>
    <x v="2"/>
    <n v="0"/>
    <n v="0"/>
    <n v="0"/>
  </r>
  <r>
    <n v="39"/>
    <x v="1"/>
    <n v="0"/>
    <s v="Travel_Rarely"/>
    <n v="412"/>
    <x v="1"/>
    <n v="13"/>
    <n v="4"/>
    <x v="2"/>
    <n v="1"/>
    <n v="1307"/>
    <n v="3"/>
    <x v="0"/>
    <n v="94"/>
    <n v="2"/>
    <x v="3"/>
    <x v="5"/>
    <n v="2"/>
    <x v="2"/>
    <n v="17123"/>
    <n v="17334"/>
    <n v="6"/>
    <s v="Y"/>
    <x v="0"/>
    <n v="13"/>
    <n v="3"/>
    <n v="4"/>
    <n v="80"/>
    <n v="2"/>
    <n v="21"/>
    <n v="4"/>
    <n v="3"/>
    <x v="27"/>
    <n v="9"/>
    <n v="15"/>
    <n v="2"/>
  </r>
  <r>
    <n v="58"/>
    <x v="1"/>
    <n v="0"/>
    <s v="Travel_Rarely"/>
    <n v="848"/>
    <x v="1"/>
    <n v="23"/>
    <n v="4"/>
    <x v="0"/>
    <n v="1"/>
    <n v="1308"/>
    <n v="1"/>
    <x v="1"/>
    <n v="88"/>
    <n v="3"/>
    <x v="1"/>
    <x v="1"/>
    <n v="3"/>
    <x v="2"/>
    <n v="2372"/>
    <n v="26076"/>
    <n v="1"/>
    <s v="Y"/>
    <x v="1"/>
    <n v="12"/>
    <n v="3"/>
    <n v="4"/>
    <n v="80"/>
    <n v="2"/>
    <n v="2"/>
    <n v="3"/>
    <n v="3"/>
    <x v="4"/>
    <n v="2"/>
    <n v="2"/>
    <n v="2"/>
  </r>
  <r>
    <n v="32"/>
    <x v="0"/>
    <n v="1"/>
    <s v="Travel_Rarely"/>
    <n v="1089"/>
    <x v="1"/>
    <n v="7"/>
    <n v="2"/>
    <x v="0"/>
    <n v="1"/>
    <n v="1309"/>
    <n v="4"/>
    <x v="1"/>
    <n v="79"/>
    <n v="3"/>
    <x v="0"/>
    <x v="2"/>
    <n v="3"/>
    <x v="1"/>
    <n v="4883"/>
    <n v="22845"/>
    <n v="1"/>
    <s v="Y"/>
    <x v="1"/>
    <n v="18"/>
    <n v="3"/>
    <n v="1"/>
    <n v="80"/>
    <n v="1"/>
    <n v="10"/>
    <n v="3"/>
    <n v="3"/>
    <x v="1"/>
    <n v="4"/>
    <n v="1"/>
    <n v="1"/>
  </r>
  <r>
    <n v="39"/>
    <x v="0"/>
    <n v="1"/>
    <s v="Travel_Rarely"/>
    <n v="360"/>
    <x v="1"/>
    <n v="23"/>
    <n v="3"/>
    <x v="2"/>
    <n v="1"/>
    <n v="1310"/>
    <n v="3"/>
    <x v="1"/>
    <n v="93"/>
    <n v="3"/>
    <x v="1"/>
    <x v="1"/>
    <n v="1"/>
    <x v="0"/>
    <n v="3904"/>
    <n v="22154"/>
    <n v="0"/>
    <s v="Y"/>
    <x v="1"/>
    <n v="13"/>
    <n v="3"/>
    <n v="1"/>
    <n v="80"/>
    <n v="0"/>
    <n v="6"/>
    <n v="2"/>
    <n v="3"/>
    <x v="8"/>
    <n v="2"/>
    <n v="0"/>
    <n v="3"/>
  </r>
  <r>
    <n v="30"/>
    <x v="1"/>
    <n v="0"/>
    <s v="Travel_Rarely"/>
    <n v="1138"/>
    <x v="1"/>
    <n v="6"/>
    <n v="3"/>
    <x v="4"/>
    <n v="1"/>
    <n v="1311"/>
    <n v="1"/>
    <x v="0"/>
    <n v="48"/>
    <n v="2"/>
    <x v="0"/>
    <x v="2"/>
    <n v="4"/>
    <x v="1"/>
    <n v="4627"/>
    <n v="23631"/>
    <n v="0"/>
    <s v="Y"/>
    <x v="1"/>
    <n v="12"/>
    <n v="3"/>
    <n v="1"/>
    <n v="80"/>
    <n v="1"/>
    <n v="10"/>
    <n v="6"/>
    <n v="3"/>
    <x v="7"/>
    <n v="2"/>
    <n v="6"/>
    <n v="7"/>
  </r>
  <r>
    <n v="36"/>
    <x v="1"/>
    <n v="0"/>
    <s v="Travel_Rarely"/>
    <n v="325"/>
    <x v="1"/>
    <n v="10"/>
    <n v="4"/>
    <x v="4"/>
    <n v="1"/>
    <n v="1312"/>
    <n v="4"/>
    <x v="0"/>
    <n v="63"/>
    <n v="3"/>
    <x v="2"/>
    <x v="4"/>
    <n v="3"/>
    <x v="1"/>
    <n v="7094"/>
    <n v="5747"/>
    <n v="3"/>
    <s v="Y"/>
    <x v="1"/>
    <n v="12"/>
    <n v="3"/>
    <n v="1"/>
    <n v="80"/>
    <n v="0"/>
    <n v="10"/>
    <n v="0"/>
    <n v="3"/>
    <x v="5"/>
    <n v="7"/>
    <n v="1"/>
    <n v="7"/>
  </r>
  <r>
    <n v="46"/>
    <x v="1"/>
    <n v="0"/>
    <s v="Travel_Rarely"/>
    <n v="991"/>
    <x v="2"/>
    <n v="1"/>
    <n v="2"/>
    <x v="0"/>
    <n v="1"/>
    <n v="1314"/>
    <n v="4"/>
    <x v="0"/>
    <n v="44"/>
    <n v="3"/>
    <x v="1"/>
    <x v="8"/>
    <n v="1"/>
    <x v="0"/>
    <n v="3423"/>
    <n v="22957"/>
    <n v="6"/>
    <s v="Y"/>
    <x v="1"/>
    <n v="12"/>
    <n v="3"/>
    <n v="3"/>
    <n v="80"/>
    <n v="0"/>
    <n v="10"/>
    <n v="3"/>
    <n v="4"/>
    <x v="5"/>
    <n v="6"/>
    <n v="5"/>
    <n v="7"/>
  </r>
  <r>
    <n v="28"/>
    <x v="1"/>
    <n v="0"/>
    <s v="Non-Travel"/>
    <n v="1476"/>
    <x v="1"/>
    <n v="1"/>
    <n v="3"/>
    <x v="0"/>
    <n v="1"/>
    <n v="1315"/>
    <n v="3"/>
    <x v="0"/>
    <n v="55"/>
    <n v="1"/>
    <x v="0"/>
    <x v="2"/>
    <n v="4"/>
    <x v="1"/>
    <n v="6674"/>
    <n v="16392"/>
    <n v="0"/>
    <s v="Y"/>
    <x v="1"/>
    <n v="11"/>
    <n v="3"/>
    <n v="1"/>
    <n v="80"/>
    <n v="3"/>
    <n v="10"/>
    <n v="6"/>
    <n v="3"/>
    <x v="7"/>
    <n v="8"/>
    <n v="7"/>
    <n v="5"/>
  </r>
  <r>
    <n v="50"/>
    <x v="1"/>
    <n v="0"/>
    <s v="Travel_Rarely"/>
    <n v="1322"/>
    <x v="1"/>
    <n v="28"/>
    <n v="3"/>
    <x v="0"/>
    <n v="1"/>
    <n v="1317"/>
    <n v="4"/>
    <x v="0"/>
    <n v="43"/>
    <n v="3"/>
    <x v="3"/>
    <x v="7"/>
    <n v="1"/>
    <x v="1"/>
    <n v="16880"/>
    <n v="22422"/>
    <n v="4"/>
    <s v="Y"/>
    <x v="0"/>
    <n v="11"/>
    <n v="3"/>
    <n v="2"/>
    <n v="80"/>
    <n v="0"/>
    <n v="25"/>
    <n v="2"/>
    <n v="3"/>
    <x v="11"/>
    <n v="2"/>
    <n v="1"/>
    <n v="2"/>
  </r>
  <r>
    <n v="40"/>
    <x v="0"/>
    <n v="1"/>
    <s v="Travel_Rarely"/>
    <n v="299"/>
    <x v="0"/>
    <n v="25"/>
    <n v="4"/>
    <x v="3"/>
    <n v="1"/>
    <n v="1318"/>
    <n v="4"/>
    <x v="1"/>
    <n v="57"/>
    <n v="2"/>
    <x v="2"/>
    <x v="0"/>
    <n v="2"/>
    <x v="0"/>
    <n v="9094"/>
    <n v="17235"/>
    <n v="2"/>
    <s v="Y"/>
    <x v="0"/>
    <n v="12"/>
    <n v="3"/>
    <n v="3"/>
    <n v="80"/>
    <n v="0"/>
    <n v="9"/>
    <n v="2"/>
    <n v="3"/>
    <x v="8"/>
    <n v="4"/>
    <n v="1"/>
    <n v="0"/>
  </r>
  <r>
    <n v="52"/>
    <x v="0"/>
    <n v="1"/>
    <s v="Travel_Rarely"/>
    <n v="1030"/>
    <x v="0"/>
    <n v="5"/>
    <n v="3"/>
    <x v="0"/>
    <n v="1"/>
    <n v="1319"/>
    <n v="2"/>
    <x v="1"/>
    <n v="64"/>
    <n v="3"/>
    <x v="2"/>
    <x v="0"/>
    <n v="2"/>
    <x v="0"/>
    <n v="8446"/>
    <n v="21534"/>
    <n v="9"/>
    <s v="Y"/>
    <x v="0"/>
    <n v="19"/>
    <n v="3"/>
    <n v="3"/>
    <n v="80"/>
    <n v="0"/>
    <n v="10"/>
    <n v="2"/>
    <n v="2"/>
    <x v="3"/>
    <n v="7"/>
    <n v="7"/>
    <n v="7"/>
  </r>
  <r>
    <n v="30"/>
    <x v="1"/>
    <n v="0"/>
    <s v="Travel_Rarely"/>
    <n v="634"/>
    <x v="1"/>
    <n v="17"/>
    <n v="4"/>
    <x v="2"/>
    <n v="1"/>
    <n v="1321"/>
    <n v="2"/>
    <x v="0"/>
    <n v="95"/>
    <n v="3"/>
    <x v="2"/>
    <x v="5"/>
    <n v="1"/>
    <x v="1"/>
    <n v="11916"/>
    <n v="25927"/>
    <n v="1"/>
    <s v="Y"/>
    <x v="0"/>
    <n v="23"/>
    <n v="4"/>
    <n v="4"/>
    <n v="80"/>
    <n v="2"/>
    <n v="9"/>
    <n v="2"/>
    <n v="3"/>
    <x v="7"/>
    <n v="1"/>
    <n v="0"/>
    <n v="8"/>
  </r>
  <r>
    <n v="39"/>
    <x v="1"/>
    <n v="0"/>
    <s v="Travel_Rarely"/>
    <n v="524"/>
    <x v="1"/>
    <n v="18"/>
    <n v="2"/>
    <x v="0"/>
    <n v="1"/>
    <n v="1322"/>
    <n v="1"/>
    <x v="1"/>
    <n v="32"/>
    <n v="3"/>
    <x v="0"/>
    <x v="3"/>
    <n v="3"/>
    <x v="0"/>
    <n v="4534"/>
    <n v="13352"/>
    <n v="0"/>
    <s v="Y"/>
    <x v="1"/>
    <n v="11"/>
    <n v="3"/>
    <n v="1"/>
    <n v="80"/>
    <n v="0"/>
    <n v="9"/>
    <n v="6"/>
    <n v="3"/>
    <x v="3"/>
    <n v="7"/>
    <n v="1"/>
    <n v="7"/>
  </r>
  <r>
    <n v="31"/>
    <x v="1"/>
    <n v="0"/>
    <s v="Non-Travel"/>
    <n v="587"/>
    <x v="0"/>
    <n v="2"/>
    <n v="4"/>
    <x v="0"/>
    <n v="1"/>
    <n v="1324"/>
    <n v="4"/>
    <x v="0"/>
    <n v="57"/>
    <n v="3"/>
    <x v="2"/>
    <x v="0"/>
    <n v="3"/>
    <x v="2"/>
    <n v="9852"/>
    <n v="8935"/>
    <n v="1"/>
    <s v="Y"/>
    <x v="0"/>
    <n v="19"/>
    <n v="3"/>
    <n v="1"/>
    <n v="80"/>
    <n v="1"/>
    <n v="10"/>
    <n v="5"/>
    <n v="2"/>
    <x v="1"/>
    <n v="8"/>
    <n v="9"/>
    <n v="6"/>
  </r>
  <r>
    <n v="41"/>
    <x v="1"/>
    <n v="0"/>
    <s v="Non-Travel"/>
    <n v="256"/>
    <x v="0"/>
    <n v="10"/>
    <n v="2"/>
    <x v="2"/>
    <n v="1"/>
    <n v="1329"/>
    <n v="3"/>
    <x v="1"/>
    <n v="40"/>
    <n v="1"/>
    <x v="0"/>
    <x v="0"/>
    <n v="2"/>
    <x v="0"/>
    <n v="6151"/>
    <n v="22074"/>
    <n v="1"/>
    <s v="Y"/>
    <x v="1"/>
    <n v="13"/>
    <n v="3"/>
    <n v="1"/>
    <n v="80"/>
    <n v="0"/>
    <n v="19"/>
    <n v="4"/>
    <n v="3"/>
    <x v="27"/>
    <n v="2"/>
    <n v="11"/>
    <n v="9"/>
  </r>
  <r>
    <n v="31"/>
    <x v="0"/>
    <n v="1"/>
    <s v="Travel_Frequently"/>
    <n v="1060"/>
    <x v="0"/>
    <n v="1"/>
    <n v="3"/>
    <x v="0"/>
    <n v="1"/>
    <n v="1331"/>
    <n v="4"/>
    <x v="0"/>
    <n v="54"/>
    <n v="3"/>
    <x v="1"/>
    <x v="6"/>
    <n v="2"/>
    <x v="0"/>
    <n v="2302"/>
    <n v="8319"/>
    <n v="1"/>
    <s v="Y"/>
    <x v="0"/>
    <n v="11"/>
    <n v="3"/>
    <n v="1"/>
    <n v="80"/>
    <n v="0"/>
    <n v="3"/>
    <n v="2"/>
    <n v="4"/>
    <x v="11"/>
    <n v="2"/>
    <n v="2"/>
    <n v="2"/>
  </r>
  <r>
    <n v="44"/>
    <x v="0"/>
    <n v="1"/>
    <s v="Travel_Rarely"/>
    <n v="935"/>
    <x v="1"/>
    <n v="3"/>
    <n v="3"/>
    <x v="0"/>
    <n v="1"/>
    <n v="1333"/>
    <n v="1"/>
    <x v="1"/>
    <n v="89"/>
    <n v="3"/>
    <x v="1"/>
    <x v="2"/>
    <n v="1"/>
    <x v="1"/>
    <n v="2362"/>
    <n v="14669"/>
    <n v="4"/>
    <s v="Y"/>
    <x v="1"/>
    <n v="12"/>
    <n v="3"/>
    <n v="3"/>
    <n v="80"/>
    <n v="0"/>
    <n v="10"/>
    <n v="4"/>
    <n v="4"/>
    <x v="11"/>
    <n v="2"/>
    <n v="1"/>
    <n v="2"/>
  </r>
  <r>
    <n v="42"/>
    <x v="1"/>
    <n v="0"/>
    <s v="Non-Travel"/>
    <n v="495"/>
    <x v="1"/>
    <n v="2"/>
    <n v="1"/>
    <x v="0"/>
    <n v="1"/>
    <n v="1334"/>
    <n v="3"/>
    <x v="1"/>
    <n v="37"/>
    <n v="3"/>
    <x v="3"/>
    <x v="5"/>
    <n v="3"/>
    <x v="1"/>
    <n v="17861"/>
    <n v="26582"/>
    <n v="0"/>
    <s v="Y"/>
    <x v="0"/>
    <n v="13"/>
    <n v="3"/>
    <n v="4"/>
    <n v="80"/>
    <n v="0"/>
    <n v="21"/>
    <n v="3"/>
    <n v="2"/>
    <x v="23"/>
    <n v="8"/>
    <n v="2"/>
    <n v="10"/>
  </r>
  <r>
    <n v="55"/>
    <x v="1"/>
    <n v="0"/>
    <s v="Travel_Rarely"/>
    <n v="282"/>
    <x v="1"/>
    <n v="2"/>
    <n v="2"/>
    <x v="2"/>
    <n v="1"/>
    <n v="1336"/>
    <n v="4"/>
    <x v="0"/>
    <n v="58"/>
    <n v="1"/>
    <x v="4"/>
    <x v="5"/>
    <n v="3"/>
    <x v="1"/>
    <n v="19187"/>
    <n v="6992"/>
    <n v="4"/>
    <s v="Y"/>
    <x v="1"/>
    <n v="14"/>
    <n v="3"/>
    <n v="4"/>
    <n v="80"/>
    <n v="1"/>
    <n v="23"/>
    <n v="5"/>
    <n v="3"/>
    <x v="27"/>
    <n v="9"/>
    <n v="9"/>
    <n v="11"/>
  </r>
  <r>
    <n v="56"/>
    <x v="1"/>
    <n v="0"/>
    <s v="Travel_Rarely"/>
    <n v="206"/>
    <x v="2"/>
    <n v="8"/>
    <n v="4"/>
    <x v="0"/>
    <n v="1"/>
    <n v="1338"/>
    <n v="4"/>
    <x v="1"/>
    <n v="99"/>
    <n v="3"/>
    <x v="4"/>
    <x v="5"/>
    <n v="2"/>
    <x v="0"/>
    <n v="19717"/>
    <n v="4022"/>
    <n v="6"/>
    <s v="Y"/>
    <x v="1"/>
    <n v="14"/>
    <n v="3"/>
    <n v="1"/>
    <n v="80"/>
    <n v="0"/>
    <n v="36"/>
    <n v="4"/>
    <n v="3"/>
    <x v="5"/>
    <n v="3"/>
    <n v="7"/>
    <n v="7"/>
  </r>
  <r>
    <n v="40"/>
    <x v="1"/>
    <n v="0"/>
    <s v="Non-Travel"/>
    <n v="458"/>
    <x v="1"/>
    <n v="16"/>
    <n v="2"/>
    <x v="0"/>
    <n v="1"/>
    <n v="1340"/>
    <n v="3"/>
    <x v="1"/>
    <n v="74"/>
    <n v="3"/>
    <x v="1"/>
    <x v="1"/>
    <n v="3"/>
    <x v="2"/>
    <n v="3544"/>
    <n v="8532"/>
    <n v="9"/>
    <s v="Y"/>
    <x v="1"/>
    <n v="16"/>
    <n v="3"/>
    <n v="2"/>
    <n v="80"/>
    <n v="1"/>
    <n v="6"/>
    <n v="0"/>
    <n v="3"/>
    <x v="9"/>
    <n v="2"/>
    <n v="0"/>
    <n v="0"/>
  </r>
  <r>
    <n v="34"/>
    <x v="1"/>
    <n v="0"/>
    <s v="Travel_Rarely"/>
    <n v="943"/>
    <x v="1"/>
    <n v="9"/>
    <n v="3"/>
    <x v="0"/>
    <n v="1"/>
    <n v="1344"/>
    <n v="4"/>
    <x v="1"/>
    <n v="86"/>
    <n v="3"/>
    <x v="2"/>
    <x v="4"/>
    <n v="4"/>
    <x v="2"/>
    <n v="8500"/>
    <n v="5494"/>
    <n v="0"/>
    <s v="Y"/>
    <x v="1"/>
    <n v="11"/>
    <n v="3"/>
    <n v="4"/>
    <n v="80"/>
    <n v="1"/>
    <n v="10"/>
    <n v="0"/>
    <n v="2"/>
    <x v="7"/>
    <n v="7"/>
    <n v="1"/>
    <n v="6"/>
  </r>
  <r>
    <n v="40"/>
    <x v="1"/>
    <n v="0"/>
    <s v="Travel_Rarely"/>
    <n v="523"/>
    <x v="1"/>
    <n v="2"/>
    <n v="3"/>
    <x v="0"/>
    <n v="1"/>
    <n v="1346"/>
    <n v="3"/>
    <x v="1"/>
    <n v="98"/>
    <n v="3"/>
    <x v="0"/>
    <x v="1"/>
    <n v="4"/>
    <x v="0"/>
    <n v="4661"/>
    <n v="22455"/>
    <n v="1"/>
    <s v="Y"/>
    <x v="1"/>
    <n v="13"/>
    <n v="3"/>
    <n v="3"/>
    <n v="80"/>
    <n v="0"/>
    <n v="9"/>
    <n v="4"/>
    <n v="3"/>
    <x v="7"/>
    <n v="8"/>
    <n v="8"/>
    <n v="8"/>
  </r>
  <r>
    <n v="41"/>
    <x v="1"/>
    <n v="0"/>
    <s v="Travel_Frequently"/>
    <n v="1018"/>
    <x v="0"/>
    <n v="1"/>
    <n v="3"/>
    <x v="3"/>
    <n v="1"/>
    <n v="1349"/>
    <n v="3"/>
    <x v="0"/>
    <n v="66"/>
    <n v="3"/>
    <x v="0"/>
    <x v="0"/>
    <n v="1"/>
    <x v="2"/>
    <n v="4103"/>
    <n v="4297"/>
    <n v="0"/>
    <s v="Y"/>
    <x v="1"/>
    <n v="17"/>
    <n v="3"/>
    <n v="4"/>
    <n v="80"/>
    <n v="1"/>
    <n v="10"/>
    <n v="2"/>
    <n v="3"/>
    <x v="7"/>
    <n v="3"/>
    <n v="1"/>
    <n v="7"/>
  </r>
  <r>
    <n v="35"/>
    <x v="1"/>
    <n v="0"/>
    <s v="Travel_Frequently"/>
    <n v="482"/>
    <x v="1"/>
    <n v="4"/>
    <n v="4"/>
    <x v="0"/>
    <n v="1"/>
    <n v="1350"/>
    <n v="3"/>
    <x v="1"/>
    <n v="87"/>
    <n v="3"/>
    <x v="0"/>
    <x v="1"/>
    <n v="3"/>
    <x v="0"/>
    <n v="4249"/>
    <n v="2690"/>
    <n v="1"/>
    <s v="Y"/>
    <x v="0"/>
    <n v="11"/>
    <n v="3"/>
    <n v="2"/>
    <n v="80"/>
    <n v="0"/>
    <n v="9"/>
    <n v="3"/>
    <n v="3"/>
    <x v="7"/>
    <n v="6"/>
    <n v="1"/>
    <n v="1"/>
  </r>
  <r>
    <n v="51"/>
    <x v="1"/>
    <n v="0"/>
    <s v="Travel_Rarely"/>
    <n v="770"/>
    <x v="2"/>
    <n v="5"/>
    <n v="3"/>
    <x v="0"/>
    <n v="1"/>
    <n v="1352"/>
    <n v="3"/>
    <x v="1"/>
    <n v="84"/>
    <n v="3"/>
    <x v="3"/>
    <x v="5"/>
    <n v="2"/>
    <x v="2"/>
    <n v="14026"/>
    <n v="17588"/>
    <n v="1"/>
    <s v="Y"/>
    <x v="0"/>
    <n v="11"/>
    <n v="3"/>
    <n v="2"/>
    <n v="80"/>
    <n v="1"/>
    <n v="33"/>
    <n v="2"/>
    <n v="3"/>
    <x v="26"/>
    <n v="9"/>
    <n v="0"/>
    <n v="10"/>
  </r>
  <r>
    <n v="38"/>
    <x v="1"/>
    <n v="0"/>
    <s v="Travel_Rarely"/>
    <n v="1009"/>
    <x v="0"/>
    <n v="2"/>
    <n v="2"/>
    <x v="0"/>
    <n v="1"/>
    <n v="1355"/>
    <n v="2"/>
    <x v="0"/>
    <n v="31"/>
    <n v="3"/>
    <x v="0"/>
    <x v="0"/>
    <n v="1"/>
    <x v="2"/>
    <n v="6893"/>
    <n v="19461"/>
    <n v="3"/>
    <s v="Y"/>
    <x v="1"/>
    <n v="15"/>
    <n v="3"/>
    <n v="4"/>
    <n v="80"/>
    <n v="1"/>
    <n v="11"/>
    <n v="3"/>
    <n v="3"/>
    <x v="5"/>
    <n v="7"/>
    <n v="1"/>
    <n v="7"/>
  </r>
  <r>
    <n v="34"/>
    <x v="1"/>
    <n v="0"/>
    <s v="Travel_Rarely"/>
    <n v="507"/>
    <x v="0"/>
    <n v="15"/>
    <n v="2"/>
    <x v="2"/>
    <n v="1"/>
    <n v="1356"/>
    <n v="3"/>
    <x v="0"/>
    <n v="66"/>
    <n v="3"/>
    <x v="0"/>
    <x v="0"/>
    <n v="1"/>
    <x v="0"/>
    <n v="6125"/>
    <n v="23553"/>
    <n v="1"/>
    <s v="Y"/>
    <x v="1"/>
    <n v="12"/>
    <n v="3"/>
    <n v="4"/>
    <n v="80"/>
    <n v="0"/>
    <n v="10"/>
    <n v="6"/>
    <n v="4"/>
    <x v="1"/>
    <n v="8"/>
    <n v="9"/>
    <n v="6"/>
  </r>
  <r>
    <n v="25"/>
    <x v="1"/>
    <n v="0"/>
    <s v="Travel_Rarely"/>
    <n v="882"/>
    <x v="1"/>
    <n v="19"/>
    <n v="1"/>
    <x v="2"/>
    <n v="1"/>
    <n v="1358"/>
    <n v="4"/>
    <x v="1"/>
    <n v="67"/>
    <n v="3"/>
    <x v="1"/>
    <x v="2"/>
    <n v="4"/>
    <x v="1"/>
    <n v="3669"/>
    <n v="9075"/>
    <n v="3"/>
    <s v="Y"/>
    <x v="1"/>
    <n v="11"/>
    <n v="3"/>
    <n v="3"/>
    <n v="80"/>
    <n v="3"/>
    <n v="7"/>
    <n v="6"/>
    <n v="2"/>
    <x v="11"/>
    <n v="2"/>
    <n v="1"/>
    <n v="2"/>
  </r>
  <r>
    <n v="58"/>
    <x v="0"/>
    <n v="1"/>
    <s v="Travel_Rarely"/>
    <n v="601"/>
    <x v="1"/>
    <n v="7"/>
    <n v="4"/>
    <x v="2"/>
    <n v="1"/>
    <n v="1360"/>
    <n v="3"/>
    <x v="0"/>
    <n v="53"/>
    <n v="2"/>
    <x v="2"/>
    <x v="3"/>
    <n v="1"/>
    <x v="1"/>
    <n v="10008"/>
    <n v="12023"/>
    <n v="7"/>
    <s v="Y"/>
    <x v="0"/>
    <n v="14"/>
    <n v="3"/>
    <n v="4"/>
    <n v="80"/>
    <n v="0"/>
    <n v="31"/>
    <n v="0"/>
    <n v="2"/>
    <x v="1"/>
    <n v="9"/>
    <n v="5"/>
    <n v="9"/>
  </r>
  <r>
    <n v="40"/>
    <x v="1"/>
    <n v="0"/>
    <s v="Travel_Rarely"/>
    <n v="329"/>
    <x v="1"/>
    <n v="1"/>
    <n v="4"/>
    <x v="0"/>
    <n v="1"/>
    <n v="1361"/>
    <n v="2"/>
    <x v="1"/>
    <n v="88"/>
    <n v="3"/>
    <x v="1"/>
    <x v="2"/>
    <n v="2"/>
    <x v="1"/>
    <n v="2387"/>
    <n v="6762"/>
    <n v="3"/>
    <s v="Y"/>
    <x v="1"/>
    <n v="22"/>
    <n v="4"/>
    <n v="3"/>
    <n v="80"/>
    <n v="1"/>
    <n v="7"/>
    <n v="3"/>
    <n v="3"/>
    <x v="9"/>
    <n v="2"/>
    <n v="0"/>
    <n v="3"/>
  </r>
  <r>
    <n v="36"/>
    <x v="1"/>
    <n v="0"/>
    <s v="Travel_Frequently"/>
    <n v="607"/>
    <x v="0"/>
    <n v="7"/>
    <n v="3"/>
    <x v="3"/>
    <n v="1"/>
    <n v="1362"/>
    <n v="1"/>
    <x v="0"/>
    <n v="83"/>
    <n v="4"/>
    <x v="0"/>
    <x v="0"/>
    <n v="1"/>
    <x v="1"/>
    <n v="4639"/>
    <n v="2261"/>
    <n v="2"/>
    <s v="Y"/>
    <x v="1"/>
    <n v="16"/>
    <n v="3"/>
    <n v="4"/>
    <n v="80"/>
    <n v="1"/>
    <n v="17"/>
    <n v="2"/>
    <n v="2"/>
    <x v="15"/>
    <n v="7"/>
    <n v="6"/>
    <n v="13"/>
  </r>
  <r>
    <n v="48"/>
    <x v="1"/>
    <n v="0"/>
    <s v="Travel_Rarely"/>
    <n v="855"/>
    <x v="1"/>
    <n v="4"/>
    <n v="3"/>
    <x v="0"/>
    <n v="1"/>
    <n v="1363"/>
    <n v="4"/>
    <x v="1"/>
    <n v="54"/>
    <n v="3"/>
    <x v="2"/>
    <x v="3"/>
    <n v="4"/>
    <x v="0"/>
    <n v="7898"/>
    <n v="18706"/>
    <n v="1"/>
    <s v="Y"/>
    <x v="1"/>
    <n v="11"/>
    <n v="3"/>
    <n v="3"/>
    <n v="80"/>
    <n v="0"/>
    <n v="11"/>
    <n v="2"/>
    <n v="3"/>
    <x v="1"/>
    <n v="9"/>
    <n v="0"/>
    <n v="8"/>
  </r>
  <r>
    <n v="27"/>
    <x v="1"/>
    <n v="0"/>
    <s v="Travel_Rarely"/>
    <n v="1291"/>
    <x v="0"/>
    <n v="11"/>
    <n v="3"/>
    <x v="2"/>
    <n v="1"/>
    <n v="1364"/>
    <n v="3"/>
    <x v="0"/>
    <n v="98"/>
    <n v="4"/>
    <x v="1"/>
    <x v="6"/>
    <n v="4"/>
    <x v="1"/>
    <n v="2534"/>
    <n v="6527"/>
    <n v="8"/>
    <s v="Y"/>
    <x v="1"/>
    <n v="14"/>
    <n v="3"/>
    <n v="2"/>
    <n v="80"/>
    <n v="1"/>
    <n v="5"/>
    <n v="4"/>
    <n v="3"/>
    <x v="6"/>
    <n v="0"/>
    <n v="0"/>
    <n v="0"/>
  </r>
  <r>
    <n v="51"/>
    <x v="1"/>
    <n v="0"/>
    <s v="Travel_Rarely"/>
    <n v="1405"/>
    <x v="1"/>
    <n v="11"/>
    <n v="2"/>
    <x v="4"/>
    <n v="1"/>
    <n v="1367"/>
    <n v="4"/>
    <x v="0"/>
    <n v="82"/>
    <n v="2"/>
    <x v="3"/>
    <x v="3"/>
    <n v="2"/>
    <x v="0"/>
    <n v="13142"/>
    <n v="24439"/>
    <n v="3"/>
    <s v="Y"/>
    <x v="1"/>
    <n v="16"/>
    <n v="3"/>
    <n v="2"/>
    <n v="80"/>
    <n v="0"/>
    <n v="29"/>
    <n v="1"/>
    <n v="2"/>
    <x v="8"/>
    <n v="2"/>
    <n v="0"/>
    <n v="3"/>
  </r>
  <r>
    <n v="18"/>
    <x v="1"/>
    <n v="0"/>
    <s v="Non-Travel"/>
    <n v="1124"/>
    <x v="1"/>
    <n v="1"/>
    <n v="3"/>
    <x v="0"/>
    <n v="1"/>
    <n v="1368"/>
    <n v="4"/>
    <x v="0"/>
    <n v="97"/>
    <n v="3"/>
    <x v="1"/>
    <x v="2"/>
    <n v="4"/>
    <x v="0"/>
    <n v="1611"/>
    <n v="19305"/>
    <n v="1"/>
    <s v="Y"/>
    <x v="1"/>
    <n v="15"/>
    <n v="3"/>
    <n v="3"/>
    <n v="80"/>
    <n v="0"/>
    <n v="0"/>
    <n v="5"/>
    <n v="4"/>
    <x v="2"/>
    <n v="0"/>
    <n v="0"/>
    <n v="0"/>
  </r>
  <r>
    <n v="35"/>
    <x v="1"/>
    <n v="0"/>
    <s v="Travel_Rarely"/>
    <n v="817"/>
    <x v="1"/>
    <n v="1"/>
    <n v="3"/>
    <x v="2"/>
    <n v="1"/>
    <n v="1369"/>
    <n v="4"/>
    <x v="0"/>
    <n v="60"/>
    <n v="2"/>
    <x v="0"/>
    <x v="2"/>
    <n v="4"/>
    <x v="1"/>
    <n v="5363"/>
    <n v="10846"/>
    <n v="0"/>
    <s v="Y"/>
    <x v="1"/>
    <n v="12"/>
    <n v="3"/>
    <n v="2"/>
    <n v="80"/>
    <n v="1"/>
    <n v="10"/>
    <n v="0"/>
    <n v="3"/>
    <x v="7"/>
    <n v="7"/>
    <n v="0"/>
    <n v="0"/>
  </r>
  <r>
    <n v="27"/>
    <x v="1"/>
    <n v="0"/>
    <s v="Travel_Frequently"/>
    <n v="793"/>
    <x v="0"/>
    <n v="2"/>
    <n v="1"/>
    <x v="0"/>
    <n v="1"/>
    <n v="1371"/>
    <n v="4"/>
    <x v="1"/>
    <n v="43"/>
    <n v="1"/>
    <x v="0"/>
    <x v="0"/>
    <n v="4"/>
    <x v="0"/>
    <n v="5071"/>
    <n v="20392"/>
    <n v="3"/>
    <s v="Y"/>
    <x v="1"/>
    <n v="20"/>
    <n v="4"/>
    <n v="2"/>
    <n v="80"/>
    <n v="0"/>
    <n v="8"/>
    <n v="3"/>
    <n v="3"/>
    <x v="0"/>
    <n v="2"/>
    <n v="0"/>
    <n v="0"/>
  </r>
  <r>
    <n v="55"/>
    <x v="0"/>
    <n v="1"/>
    <s v="Travel_Rarely"/>
    <n v="267"/>
    <x v="0"/>
    <n v="13"/>
    <n v="4"/>
    <x v="3"/>
    <n v="1"/>
    <n v="1372"/>
    <n v="1"/>
    <x v="1"/>
    <n v="85"/>
    <n v="4"/>
    <x v="3"/>
    <x v="0"/>
    <n v="3"/>
    <x v="0"/>
    <n v="13695"/>
    <n v="9277"/>
    <n v="6"/>
    <s v="Y"/>
    <x v="0"/>
    <n v="17"/>
    <n v="3"/>
    <n v="3"/>
    <n v="80"/>
    <n v="0"/>
    <n v="24"/>
    <n v="2"/>
    <n v="2"/>
    <x v="27"/>
    <n v="7"/>
    <n v="3"/>
    <n v="8"/>
  </r>
  <r>
    <n v="56"/>
    <x v="1"/>
    <n v="0"/>
    <s v="Travel_Rarely"/>
    <n v="1369"/>
    <x v="1"/>
    <n v="23"/>
    <n v="3"/>
    <x v="0"/>
    <n v="1"/>
    <n v="1373"/>
    <n v="4"/>
    <x v="1"/>
    <n v="68"/>
    <n v="3"/>
    <x v="3"/>
    <x v="3"/>
    <n v="2"/>
    <x v="1"/>
    <n v="13402"/>
    <n v="18235"/>
    <n v="4"/>
    <s v="Y"/>
    <x v="0"/>
    <n v="12"/>
    <n v="3"/>
    <n v="1"/>
    <n v="80"/>
    <n v="1"/>
    <n v="33"/>
    <n v="0"/>
    <n v="3"/>
    <x v="27"/>
    <n v="16"/>
    <n v="15"/>
    <n v="9"/>
  </r>
  <r>
    <n v="34"/>
    <x v="1"/>
    <n v="0"/>
    <s v="Non-Travel"/>
    <n v="999"/>
    <x v="1"/>
    <n v="26"/>
    <n v="1"/>
    <x v="4"/>
    <n v="1"/>
    <n v="1374"/>
    <n v="1"/>
    <x v="0"/>
    <n v="92"/>
    <n v="2"/>
    <x v="1"/>
    <x v="1"/>
    <n v="3"/>
    <x v="2"/>
    <n v="2029"/>
    <n v="15891"/>
    <n v="1"/>
    <s v="Y"/>
    <x v="1"/>
    <n v="20"/>
    <n v="4"/>
    <n v="3"/>
    <n v="80"/>
    <n v="3"/>
    <n v="5"/>
    <n v="2"/>
    <n v="3"/>
    <x v="8"/>
    <n v="4"/>
    <n v="0"/>
    <n v="0"/>
  </r>
  <r>
    <n v="40"/>
    <x v="1"/>
    <n v="0"/>
    <s v="Travel_Rarely"/>
    <n v="1202"/>
    <x v="1"/>
    <n v="2"/>
    <n v="1"/>
    <x v="2"/>
    <n v="1"/>
    <n v="1375"/>
    <n v="2"/>
    <x v="0"/>
    <n v="89"/>
    <n v="4"/>
    <x v="0"/>
    <x v="4"/>
    <n v="3"/>
    <x v="2"/>
    <n v="6377"/>
    <n v="13888"/>
    <n v="5"/>
    <s v="Y"/>
    <x v="1"/>
    <n v="20"/>
    <n v="4"/>
    <n v="2"/>
    <n v="80"/>
    <n v="3"/>
    <n v="15"/>
    <n v="0"/>
    <n v="3"/>
    <x v="12"/>
    <n v="11"/>
    <n v="11"/>
    <n v="8"/>
  </r>
  <r>
    <n v="34"/>
    <x v="1"/>
    <n v="0"/>
    <s v="Travel_Rarely"/>
    <n v="285"/>
    <x v="1"/>
    <n v="29"/>
    <n v="3"/>
    <x v="2"/>
    <n v="1"/>
    <n v="1377"/>
    <n v="2"/>
    <x v="1"/>
    <n v="86"/>
    <n v="3"/>
    <x v="0"/>
    <x v="2"/>
    <n v="3"/>
    <x v="1"/>
    <n v="5429"/>
    <n v="17491"/>
    <n v="4"/>
    <s v="Y"/>
    <x v="1"/>
    <n v="13"/>
    <n v="3"/>
    <n v="1"/>
    <n v="80"/>
    <n v="2"/>
    <n v="10"/>
    <n v="1"/>
    <n v="3"/>
    <x v="3"/>
    <n v="7"/>
    <n v="7"/>
    <n v="7"/>
  </r>
  <r>
    <n v="31"/>
    <x v="0"/>
    <n v="1"/>
    <s v="Travel_Frequently"/>
    <n v="703"/>
    <x v="0"/>
    <n v="2"/>
    <n v="3"/>
    <x v="0"/>
    <n v="1"/>
    <n v="1379"/>
    <n v="3"/>
    <x v="0"/>
    <n v="90"/>
    <n v="2"/>
    <x v="1"/>
    <x v="6"/>
    <n v="4"/>
    <x v="0"/>
    <n v="2785"/>
    <n v="11882"/>
    <n v="7"/>
    <s v="Y"/>
    <x v="1"/>
    <n v="14"/>
    <n v="3"/>
    <n v="3"/>
    <n v="80"/>
    <n v="0"/>
    <n v="3"/>
    <n v="3"/>
    <n v="4"/>
    <x v="6"/>
    <n v="0"/>
    <n v="0"/>
    <n v="0"/>
  </r>
  <r>
    <n v="35"/>
    <x v="0"/>
    <n v="1"/>
    <s v="Travel_Frequently"/>
    <n v="662"/>
    <x v="0"/>
    <n v="18"/>
    <n v="4"/>
    <x v="3"/>
    <n v="1"/>
    <n v="1380"/>
    <n v="4"/>
    <x v="0"/>
    <n v="67"/>
    <n v="3"/>
    <x v="0"/>
    <x v="0"/>
    <n v="3"/>
    <x v="1"/>
    <n v="4614"/>
    <n v="23288"/>
    <n v="0"/>
    <s v="Y"/>
    <x v="0"/>
    <n v="18"/>
    <n v="3"/>
    <n v="3"/>
    <n v="80"/>
    <n v="1"/>
    <n v="5"/>
    <n v="0"/>
    <n v="2"/>
    <x v="9"/>
    <n v="2"/>
    <n v="3"/>
    <n v="2"/>
  </r>
  <r>
    <n v="38"/>
    <x v="1"/>
    <n v="0"/>
    <s v="Travel_Frequently"/>
    <n v="693"/>
    <x v="1"/>
    <n v="7"/>
    <n v="3"/>
    <x v="0"/>
    <n v="1"/>
    <n v="1382"/>
    <n v="4"/>
    <x v="1"/>
    <n v="57"/>
    <n v="4"/>
    <x v="1"/>
    <x v="1"/>
    <n v="3"/>
    <x v="2"/>
    <n v="2610"/>
    <n v="15748"/>
    <n v="1"/>
    <s v="Y"/>
    <x v="1"/>
    <n v="11"/>
    <n v="3"/>
    <n v="4"/>
    <n v="80"/>
    <n v="3"/>
    <n v="4"/>
    <n v="2"/>
    <n v="3"/>
    <x v="9"/>
    <n v="2"/>
    <n v="0"/>
    <n v="3"/>
  </r>
  <r>
    <n v="34"/>
    <x v="1"/>
    <n v="0"/>
    <s v="Travel_Rarely"/>
    <n v="404"/>
    <x v="1"/>
    <n v="2"/>
    <n v="4"/>
    <x v="4"/>
    <n v="1"/>
    <n v="1383"/>
    <n v="3"/>
    <x v="0"/>
    <n v="98"/>
    <n v="3"/>
    <x v="0"/>
    <x v="4"/>
    <n v="4"/>
    <x v="0"/>
    <n v="6687"/>
    <n v="6163"/>
    <n v="1"/>
    <s v="Y"/>
    <x v="1"/>
    <n v="11"/>
    <n v="3"/>
    <n v="4"/>
    <n v="80"/>
    <n v="0"/>
    <n v="14"/>
    <n v="2"/>
    <n v="4"/>
    <x v="13"/>
    <n v="11"/>
    <n v="4"/>
    <n v="11"/>
  </r>
  <r>
    <n v="28"/>
    <x v="1"/>
    <n v="0"/>
    <s v="Travel_Rarely"/>
    <n v="736"/>
    <x v="0"/>
    <n v="26"/>
    <n v="3"/>
    <x v="0"/>
    <n v="1"/>
    <n v="1387"/>
    <n v="3"/>
    <x v="1"/>
    <n v="48"/>
    <n v="2"/>
    <x v="0"/>
    <x v="0"/>
    <n v="1"/>
    <x v="1"/>
    <n v="4724"/>
    <n v="24232"/>
    <n v="1"/>
    <s v="Y"/>
    <x v="1"/>
    <n v="11"/>
    <n v="3"/>
    <n v="3"/>
    <n v="80"/>
    <n v="1"/>
    <n v="5"/>
    <n v="0"/>
    <n v="3"/>
    <x v="8"/>
    <n v="3"/>
    <n v="0"/>
    <n v="4"/>
  </r>
  <r>
    <n v="31"/>
    <x v="0"/>
    <n v="1"/>
    <s v="Travel_Rarely"/>
    <n v="330"/>
    <x v="1"/>
    <n v="22"/>
    <n v="4"/>
    <x v="2"/>
    <n v="1"/>
    <n v="1389"/>
    <n v="4"/>
    <x v="1"/>
    <n v="98"/>
    <n v="3"/>
    <x v="0"/>
    <x v="3"/>
    <n v="3"/>
    <x v="1"/>
    <n v="6179"/>
    <n v="21057"/>
    <n v="1"/>
    <s v="Y"/>
    <x v="0"/>
    <n v="15"/>
    <n v="3"/>
    <n v="4"/>
    <n v="80"/>
    <n v="2"/>
    <n v="10"/>
    <n v="3"/>
    <n v="2"/>
    <x v="1"/>
    <n v="2"/>
    <n v="6"/>
    <n v="7"/>
  </r>
  <r>
    <n v="39"/>
    <x v="1"/>
    <n v="0"/>
    <s v="Travel_Rarely"/>
    <n v="1498"/>
    <x v="0"/>
    <n v="21"/>
    <n v="4"/>
    <x v="0"/>
    <n v="1"/>
    <n v="1390"/>
    <n v="1"/>
    <x v="1"/>
    <n v="44"/>
    <n v="2"/>
    <x v="0"/>
    <x v="0"/>
    <n v="4"/>
    <x v="1"/>
    <n v="6120"/>
    <n v="3567"/>
    <n v="3"/>
    <s v="Y"/>
    <x v="0"/>
    <n v="12"/>
    <n v="3"/>
    <n v="4"/>
    <n v="80"/>
    <n v="2"/>
    <n v="8"/>
    <n v="2"/>
    <n v="4"/>
    <x v="8"/>
    <n v="4"/>
    <n v="1"/>
    <n v="4"/>
  </r>
  <r>
    <n v="51"/>
    <x v="1"/>
    <n v="0"/>
    <s v="Travel_Frequently"/>
    <n v="541"/>
    <x v="0"/>
    <n v="2"/>
    <n v="3"/>
    <x v="3"/>
    <n v="1"/>
    <n v="1391"/>
    <n v="2"/>
    <x v="1"/>
    <n v="52"/>
    <n v="3"/>
    <x v="2"/>
    <x v="0"/>
    <n v="2"/>
    <x v="1"/>
    <n v="10596"/>
    <n v="15395"/>
    <n v="2"/>
    <s v="Y"/>
    <x v="1"/>
    <n v="11"/>
    <n v="3"/>
    <n v="2"/>
    <n v="80"/>
    <n v="0"/>
    <n v="14"/>
    <n v="5"/>
    <n v="3"/>
    <x v="9"/>
    <n v="2"/>
    <n v="3"/>
    <n v="2"/>
  </r>
  <r>
    <n v="41"/>
    <x v="1"/>
    <n v="0"/>
    <s v="Travel_Frequently"/>
    <n v="1200"/>
    <x v="1"/>
    <n v="22"/>
    <n v="3"/>
    <x v="0"/>
    <n v="1"/>
    <n v="1392"/>
    <n v="4"/>
    <x v="0"/>
    <n v="75"/>
    <n v="3"/>
    <x v="0"/>
    <x v="1"/>
    <n v="4"/>
    <x v="2"/>
    <n v="5467"/>
    <n v="13953"/>
    <n v="3"/>
    <s v="Y"/>
    <x v="0"/>
    <n v="14"/>
    <n v="3"/>
    <n v="1"/>
    <n v="80"/>
    <n v="2"/>
    <n v="12"/>
    <n v="4"/>
    <n v="2"/>
    <x v="0"/>
    <n v="2"/>
    <n v="3"/>
    <n v="3"/>
  </r>
  <r>
    <n v="37"/>
    <x v="1"/>
    <n v="0"/>
    <s v="Travel_Rarely"/>
    <n v="1439"/>
    <x v="1"/>
    <n v="4"/>
    <n v="1"/>
    <x v="0"/>
    <n v="1"/>
    <n v="1394"/>
    <n v="3"/>
    <x v="1"/>
    <n v="54"/>
    <n v="3"/>
    <x v="1"/>
    <x v="1"/>
    <n v="3"/>
    <x v="1"/>
    <n v="2996"/>
    <n v="5182"/>
    <n v="7"/>
    <s v="Y"/>
    <x v="0"/>
    <n v="15"/>
    <n v="3"/>
    <n v="4"/>
    <n v="80"/>
    <n v="0"/>
    <n v="8"/>
    <n v="2"/>
    <n v="3"/>
    <x v="0"/>
    <n v="4"/>
    <n v="1"/>
    <n v="3"/>
  </r>
  <r>
    <n v="33"/>
    <x v="1"/>
    <n v="0"/>
    <s v="Travel_Frequently"/>
    <n v="1111"/>
    <x v="0"/>
    <n v="5"/>
    <n v="1"/>
    <x v="0"/>
    <n v="1"/>
    <n v="1395"/>
    <n v="2"/>
    <x v="1"/>
    <n v="61"/>
    <n v="3"/>
    <x v="0"/>
    <x v="0"/>
    <n v="4"/>
    <x v="1"/>
    <n v="9998"/>
    <n v="19293"/>
    <n v="6"/>
    <s v="Y"/>
    <x v="1"/>
    <n v="13"/>
    <n v="3"/>
    <n v="1"/>
    <n v="80"/>
    <n v="0"/>
    <n v="8"/>
    <n v="2"/>
    <n v="4"/>
    <x v="8"/>
    <n v="4"/>
    <n v="1"/>
    <n v="2"/>
  </r>
  <r>
    <n v="32"/>
    <x v="1"/>
    <n v="0"/>
    <s v="Travel_Rarely"/>
    <n v="499"/>
    <x v="0"/>
    <n v="2"/>
    <n v="1"/>
    <x v="3"/>
    <n v="1"/>
    <n v="1396"/>
    <n v="3"/>
    <x v="1"/>
    <n v="36"/>
    <n v="3"/>
    <x v="0"/>
    <x v="0"/>
    <n v="2"/>
    <x v="1"/>
    <n v="4078"/>
    <n v="20497"/>
    <n v="0"/>
    <s v="Y"/>
    <x v="0"/>
    <n v="13"/>
    <n v="3"/>
    <n v="1"/>
    <n v="80"/>
    <n v="3"/>
    <n v="4"/>
    <n v="3"/>
    <n v="2"/>
    <x v="11"/>
    <n v="2"/>
    <n v="1"/>
    <n v="2"/>
  </r>
  <r>
    <n v="39"/>
    <x v="1"/>
    <n v="0"/>
    <s v="Non-Travel"/>
    <n v="1485"/>
    <x v="1"/>
    <n v="25"/>
    <n v="2"/>
    <x v="0"/>
    <n v="1"/>
    <n v="1397"/>
    <n v="3"/>
    <x v="1"/>
    <n v="71"/>
    <n v="3"/>
    <x v="2"/>
    <x v="4"/>
    <n v="3"/>
    <x v="1"/>
    <n v="10920"/>
    <n v="3449"/>
    <n v="3"/>
    <s v="Y"/>
    <x v="1"/>
    <n v="21"/>
    <n v="4"/>
    <n v="2"/>
    <n v="80"/>
    <n v="1"/>
    <n v="13"/>
    <n v="2"/>
    <n v="3"/>
    <x v="0"/>
    <n v="4"/>
    <n v="0"/>
    <n v="5"/>
  </r>
  <r>
    <n v="25"/>
    <x v="1"/>
    <n v="0"/>
    <s v="Travel_Rarely"/>
    <n v="1372"/>
    <x v="0"/>
    <n v="18"/>
    <n v="1"/>
    <x v="0"/>
    <n v="1"/>
    <n v="1399"/>
    <n v="1"/>
    <x v="1"/>
    <n v="93"/>
    <n v="4"/>
    <x v="0"/>
    <x v="0"/>
    <n v="3"/>
    <x v="1"/>
    <n v="6232"/>
    <n v="12477"/>
    <n v="2"/>
    <s v="Y"/>
    <x v="1"/>
    <n v="11"/>
    <n v="3"/>
    <n v="2"/>
    <n v="80"/>
    <n v="0"/>
    <n v="6"/>
    <n v="3"/>
    <n v="2"/>
    <x v="11"/>
    <n v="2"/>
    <n v="1"/>
    <n v="2"/>
  </r>
  <r>
    <n v="52"/>
    <x v="1"/>
    <n v="0"/>
    <s v="Travel_Frequently"/>
    <n v="322"/>
    <x v="1"/>
    <n v="28"/>
    <n v="2"/>
    <x v="2"/>
    <n v="1"/>
    <n v="1401"/>
    <n v="4"/>
    <x v="0"/>
    <n v="59"/>
    <n v="4"/>
    <x v="3"/>
    <x v="3"/>
    <n v="3"/>
    <x v="1"/>
    <n v="13247"/>
    <n v="9731"/>
    <n v="2"/>
    <s v="Y"/>
    <x v="0"/>
    <n v="11"/>
    <n v="3"/>
    <n v="2"/>
    <n v="80"/>
    <n v="1"/>
    <n v="24"/>
    <n v="3"/>
    <n v="2"/>
    <x v="8"/>
    <n v="3"/>
    <n v="0"/>
    <n v="2"/>
  </r>
  <r>
    <n v="43"/>
    <x v="1"/>
    <n v="0"/>
    <s v="Travel_Rarely"/>
    <n v="930"/>
    <x v="1"/>
    <n v="6"/>
    <n v="3"/>
    <x v="2"/>
    <n v="1"/>
    <n v="1402"/>
    <n v="1"/>
    <x v="0"/>
    <n v="73"/>
    <n v="2"/>
    <x v="0"/>
    <x v="1"/>
    <n v="3"/>
    <x v="0"/>
    <n v="4081"/>
    <n v="20003"/>
    <n v="1"/>
    <s v="Y"/>
    <x v="0"/>
    <n v="14"/>
    <n v="3"/>
    <n v="1"/>
    <n v="80"/>
    <n v="0"/>
    <n v="20"/>
    <n v="3"/>
    <n v="1"/>
    <x v="23"/>
    <n v="7"/>
    <n v="1"/>
    <n v="8"/>
  </r>
  <r>
    <n v="27"/>
    <x v="1"/>
    <n v="0"/>
    <s v="Travel_Rarely"/>
    <n v="205"/>
    <x v="0"/>
    <n v="10"/>
    <n v="3"/>
    <x v="3"/>
    <n v="1"/>
    <n v="1403"/>
    <n v="4"/>
    <x v="0"/>
    <n v="98"/>
    <n v="2"/>
    <x v="0"/>
    <x v="0"/>
    <n v="4"/>
    <x v="1"/>
    <n v="5769"/>
    <n v="7100"/>
    <n v="1"/>
    <s v="Y"/>
    <x v="0"/>
    <n v="11"/>
    <n v="3"/>
    <n v="4"/>
    <n v="80"/>
    <n v="0"/>
    <n v="6"/>
    <n v="3"/>
    <n v="3"/>
    <x v="0"/>
    <n v="2"/>
    <n v="4"/>
    <n v="4"/>
  </r>
  <r>
    <n v="27"/>
    <x v="0"/>
    <n v="1"/>
    <s v="Travel_Rarely"/>
    <n v="135"/>
    <x v="1"/>
    <n v="17"/>
    <n v="4"/>
    <x v="0"/>
    <n v="1"/>
    <n v="1405"/>
    <n v="4"/>
    <x v="0"/>
    <n v="51"/>
    <n v="3"/>
    <x v="1"/>
    <x v="1"/>
    <n v="3"/>
    <x v="0"/>
    <n v="2394"/>
    <n v="25681"/>
    <n v="1"/>
    <s v="Y"/>
    <x v="0"/>
    <n v="13"/>
    <n v="3"/>
    <n v="4"/>
    <n v="80"/>
    <n v="0"/>
    <n v="8"/>
    <n v="2"/>
    <n v="3"/>
    <x v="3"/>
    <n v="2"/>
    <n v="7"/>
    <n v="7"/>
  </r>
  <r>
    <n v="26"/>
    <x v="1"/>
    <n v="0"/>
    <s v="Travel_Rarely"/>
    <n v="683"/>
    <x v="1"/>
    <n v="2"/>
    <n v="1"/>
    <x v="2"/>
    <n v="1"/>
    <n v="1407"/>
    <n v="1"/>
    <x v="1"/>
    <n v="36"/>
    <n v="2"/>
    <x v="1"/>
    <x v="1"/>
    <n v="4"/>
    <x v="0"/>
    <n v="3904"/>
    <n v="4050"/>
    <n v="0"/>
    <s v="Y"/>
    <x v="1"/>
    <n v="12"/>
    <n v="3"/>
    <n v="4"/>
    <n v="80"/>
    <n v="0"/>
    <n v="5"/>
    <n v="2"/>
    <n v="3"/>
    <x v="9"/>
    <n v="3"/>
    <n v="1"/>
    <n v="1"/>
  </r>
  <r>
    <n v="42"/>
    <x v="1"/>
    <n v="0"/>
    <s v="Travel_Rarely"/>
    <n v="1147"/>
    <x v="2"/>
    <n v="10"/>
    <n v="3"/>
    <x v="5"/>
    <n v="1"/>
    <n v="1408"/>
    <n v="3"/>
    <x v="0"/>
    <n v="31"/>
    <n v="3"/>
    <x v="3"/>
    <x v="5"/>
    <n v="1"/>
    <x v="1"/>
    <n v="16799"/>
    <n v="16616"/>
    <n v="0"/>
    <s v="Y"/>
    <x v="1"/>
    <n v="14"/>
    <n v="3"/>
    <n v="3"/>
    <n v="80"/>
    <n v="1"/>
    <n v="21"/>
    <n v="5"/>
    <n v="3"/>
    <x v="23"/>
    <n v="7"/>
    <n v="0"/>
    <n v="9"/>
  </r>
  <r>
    <n v="52"/>
    <x v="1"/>
    <n v="0"/>
    <s v="Travel_Rarely"/>
    <n v="258"/>
    <x v="1"/>
    <n v="8"/>
    <n v="4"/>
    <x v="1"/>
    <n v="1"/>
    <n v="1409"/>
    <n v="3"/>
    <x v="0"/>
    <n v="54"/>
    <n v="3"/>
    <x v="1"/>
    <x v="2"/>
    <n v="1"/>
    <x v="1"/>
    <n v="2950"/>
    <n v="17363"/>
    <n v="9"/>
    <s v="Y"/>
    <x v="1"/>
    <n v="13"/>
    <n v="3"/>
    <n v="3"/>
    <n v="80"/>
    <n v="0"/>
    <n v="12"/>
    <n v="2"/>
    <n v="1"/>
    <x v="8"/>
    <n v="4"/>
    <n v="0"/>
    <n v="4"/>
  </r>
  <r>
    <n v="37"/>
    <x v="1"/>
    <n v="0"/>
    <s v="Travel_Rarely"/>
    <n v="1462"/>
    <x v="1"/>
    <n v="11"/>
    <n v="3"/>
    <x v="2"/>
    <n v="1"/>
    <n v="1411"/>
    <n v="1"/>
    <x v="0"/>
    <n v="94"/>
    <n v="3"/>
    <x v="1"/>
    <x v="2"/>
    <n v="3"/>
    <x v="0"/>
    <n v="3629"/>
    <n v="19106"/>
    <n v="4"/>
    <s v="Y"/>
    <x v="1"/>
    <n v="18"/>
    <n v="3"/>
    <n v="1"/>
    <n v="80"/>
    <n v="0"/>
    <n v="8"/>
    <n v="6"/>
    <n v="3"/>
    <x v="11"/>
    <n v="2"/>
    <n v="0"/>
    <n v="2"/>
  </r>
  <r>
    <n v="35"/>
    <x v="1"/>
    <n v="0"/>
    <s v="Travel_Frequently"/>
    <n v="200"/>
    <x v="1"/>
    <n v="18"/>
    <n v="2"/>
    <x v="0"/>
    <n v="1"/>
    <n v="1412"/>
    <n v="3"/>
    <x v="1"/>
    <n v="60"/>
    <n v="3"/>
    <x v="2"/>
    <x v="3"/>
    <n v="4"/>
    <x v="0"/>
    <n v="9362"/>
    <n v="19944"/>
    <n v="2"/>
    <s v="Y"/>
    <x v="1"/>
    <n v="11"/>
    <n v="3"/>
    <n v="3"/>
    <n v="80"/>
    <n v="0"/>
    <n v="10"/>
    <n v="2"/>
    <n v="3"/>
    <x v="4"/>
    <n v="2"/>
    <n v="2"/>
    <n v="2"/>
  </r>
  <r>
    <n v="25"/>
    <x v="1"/>
    <n v="0"/>
    <s v="Travel_Rarely"/>
    <n v="949"/>
    <x v="1"/>
    <n v="1"/>
    <n v="3"/>
    <x v="4"/>
    <n v="1"/>
    <n v="1415"/>
    <n v="1"/>
    <x v="1"/>
    <n v="81"/>
    <n v="3"/>
    <x v="1"/>
    <x v="2"/>
    <n v="4"/>
    <x v="1"/>
    <n v="3229"/>
    <n v="4910"/>
    <n v="4"/>
    <s v="Y"/>
    <x v="1"/>
    <n v="11"/>
    <n v="3"/>
    <n v="2"/>
    <n v="80"/>
    <n v="1"/>
    <n v="7"/>
    <n v="2"/>
    <n v="2"/>
    <x v="11"/>
    <n v="2"/>
    <n v="0"/>
    <n v="2"/>
  </r>
  <r>
    <n v="26"/>
    <x v="1"/>
    <n v="0"/>
    <s v="Travel_Rarely"/>
    <n v="652"/>
    <x v="1"/>
    <n v="7"/>
    <n v="3"/>
    <x v="1"/>
    <n v="1"/>
    <n v="1417"/>
    <n v="3"/>
    <x v="1"/>
    <n v="100"/>
    <n v="4"/>
    <x v="1"/>
    <x v="2"/>
    <n v="1"/>
    <x v="0"/>
    <n v="3578"/>
    <n v="23577"/>
    <n v="0"/>
    <s v="Y"/>
    <x v="1"/>
    <n v="12"/>
    <n v="3"/>
    <n v="4"/>
    <n v="80"/>
    <n v="0"/>
    <n v="8"/>
    <n v="2"/>
    <n v="3"/>
    <x v="5"/>
    <n v="7"/>
    <n v="0"/>
    <n v="7"/>
  </r>
  <r>
    <n v="29"/>
    <x v="1"/>
    <n v="0"/>
    <s v="Travel_Rarely"/>
    <n v="332"/>
    <x v="2"/>
    <n v="17"/>
    <n v="3"/>
    <x v="1"/>
    <n v="1"/>
    <n v="1419"/>
    <n v="2"/>
    <x v="1"/>
    <n v="51"/>
    <n v="2"/>
    <x v="2"/>
    <x v="8"/>
    <n v="1"/>
    <x v="0"/>
    <n v="7988"/>
    <n v="9769"/>
    <n v="1"/>
    <s v="Y"/>
    <x v="1"/>
    <n v="13"/>
    <n v="3"/>
    <n v="1"/>
    <n v="80"/>
    <n v="0"/>
    <n v="10"/>
    <n v="3"/>
    <n v="2"/>
    <x v="1"/>
    <n v="9"/>
    <n v="0"/>
    <n v="9"/>
  </r>
  <r>
    <n v="49"/>
    <x v="0"/>
    <n v="1"/>
    <s v="Travel_Frequently"/>
    <n v="1475"/>
    <x v="1"/>
    <n v="28"/>
    <n v="2"/>
    <x v="0"/>
    <n v="1"/>
    <n v="1420"/>
    <n v="1"/>
    <x v="1"/>
    <n v="97"/>
    <n v="2"/>
    <x v="0"/>
    <x v="2"/>
    <n v="1"/>
    <x v="0"/>
    <n v="4284"/>
    <n v="22710"/>
    <n v="3"/>
    <s v="Y"/>
    <x v="1"/>
    <n v="20"/>
    <n v="4"/>
    <n v="1"/>
    <n v="80"/>
    <n v="0"/>
    <n v="20"/>
    <n v="2"/>
    <n v="3"/>
    <x v="9"/>
    <n v="3"/>
    <n v="1"/>
    <n v="3"/>
  </r>
  <r>
    <n v="29"/>
    <x v="0"/>
    <n v="1"/>
    <s v="Travel_Frequently"/>
    <n v="337"/>
    <x v="1"/>
    <n v="14"/>
    <n v="1"/>
    <x v="1"/>
    <n v="1"/>
    <n v="1421"/>
    <n v="3"/>
    <x v="0"/>
    <n v="84"/>
    <n v="3"/>
    <x v="2"/>
    <x v="4"/>
    <n v="4"/>
    <x v="0"/>
    <n v="7553"/>
    <n v="22930"/>
    <n v="0"/>
    <s v="Y"/>
    <x v="0"/>
    <n v="12"/>
    <n v="3"/>
    <n v="1"/>
    <n v="80"/>
    <n v="0"/>
    <n v="9"/>
    <n v="1"/>
    <n v="3"/>
    <x v="3"/>
    <n v="7"/>
    <n v="7"/>
    <n v="7"/>
  </r>
  <r>
    <n v="54"/>
    <x v="1"/>
    <n v="0"/>
    <s v="Travel_Rarely"/>
    <n v="971"/>
    <x v="1"/>
    <n v="1"/>
    <n v="3"/>
    <x v="2"/>
    <n v="1"/>
    <n v="1422"/>
    <n v="4"/>
    <x v="0"/>
    <n v="54"/>
    <n v="3"/>
    <x v="3"/>
    <x v="7"/>
    <n v="4"/>
    <x v="0"/>
    <n v="17328"/>
    <n v="5652"/>
    <n v="6"/>
    <s v="Y"/>
    <x v="1"/>
    <n v="19"/>
    <n v="3"/>
    <n v="4"/>
    <n v="80"/>
    <n v="0"/>
    <n v="29"/>
    <n v="3"/>
    <n v="2"/>
    <x v="23"/>
    <n v="7"/>
    <n v="12"/>
    <n v="7"/>
  </r>
  <r>
    <n v="58"/>
    <x v="1"/>
    <n v="0"/>
    <s v="Travel_Rarely"/>
    <n v="1055"/>
    <x v="1"/>
    <n v="1"/>
    <n v="3"/>
    <x v="2"/>
    <n v="1"/>
    <n v="1423"/>
    <n v="4"/>
    <x v="0"/>
    <n v="76"/>
    <n v="3"/>
    <x v="4"/>
    <x v="7"/>
    <n v="1"/>
    <x v="1"/>
    <n v="19701"/>
    <n v="22456"/>
    <n v="3"/>
    <s v="Y"/>
    <x v="0"/>
    <n v="21"/>
    <n v="4"/>
    <n v="3"/>
    <n v="80"/>
    <n v="1"/>
    <n v="32"/>
    <n v="3"/>
    <n v="3"/>
    <x v="7"/>
    <n v="8"/>
    <n v="1"/>
    <n v="5"/>
  </r>
  <r>
    <n v="55"/>
    <x v="1"/>
    <n v="0"/>
    <s v="Travel_Rarely"/>
    <n v="1136"/>
    <x v="1"/>
    <n v="1"/>
    <n v="4"/>
    <x v="2"/>
    <n v="1"/>
    <n v="1424"/>
    <n v="2"/>
    <x v="1"/>
    <n v="81"/>
    <n v="4"/>
    <x v="3"/>
    <x v="7"/>
    <n v="4"/>
    <x v="2"/>
    <n v="14732"/>
    <n v="12414"/>
    <n v="2"/>
    <s v="Y"/>
    <x v="1"/>
    <n v="13"/>
    <n v="3"/>
    <n v="4"/>
    <n v="80"/>
    <n v="2"/>
    <n v="31"/>
    <n v="4"/>
    <n v="4"/>
    <x v="5"/>
    <n v="7"/>
    <n v="0"/>
    <n v="0"/>
  </r>
  <r>
    <n v="36"/>
    <x v="1"/>
    <n v="0"/>
    <s v="Travel_Rarely"/>
    <n v="1174"/>
    <x v="0"/>
    <n v="3"/>
    <n v="4"/>
    <x v="3"/>
    <n v="1"/>
    <n v="1425"/>
    <n v="1"/>
    <x v="0"/>
    <n v="99"/>
    <n v="3"/>
    <x v="0"/>
    <x v="0"/>
    <n v="2"/>
    <x v="0"/>
    <n v="9278"/>
    <n v="20763"/>
    <n v="3"/>
    <s v="Y"/>
    <x v="0"/>
    <n v="16"/>
    <n v="3"/>
    <n v="4"/>
    <n v="80"/>
    <n v="0"/>
    <n v="15"/>
    <n v="3"/>
    <n v="3"/>
    <x v="8"/>
    <n v="4"/>
    <n v="0"/>
    <n v="1"/>
  </r>
  <r>
    <n v="31"/>
    <x v="0"/>
    <n v="1"/>
    <s v="Travel_Frequently"/>
    <n v="667"/>
    <x v="0"/>
    <n v="1"/>
    <n v="4"/>
    <x v="0"/>
    <n v="1"/>
    <n v="1427"/>
    <n v="2"/>
    <x v="0"/>
    <n v="50"/>
    <n v="1"/>
    <x v="1"/>
    <x v="6"/>
    <n v="3"/>
    <x v="0"/>
    <n v="1359"/>
    <n v="16154"/>
    <n v="1"/>
    <s v="Y"/>
    <x v="1"/>
    <n v="12"/>
    <n v="3"/>
    <n v="2"/>
    <n v="80"/>
    <n v="0"/>
    <n v="1"/>
    <n v="3"/>
    <n v="3"/>
    <x v="6"/>
    <n v="0"/>
    <n v="0"/>
    <n v="0"/>
  </r>
  <r>
    <n v="30"/>
    <x v="1"/>
    <n v="0"/>
    <s v="Travel_Rarely"/>
    <n v="855"/>
    <x v="0"/>
    <n v="7"/>
    <n v="4"/>
    <x v="3"/>
    <n v="1"/>
    <n v="1428"/>
    <n v="4"/>
    <x v="0"/>
    <n v="73"/>
    <n v="3"/>
    <x v="0"/>
    <x v="0"/>
    <n v="1"/>
    <x v="2"/>
    <n v="4779"/>
    <n v="12761"/>
    <n v="7"/>
    <s v="Y"/>
    <x v="1"/>
    <n v="14"/>
    <n v="3"/>
    <n v="2"/>
    <n v="80"/>
    <n v="2"/>
    <n v="8"/>
    <n v="3"/>
    <n v="3"/>
    <x v="11"/>
    <n v="2"/>
    <n v="0"/>
    <n v="2"/>
  </r>
  <r>
    <n v="31"/>
    <x v="1"/>
    <n v="0"/>
    <s v="Travel_Rarely"/>
    <n v="182"/>
    <x v="1"/>
    <n v="8"/>
    <n v="5"/>
    <x v="0"/>
    <n v="1"/>
    <n v="1430"/>
    <n v="1"/>
    <x v="0"/>
    <n v="93"/>
    <n v="3"/>
    <x v="3"/>
    <x v="7"/>
    <n v="2"/>
    <x v="0"/>
    <n v="16422"/>
    <n v="8847"/>
    <n v="3"/>
    <s v="Y"/>
    <x v="1"/>
    <n v="11"/>
    <n v="3"/>
    <n v="3"/>
    <n v="80"/>
    <n v="0"/>
    <n v="9"/>
    <n v="3"/>
    <n v="4"/>
    <x v="11"/>
    <n v="2"/>
    <n v="1"/>
    <n v="0"/>
  </r>
  <r>
    <n v="34"/>
    <x v="1"/>
    <n v="0"/>
    <s v="Travel_Frequently"/>
    <n v="560"/>
    <x v="1"/>
    <n v="1"/>
    <n v="4"/>
    <x v="1"/>
    <n v="1"/>
    <n v="1431"/>
    <n v="4"/>
    <x v="1"/>
    <n v="91"/>
    <n v="3"/>
    <x v="1"/>
    <x v="1"/>
    <n v="1"/>
    <x v="2"/>
    <n v="2996"/>
    <n v="20284"/>
    <n v="5"/>
    <s v="Y"/>
    <x v="1"/>
    <n v="14"/>
    <n v="3"/>
    <n v="3"/>
    <n v="80"/>
    <n v="2"/>
    <n v="10"/>
    <n v="2"/>
    <n v="3"/>
    <x v="9"/>
    <n v="3"/>
    <n v="1"/>
    <n v="3"/>
  </r>
  <r>
    <n v="31"/>
    <x v="0"/>
    <n v="1"/>
    <s v="Travel_Rarely"/>
    <n v="202"/>
    <x v="1"/>
    <n v="8"/>
    <n v="3"/>
    <x v="0"/>
    <n v="1"/>
    <n v="1433"/>
    <n v="1"/>
    <x v="0"/>
    <n v="34"/>
    <n v="2"/>
    <x v="1"/>
    <x v="1"/>
    <n v="2"/>
    <x v="0"/>
    <n v="1261"/>
    <n v="22262"/>
    <n v="1"/>
    <s v="Y"/>
    <x v="1"/>
    <n v="12"/>
    <n v="3"/>
    <n v="3"/>
    <n v="80"/>
    <n v="0"/>
    <n v="1"/>
    <n v="3"/>
    <n v="4"/>
    <x v="6"/>
    <n v="0"/>
    <n v="0"/>
    <n v="0"/>
  </r>
  <r>
    <n v="27"/>
    <x v="1"/>
    <n v="0"/>
    <s v="Travel_Rarely"/>
    <n v="1377"/>
    <x v="1"/>
    <n v="11"/>
    <n v="1"/>
    <x v="0"/>
    <n v="1"/>
    <n v="1434"/>
    <n v="2"/>
    <x v="1"/>
    <n v="91"/>
    <n v="3"/>
    <x v="1"/>
    <x v="2"/>
    <n v="1"/>
    <x v="1"/>
    <n v="2099"/>
    <n v="7679"/>
    <n v="0"/>
    <s v="Y"/>
    <x v="1"/>
    <n v="14"/>
    <n v="3"/>
    <n v="2"/>
    <n v="80"/>
    <n v="0"/>
    <n v="6"/>
    <n v="3"/>
    <n v="4"/>
    <x v="8"/>
    <n v="0"/>
    <n v="1"/>
    <n v="4"/>
  </r>
  <r>
    <n v="36"/>
    <x v="1"/>
    <n v="0"/>
    <s v="Travel_Rarely"/>
    <n v="172"/>
    <x v="1"/>
    <n v="4"/>
    <n v="4"/>
    <x v="0"/>
    <n v="1"/>
    <n v="1435"/>
    <n v="1"/>
    <x v="1"/>
    <n v="37"/>
    <n v="2"/>
    <x v="0"/>
    <x v="2"/>
    <n v="4"/>
    <x v="0"/>
    <n v="5810"/>
    <n v="22604"/>
    <n v="1"/>
    <s v="Y"/>
    <x v="1"/>
    <n v="16"/>
    <n v="3"/>
    <n v="3"/>
    <n v="80"/>
    <n v="0"/>
    <n v="10"/>
    <n v="2"/>
    <n v="2"/>
    <x v="1"/>
    <n v="4"/>
    <n v="1"/>
    <n v="8"/>
  </r>
  <r>
    <n v="36"/>
    <x v="1"/>
    <n v="0"/>
    <s v="Travel_Rarely"/>
    <n v="329"/>
    <x v="0"/>
    <n v="16"/>
    <n v="4"/>
    <x v="3"/>
    <n v="1"/>
    <n v="1436"/>
    <n v="3"/>
    <x v="0"/>
    <n v="98"/>
    <n v="2"/>
    <x v="0"/>
    <x v="0"/>
    <n v="1"/>
    <x v="1"/>
    <n v="5647"/>
    <n v="13494"/>
    <n v="4"/>
    <s v="Y"/>
    <x v="1"/>
    <n v="13"/>
    <n v="3"/>
    <n v="1"/>
    <n v="80"/>
    <n v="2"/>
    <n v="11"/>
    <n v="3"/>
    <n v="2"/>
    <x v="11"/>
    <n v="2"/>
    <n v="0"/>
    <n v="2"/>
  </r>
  <r>
    <n v="47"/>
    <x v="1"/>
    <n v="0"/>
    <s v="Travel_Rarely"/>
    <n v="465"/>
    <x v="1"/>
    <n v="1"/>
    <n v="3"/>
    <x v="4"/>
    <n v="1"/>
    <n v="1438"/>
    <n v="1"/>
    <x v="1"/>
    <n v="74"/>
    <n v="3"/>
    <x v="1"/>
    <x v="1"/>
    <n v="4"/>
    <x v="1"/>
    <n v="3420"/>
    <n v="10205"/>
    <n v="7"/>
    <s v="Y"/>
    <x v="1"/>
    <n v="12"/>
    <n v="3"/>
    <n v="3"/>
    <n v="80"/>
    <n v="1"/>
    <n v="17"/>
    <n v="2"/>
    <n v="2"/>
    <x v="0"/>
    <n v="5"/>
    <n v="1"/>
    <n v="2"/>
  </r>
  <r>
    <n v="25"/>
    <x v="0"/>
    <n v="1"/>
    <s v="Travel_Rarely"/>
    <n v="383"/>
    <x v="0"/>
    <n v="9"/>
    <n v="2"/>
    <x v="0"/>
    <n v="1"/>
    <n v="1439"/>
    <n v="1"/>
    <x v="1"/>
    <n v="68"/>
    <n v="2"/>
    <x v="1"/>
    <x v="6"/>
    <n v="1"/>
    <x v="1"/>
    <n v="4400"/>
    <n v="15182"/>
    <n v="3"/>
    <s v="Y"/>
    <x v="1"/>
    <n v="12"/>
    <n v="3"/>
    <n v="1"/>
    <n v="80"/>
    <n v="0"/>
    <n v="6"/>
    <n v="2"/>
    <n v="3"/>
    <x v="11"/>
    <n v="2"/>
    <n v="2"/>
    <n v="2"/>
  </r>
  <r>
    <n v="37"/>
    <x v="1"/>
    <n v="0"/>
    <s v="Non-Travel"/>
    <n v="1413"/>
    <x v="1"/>
    <n v="5"/>
    <n v="2"/>
    <x v="4"/>
    <n v="1"/>
    <n v="1440"/>
    <n v="3"/>
    <x v="1"/>
    <n v="84"/>
    <n v="4"/>
    <x v="1"/>
    <x v="2"/>
    <n v="3"/>
    <x v="0"/>
    <n v="3500"/>
    <n v="25470"/>
    <n v="0"/>
    <s v="Y"/>
    <x v="1"/>
    <n v="14"/>
    <n v="3"/>
    <n v="1"/>
    <n v="80"/>
    <n v="0"/>
    <n v="7"/>
    <n v="2"/>
    <n v="1"/>
    <x v="0"/>
    <n v="5"/>
    <n v="1"/>
    <n v="3"/>
  </r>
  <r>
    <n v="56"/>
    <x v="1"/>
    <n v="0"/>
    <s v="Travel_Rarely"/>
    <n v="1255"/>
    <x v="1"/>
    <n v="1"/>
    <n v="2"/>
    <x v="0"/>
    <n v="1"/>
    <n v="1441"/>
    <n v="1"/>
    <x v="0"/>
    <n v="90"/>
    <n v="3"/>
    <x v="1"/>
    <x v="1"/>
    <n v="1"/>
    <x v="1"/>
    <n v="2066"/>
    <n v="10494"/>
    <n v="2"/>
    <s v="Y"/>
    <x v="1"/>
    <n v="22"/>
    <n v="4"/>
    <n v="4"/>
    <n v="80"/>
    <n v="1"/>
    <n v="5"/>
    <n v="3"/>
    <n v="4"/>
    <x v="11"/>
    <n v="2"/>
    <n v="1"/>
    <n v="0"/>
  </r>
  <r>
    <n v="47"/>
    <x v="1"/>
    <n v="0"/>
    <s v="Travel_Rarely"/>
    <n v="359"/>
    <x v="1"/>
    <n v="2"/>
    <n v="4"/>
    <x v="2"/>
    <n v="1"/>
    <n v="1443"/>
    <n v="1"/>
    <x v="0"/>
    <n v="82"/>
    <n v="3"/>
    <x v="3"/>
    <x v="7"/>
    <n v="3"/>
    <x v="1"/>
    <n v="17169"/>
    <n v="26703"/>
    <n v="3"/>
    <s v="Y"/>
    <x v="1"/>
    <n v="19"/>
    <n v="3"/>
    <n v="2"/>
    <n v="80"/>
    <n v="2"/>
    <n v="26"/>
    <n v="2"/>
    <n v="4"/>
    <x v="23"/>
    <n v="17"/>
    <n v="5"/>
    <n v="6"/>
  </r>
  <r>
    <n v="24"/>
    <x v="1"/>
    <n v="0"/>
    <s v="Travel_Rarely"/>
    <n v="1476"/>
    <x v="0"/>
    <n v="4"/>
    <n v="1"/>
    <x v="2"/>
    <n v="1"/>
    <n v="1445"/>
    <n v="4"/>
    <x v="0"/>
    <n v="42"/>
    <n v="3"/>
    <x v="0"/>
    <x v="0"/>
    <n v="3"/>
    <x v="1"/>
    <n v="4162"/>
    <n v="15211"/>
    <n v="1"/>
    <s v="Y"/>
    <x v="0"/>
    <n v="12"/>
    <n v="3"/>
    <n v="3"/>
    <n v="80"/>
    <n v="2"/>
    <n v="5"/>
    <n v="3"/>
    <n v="3"/>
    <x v="8"/>
    <n v="4"/>
    <n v="0"/>
    <n v="3"/>
  </r>
  <r>
    <n v="32"/>
    <x v="1"/>
    <n v="0"/>
    <s v="Travel_Rarely"/>
    <n v="601"/>
    <x v="0"/>
    <n v="7"/>
    <n v="5"/>
    <x v="3"/>
    <n v="1"/>
    <n v="1446"/>
    <n v="4"/>
    <x v="1"/>
    <n v="97"/>
    <n v="3"/>
    <x v="0"/>
    <x v="0"/>
    <n v="4"/>
    <x v="1"/>
    <n v="9204"/>
    <n v="23343"/>
    <n v="4"/>
    <s v="Y"/>
    <x v="1"/>
    <n v="12"/>
    <n v="3"/>
    <n v="3"/>
    <n v="80"/>
    <n v="1"/>
    <n v="7"/>
    <n v="3"/>
    <n v="2"/>
    <x v="9"/>
    <n v="3"/>
    <n v="0"/>
    <n v="3"/>
  </r>
  <r>
    <n v="34"/>
    <x v="1"/>
    <n v="0"/>
    <s v="Travel_Rarely"/>
    <n v="401"/>
    <x v="1"/>
    <n v="1"/>
    <n v="3"/>
    <x v="0"/>
    <n v="1"/>
    <n v="1447"/>
    <n v="4"/>
    <x v="0"/>
    <n v="86"/>
    <n v="2"/>
    <x v="1"/>
    <x v="2"/>
    <n v="2"/>
    <x v="1"/>
    <n v="3294"/>
    <n v="3708"/>
    <n v="5"/>
    <s v="Y"/>
    <x v="1"/>
    <n v="17"/>
    <n v="3"/>
    <n v="1"/>
    <n v="80"/>
    <n v="1"/>
    <n v="7"/>
    <n v="2"/>
    <n v="2"/>
    <x v="8"/>
    <n v="4"/>
    <n v="0"/>
    <n v="2"/>
  </r>
  <r>
    <n v="41"/>
    <x v="1"/>
    <n v="0"/>
    <s v="Travel_Rarely"/>
    <n v="1283"/>
    <x v="1"/>
    <n v="5"/>
    <n v="5"/>
    <x v="2"/>
    <n v="1"/>
    <n v="1448"/>
    <n v="2"/>
    <x v="1"/>
    <n v="90"/>
    <n v="4"/>
    <x v="1"/>
    <x v="1"/>
    <n v="3"/>
    <x v="1"/>
    <n v="2127"/>
    <n v="5561"/>
    <n v="2"/>
    <s v="Y"/>
    <x v="0"/>
    <n v="12"/>
    <n v="3"/>
    <n v="1"/>
    <n v="80"/>
    <n v="0"/>
    <n v="7"/>
    <n v="5"/>
    <n v="2"/>
    <x v="9"/>
    <n v="2"/>
    <n v="0"/>
    <n v="3"/>
  </r>
  <r>
    <n v="40"/>
    <x v="1"/>
    <n v="0"/>
    <s v="Non-Travel"/>
    <n v="663"/>
    <x v="1"/>
    <n v="9"/>
    <n v="4"/>
    <x v="1"/>
    <n v="1"/>
    <n v="1449"/>
    <n v="3"/>
    <x v="1"/>
    <n v="81"/>
    <n v="3"/>
    <x v="0"/>
    <x v="2"/>
    <n v="3"/>
    <x v="2"/>
    <n v="3975"/>
    <n v="23099"/>
    <n v="3"/>
    <s v="Y"/>
    <x v="1"/>
    <n v="11"/>
    <n v="3"/>
    <n v="3"/>
    <n v="80"/>
    <n v="2"/>
    <n v="11"/>
    <n v="2"/>
    <n v="4"/>
    <x v="3"/>
    <n v="7"/>
    <n v="0"/>
    <n v="7"/>
  </r>
  <r>
    <n v="31"/>
    <x v="1"/>
    <n v="0"/>
    <s v="Travel_Rarely"/>
    <n v="326"/>
    <x v="0"/>
    <n v="8"/>
    <n v="2"/>
    <x v="0"/>
    <n v="1"/>
    <n v="1453"/>
    <n v="1"/>
    <x v="1"/>
    <n v="31"/>
    <n v="3"/>
    <x v="2"/>
    <x v="0"/>
    <n v="4"/>
    <x v="2"/>
    <n v="10793"/>
    <n v="8386"/>
    <n v="1"/>
    <s v="Y"/>
    <x v="1"/>
    <n v="18"/>
    <n v="3"/>
    <n v="1"/>
    <n v="80"/>
    <n v="1"/>
    <n v="13"/>
    <n v="5"/>
    <n v="3"/>
    <x v="20"/>
    <n v="7"/>
    <n v="9"/>
    <n v="9"/>
  </r>
  <r>
    <n v="46"/>
    <x v="0"/>
    <n v="1"/>
    <s v="Travel_Rarely"/>
    <n v="377"/>
    <x v="0"/>
    <n v="9"/>
    <n v="3"/>
    <x v="3"/>
    <n v="1"/>
    <n v="1457"/>
    <n v="1"/>
    <x v="1"/>
    <n v="52"/>
    <n v="3"/>
    <x v="2"/>
    <x v="0"/>
    <n v="4"/>
    <x v="2"/>
    <n v="10096"/>
    <n v="15986"/>
    <n v="4"/>
    <s v="Y"/>
    <x v="1"/>
    <n v="11"/>
    <n v="3"/>
    <n v="1"/>
    <n v="80"/>
    <n v="1"/>
    <n v="28"/>
    <n v="1"/>
    <n v="4"/>
    <x v="5"/>
    <n v="7"/>
    <n v="4"/>
    <n v="3"/>
  </r>
  <r>
    <n v="39"/>
    <x v="0"/>
    <n v="1"/>
    <s v="Non-Travel"/>
    <n v="592"/>
    <x v="1"/>
    <n v="2"/>
    <n v="3"/>
    <x v="0"/>
    <n v="1"/>
    <n v="1458"/>
    <n v="1"/>
    <x v="0"/>
    <n v="54"/>
    <n v="2"/>
    <x v="1"/>
    <x v="2"/>
    <n v="1"/>
    <x v="0"/>
    <n v="3646"/>
    <n v="17181"/>
    <n v="2"/>
    <s v="Y"/>
    <x v="0"/>
    <n v="23"/>
    <n v="4"/>
    <n v="2"/>
    <n v="80"/>
    <n v="0"/>
    <n v="11"/>
    <n v="2"/>
    <n v="4"/>
    <x v="6"/>
    <n v="0"/>
    <n v="0"/>
    <n v="0"/>
  </r>
  <r>
    <n v="31"/>
    <x v="0"/>
    <n v="1"/>
    <s v="Travel_Frequently"/>
    <n v="1445"/>
    <x v="1"/>
    <n v="1"/>
    <n v="5"/>
    <x v="0"/>
    <n v="1"/>
    <n v="1459"/>
    <n v="3"/>
    <x v="0"/>
    <n v="100"/>
    <n v="4"/>
    <x v="2"/>
    <x v="3"/>
    <n v="2"/>
    <x v="0"/>
    <n v="7446"/>
    <n v="8931"/>
    <n v="1"/>
    <s v="Y"/>
    <x v="1"/>
    <n v="11"/>
    <n v="3"/>
    <n v="1"/>
    <n v="80"/>
    <n v="0"/>
    <n v="10"/>
    <n v="2"/>
    <n v="3"/>
    <x v="1"/>
    <n v="8"/>
    <n v="4"/>
    <n v="7"/>
  </r>
  <r>
    <n v="45"/>
    <x v="1"/>
    <n v="0"/>
    <s v="Travel_Rarely"/>
    <n v="1038"/>
    <x v="1"/>
    <n v="20"/>
    <n v="3"/>
    <x v="2"/>
    <n v="1"/>
    <n v="1460"/>
    <n v="2"/>
    <x v="1"/>
    <n v="95"/>
    <n v="1"/>
    <x v="2"/>
    <x v="4"/>
    <n v="1"/>
    <x v="2"/>
    <n v="10851"/>
    <n v="19863"/>
    <n v="2"/>
    <s v="Y"/>
    <x v="0"/>
    <n v="18"/>
    <n v="3"/>
    <n v="2"/>
    <n v="80"/>
    <n v="1"/>
    <n v="24"/>
    <n v="2"/>
    <n v="3"/>
    <x v="5"/>
    <n v="7"/>
    <n v="0"/>
    <n v="7"/>
  </r>
  <r>
    <n v="31"/>
    <x v="1"/>
    <n v="0"/>
    <s v="Travel_Rarely"/>
    <n v="1398"/>
    <x v="2"/>
    <n v="8"/>
    <n v="2"/>
    <x v="2"/>
    <n v="1"/>
    <n v="1461"/>
    <n v="4"/>
    <x v="0"/>
    <n v="96"/>
    <n v="4"/>
    <x v="1"/>
    <x v="8"/>
    <n v="2"/>
    <x v="0"/>
    <n v="2109"/>
    <n v="24609"/>
    <n v="9"/>
    <s v="Y"/>
    <x v="1"/>
    <n v="18"/>
    <n v="3"/>
    <n v="4"/>
    <n v="80"/>
    <n v="0"/>
    <n v="8"/>
    <n v="3"/>
    <n v="3"/>
    <x v="11"/>
    <n v="2"/>
    <n v="0"/>
    <n v="2"/>
  </r>
  <r>
    <n v="31"/>
    <x v="0"/>
    <n v="1"/>
    <s v="Travel_Frequently"/>
    <n v="523"/>
    <x v="1"/>
    <n v="2"/>
    <n v="3"/>
    <x v="0"/>
    <n v="1"/>
    <n v="1464"/>
    <n v="2"/>
    <x v="1"/>
    <n v="94"/>
    <n v="3"/>
    <x v="1"/>
    <x v="2"/>
    <n v="4"/>
    <x v="1"/>
    <n v="3722"/>
    <n v="21081"/>
    <n v="6"/>
    <s v="Y"/>
    <x v="0"/>
    <n v="13"/>
    <n v="3"/>
    <n v="3"/>
    <n v="80"/>
    <n v="1"/>
    <n v="7"/>
    <n v="2"/>
    <n v="1"/>
    <x v="4"/>
    <n v="2"/>
    <n v="2"/>
    <n v="2"/>
  </r>
  <r>
    <n v="45"/>
    <x v="1"/>
    <n v="0"/>
    <s v="Travel_Rarely"/>
    <n v="1448"/>
    <x v="1"/>
    <n v="29"/>
    <n v="3"/>
    <x v="4"/>
    <n v="1"/>
    <n v="1465"/>
    <n v="2"/>
    <x v="1"/>
    <n v="55"/>
    <n v="3"/>
    <x v="2"/>
    <x v="3"/>
    <n v="4"/>
    <x v="1"/>
    <n v="9380"/>
    <n v="14720"/>
    <n v="4"/>
    <s v="Y"/>
    <x v="0"/>
    <n v="18"/>
    <n v="3"/>
    <n v="4"/>
    <n v="80"/>
    <n v="2"/>
    <n v="10"/>
    <n v="4"/>
    <n v="4"/>
    <x v="11"/>
    <n v="1"/>
    <n v="1"/>
    <n v="2"/>
  </r>
  <r>
    <n v="48"/>
    <x v="1"/>
    <n v="0"/>
    <s v="Travel_Rarely"/>
    <n v="1221"/>
    <x v="0"/>
    <n v="7"/>
    <n v="3"/>
    <x v="3"/>
    <n v="1"/>
    <n v="1466"/>
    <n v="3"/>
    <x v="1"/>
    <n v="96"/>
    <n v="3"/>
    <x v="0"/>
    <x v="0"/>
    <n v="1"/>
    <x v="2"/>
    <n v="5486"/>
    <n v="24795"/>
    <n v="4"/>
    <s v="Y"/>
    <x v="1"/>
    <n v="11"/>
    <n v="3"/>
    <n v="1"/>
    <n v="80"/>
    <n v="3"/>
    <n v="15"/>
    <n v="3"/>
    <n v="3"/>
    <x v="4"/>
    <n v="2"/>
    <n v="2"/>
    <n v="2"/>
  </r>
  <r>
    <n v="34"/>
    <x v="0"/>
    <n v="1"/>
    <s v="Travel_Rarely"/>
    <n v="1107"/>
    <x v="2"/>
    <n v="9"/>
    <n v="4"/>
    <x v="4"/>
    <n v="1"/>
    <n v="1467"/>
    <n v="1"/>
    <x v="0"/>
    <n v="52"/>
    <n v="3"/>
    <x v="1"/>
    <x v="8"/>
    <n v="3"/>
    <x v="1"/>
    <n v="2742"/>
    <n v="3072"/>
    <n v="1"/>
    <s v="Y"/>
    <x v="1"/>
    <n v="15"/>
    <n v="3"/>
    <n v="4"/>
    <n v="80"/>
    <n v="0"/>
    <n v="2"/>
    <n v="0"/>
    <n v="3"/>
    <x v="4"/>
    <n v="2"/>
    <n v="2"/>
    <n v="2"/>
  </r>
  <r>
    <n v="40"/>
    <x v="1"/>
    <n v="0"/>
    <s v="Non-Travel"/>
    <n v="218"/>
    <x v="1"/>
    <n v="8"/>
    <n v="1"/>
    <x v="2"/>
    <n v="1"/>
    <n v="1468"/>
    <n v="4"/>
    <x v="1"/>
    <n v="55"/>
    <n v="2"/>
    <x v="2"/>
    <x v="7"/>
    <n v="2"/>
    <x v="2"/>
    <n v="13757"/>
    <n v="25178"/>
    <n v="2"/>
    <s v="Y"/>
    <x v="1"/>
    <n v="11"/>
    <n v="3"/>
    <n v="3"/>
    <n v="80"/>
    <n v="1"/>
    <n v="16"/>
    <n v="5"/>
    <n v="3"/>
    <x v="7"/>
    <n v="8"/>
    <n v="4"/>
    <n v="8"/>
  </r>
  <r>
    <n v="28"/>
    <x v="1"/>
    <n v="0"/>
    <s v="Travel_Rarely"/>
    <n v="866"/>
    <x v="0"/>
    <n v="5"/>
    <n v="3"/>
    <x v="2"/>
    <n v="1"/>
    <n v="1469"/>
    <n v="4"/>
    <x v="1"/>
    <n v="84"/>
    <n v="3"/>
    <x v="0"/>
    <x v="0"/>
    <n v="1"/>
    <x v="0"/>
    <n v="8463"/>
    <n v="23490"/>
    <n v="0"/>
    <s v="Y"/>
    <x v="1"/>
    <n v="18"/>
    <n v="3"/>
    <n v="4"/>
    <n v="80"/>
    <n v="0"/>
    <n v="6"/>
    <n v="4"/>
    <n v="3"/>
    <x v="8"/>
    <n v="4"/>
    <n v="1"/>
    <n v="3"/>
  </r>
  <r>
    <n v="44"/>
    <x v="1"/>
    <n v="0"/>
    <s v="Non-Travel"/>
    <n v="981"/>
    <x v="1"/>
    <n v="5"/>
    <n v="3"/>
    <x v="0"/>
    <n v="1"/>
    <n v="1471"/>
    <n v="3"/>
    <x v="1"/>
    <n v="90"/>
    <n v="2"/>
    <x v="1"/>
    <x v="2"/>
    <n v="3"/>
    <x v="0"/>
    <n v="3162"/>
    <n v="7973"/>
    <n v="3"/>
    <s v="Y"/>
    <x v="1"/>
    <n v="14"/>
    <n v="3"/>
    <n v="4"/>
    <n v="80"/>
    <n v="0"/>
    <n v="7"/>
    <n v="5"/>
    <n v="3"/>
    <x v="8"/>
    <n v="2"/>
    <n v="0"/>
    <n v="3"/>
  </r>
  <r>
    <n v="53"/>
    <x v="1"/>
    <n v="0"/>
    <s v="Travel_Rarely"/>
    <n v="447"/>
    <x v="1"/>
    <n v="2"/>
    <n v="3"/>
    <x v="2"/>
    <n v="1"/>
    <n v="1472"/>
    <n v="4"/>
    <x v="1"/>
    <n v="39"/>
    <n v="4"/>
    <x v="3"/>
    <x v="7"/>
    <n v="2"/>
    <x v="0"/>
    <n v="16598"/>
    <n v="19764"/>
    <n v="4"/>
    <s v="Y"/>
    <x v="1"/>
    <n v="12"/>
    <n v="3"/>
    <n v="2"/>
    <n v="80"/>
    <n v="0"/>
    <n v="35"/>
    <n v="2"/>
    <n v="2"/>
    <x v="7"/>
    <n v="8"/>
    <n v="8"/>
    <n v="8"/>
  </r>
  <r>
    <n v="49"/>
    <x v="1"/>
    <n v="0"/>
    <s v="Travel_Rarely"/>
    <n v="1495"/>
    <x v="1"/>
    <n v="5"/>
    <n v="4"/>
    <x v="4"/>
    <n v="1"/>
    <n v="1473"/>
    <n v="1"/>
    <x v="1"/>
    <n v="96"/>
    <n v="3"/>
    <x v="0"/>
    <x v="4"/>
    <n v="3"/>
    <x v="1"/>
    <n v="6651"/>
    <n v="21534"/>
    <n v="2"/>
    <s v="Y"/>
    <x v="1"/>
    <n v="14"/>
    <n v="3"/>
    <n v="2"/>
    <n v="80"/>
    <n v="1"/>
    <n v="20"/>
    <n v="0"/>
    <n v="2"/>
    <x v="11"/>
    <n v="2"/>
    <n v="1"/>
    <n v="2"/>
  </r>
  <r>
    <n v="40"/>
    <x v="1"/>
    <n v="0"/>
    <s v="Travel_Rarely"/>
    <n v="896"/>
    <x v="1"/>
    <n v="2"/>
    <n v="3"/>
    <x v="2"/>
    <n v="1"/>
    <n v="1474"/>
    <n v="3"/>
    <x v="1"/>
    <n v="68"/>
    <n v="3"/>
    <x v="1"/>
    <x v="1"/>
    <n v="3"/>
    <x v="2"/>
    <n v="2345"/>
    <n v="8045"/>
    <n v="2"/>
    <s v="Y"/>
    <x v="1"/>
    <n v="14"/>
    <n v="3"/>
    <n v="3"/>
    <n v="80"/>
    <n v="1"/>
    <n v="8"/>
    <n v="3"/>
    <n v="4"/>
    <x v="11"/>
    <n v="1"/>
    <n v="1"/>
    <n v="2"/>
  </r>
  <r>
    <n v="44"/>
    <x v="1"/>
    <n v="0"/>
    <s v="Travel_Rarely"/>
    <n v="1467"/>
    <x v="1"/>
    <n v="20"/>
    <n v="3"/>
    <x v="0"/>
    <n v="1"/>
    <n v="1475"/>
    <n v="4"/>
    <x v="1"/>
    <n v="49"/>
    <n v="3"/>
    <x v="1"/>
    <x v="1"/>
    <n v="2"/>
    <x v="0"/>
    <n v="3420"/>
    <n v="21158"/>
    <n v="1"/>
    <s v="Y"/>
    <x v="1"/>
    <n v="13"/>
    <n v="3"/>
    <n v="3"/>
    <n v="80"/>
    <n v="0"/>
    <n v="6"/>
    <n v="3"/>
    <n v="2"/>
    <x v="8"/>
    <n v="2"/>
    <n v="1"/>
    <n v="3"/>
  </r>
  <r>
    <n v="33"/>
    <x v="1"/>
    <n v="0"/>
    <s v="Travel_Frequently"/>
    <n v="430"/>
    <x v="0"/>
    <n v="7"/>
    <n v="3"/>
    <x v="2"/>
    <n v="1"/>
    <n v="1477"/>
    <n v="4"/>
    <x v="1"/>
    <n v="54"/>
    <n v="3"/>
    <x v="0"/>
    <x v="0"/>
    <n v="1"/>
    <x v="1"/>
    <n v="4373"/>
    <n v="17456"/>
    <n v="0"/>
    <s v="Y"/>
    <x v="1"/>
    <n v="14"/>
    <n v="3"/>
    <n v="1"/>
    <n v="80"/>
    <n v="2"/>
    <n v="5"/>
    <n v="2"/>
    <n v="3"/>
    <x v="9"/>
    <n v="3"/>
    <n v="0"/>
    <n v="3"/>
  </r>
  <r>
    <n v="34"/>
    <x v="1"/>
    <n v="0"/>
    <s v="Travel_Rarely"/>
    <n v="1326"/>
    <x v="0"/>
    <n v="3"/>
    <n v="3"/>
    <x v="1"/>
    <n v="1"/>
    <n v="1478"/>
    <n v="4"/>
    <x v="1"/>
    <n v="81"/>
    <n v="1"/>
    <x v="0"/>
    <x v="0"/>
    <n v="1"/>
    <x v="0"/>
    <n v="4759"/>
    <n v="15891"/>
    <n v="3"/>
    <s v="Y"/>
    <x v="1"/>
    <n v="18"/>
    <n v="3"/>
    <n v="4"/>
    <n v="80"/>
    <n v="0"/>
    <n v="15"/>
    <n v="2"/>
    <n v="3"/>
    <x v="20"/>
    <n v="9"/>
    <n v="3"/>
    <n v="12"/>
  </r>
  <r>
    <n v="30"/>
    <x v="1"/>
    <n v="0"/>
    <s v="Travel_Rarely"/>
    <n v="1358"/>
    <x v="0"/>
    <n v="16"/>
    <n v="1"/>
    <x v="0"/>
    <n v="1"/>
    <n v="1479"/>
    <n v="4"/>
    <x v="1"/>
    <n v="96"/>
    <n v="3"/>
    <x v="0"/>
    <x v="0"/>
    <n v="3"/>
    <x v="1"/>
    <n v="5301"/>
    <n v="2939"/>
    <n v="8"/>
    <s v="Y"/>
    <x v="1"/>
    <n v="15"/>
    <n v="3"/>
    <n v="3"/>
    <n v="80"/>
    <n v="2"/>
    <n v="4"/>
    <n v="2"/>
    <n v="2"/>
    <x v="4"/>
    <n v="1"/>
    <n v="2"/>
    <n v="2"/>
  </r>
  <r>
    <n v="42"/>
    <x v="1"/>
    <n v="0"/>
    <s v="Travel_Frequently"/>
    <n v="748"/>
    <x v="1"/>
    <n v="9"/>
    <n v="2"/>
    <x v="2"/>
    <n v="1"/>
    <n v="1480"/>
    <n v="1"/>
    <x v="0"/>
    <n v="74"/>
    <n v="3"/>
    <x v="1"/>
    <x v="2"/>
    <n v="4"/>
    <x v="0"/>
    <n v="3673"/>
    <n v="16458"/>
    <n v="1"/>
    <s v="Y"/>
    <x v="1"/>
    <n v="13"/>
    <n v="3"/>
    <n v="3"/>
    <n v="80"/>
    <n v="0"/>
    <n v="12"/>
    <n v="3"/>
    <n v="3"/>
    <x v="12"/>
    <n v="9"/>
    <n v="5"/>
    <n v="8"/>
  </r>
  <r>
    <n v="44"/>
    <x v="1"/>
    <n v="0"/>
    <s v="Travel_Frequently"/>
    <n v="383"/>
    <x v="0"/>
    <n v="1"/>
    <n v="5"/>
    <x v="3"/>
    <n v="1"/>
    <n v="1481"/>
    <n v="1"/>
    <x v="0"/>
    <n v="79"/>
    <n v="3"/>
    <x v="0"/>
    <x v="0"/>
    <n v="3"/>
    <x v="1"/>
    <n v="4768"/>
    <n v="9282"/>
    <n v="7"/>
    <s v="Y"/>
    <x v="1"/>
    <n v="12"/>
    <n v="3"/>
    <n v="3"/>
    <n v="80"/>
    <n v="1"/>
    <n v="11"/>
    <n v="4"/>
    <n v="2"/>
    <x v="6"/>
    <n v="0"/>
    <n v="0"/>
    <n v="0"/>
  </r>
  <r>
    <n v="30"/>
    <x v="1"/>
    <n v="0"/>
    <s v="Non-Travel"/>
    <n v="990"/>
    <x v="1"/>
    <n v="7"/>
    <n v="3"/>
    <x v="4"/>
    <n v="1"/>
    <n v="1482"/>
    <n v="3"/>
    <x v="1"/>
    <n v="64"/>
    <n v="3"/>
    <x v="1"/>
    <x v="1"/>
    <n v="3"/>
    <x v="2"/>
    <n v="1274"/>
    <n v="7152"/>
    <n v="1"/>
    <s v="Y"/>
    <x v="1"/>
    <n v="13"/>
    <n v="3"/>
    <n v="2"/>
    <n v="80"/>
    <n v="2"/>
    <n v="1"/>
    <n v="2"/>
    <n v="2"/>
    <x v="6"/>
    <n v="0"/>
    <n v="0"/>
    <n v="0"/>
  </r>
  <r>
    <n v="57"/>
    <x v="1"/>
    <n v="0"/>
    <s v="Travel_Rarely"/>
    <n v="405"/>
    <x v="1"/>
    <n v="1"/>
    <n v="2"/>
    <x v="0"/>
    <n v="1"/>
    <n v="1483"/>
    <n v="2"/>
    <x v="1"/>
    <n v="93"/>
    <n v="4"/>
    <x v="0"/>
    <x v="1"/>
    <n v="3"/>
    <x v="1"/>
    <n v="4900"/>
    <n v="2721"/>
    <n v="0"/>
    <s v="Y"/>
    <x v="1"/>
    <n v="24"/>
    <n v="4"/>
    <n v="1"/>
    <n v="80"/>
    <n v="1"/>
    <n v="13"/>
    <n v="2"/>
    <n v="2"/>
    <x v="12"/>
    <n v="9"/>
    <n v="2"/>
    <n v="8"/>
  </r>
  <r>
    <n v="49"/>
    <x v="1"/>
    <n v="0"/>
    <s v="Travel_Rarely"/>
    <n v="1490"/>
    <x v="1"/>
    <n v="7"/>
    <n v="4"/>
    <x v="0"/>
    <n v="1"/>
    <n v="1484"/>
    <n v="3"/>
    <x v="1"/>
    <n v="35"/>
    <n v="3"/>
    <x v="2"/>
    <x v="4"/>
    <n v="2"/>
    <x v="2"/>
    <n v="10466"/>
    <n v="20948"/>
    <n v="3"/>
    <s v="Y"/>
    <x v="1"/>
    <n v="14"/>
    <n v="3"/>
    <n v="2"/>
    <n v="80"/>
    <n v="2"/>
    <n v="29"/>
    <n v="3"/>
    <n v="3"/>
    <x v="3"/>
    <n v="7"/>
    <n v="0"/>
    <n v="7"/>
  </r>
  <r>
    <n v="34"/>
    <x v="1"/>
    <n v="0"/>
    <s v="Travel_Frequently"/>
    <n v="829"/>
    <x v="1"/>
    <n v="15"/>
    <n v="3"/>
    <x v="2"/>
    <n v="1"/>
    <n v="1485"/>
    <n v="2"/>
    <x v="1"/>
    <n v="71"/>
    <n v="3"/>
    <x v="3"/>
    <x v="7"/>
    <n v="1"/>
    <x v="2"/>
    <n v="17007"/>
    <n v="11929"/>
    <n v="7"/>
    <s v="Y"/>
    <x v="1"/>
    <n v="14"/>
    <n v="3"/>
    <n v="4"/>
    <n v="80"/>
    <n v="2"/>
    <n v="16"/>
    <n v="3"/>
    <n v="2"/>
    <x v="13"/>
    <n v="8"/>
    <n v="6"/>
    <n v="9"/>
  </r>
  <r>
    <n v="28"/>
    <x v="0"/>
    <n v="1"/>
    <s v="Travel_Frequently"/>
    <n v="1496"/>
    <x v="0"/>
    <n v="1"/>
    <n v="3"/>
    <x v="4"/>
    <n v="1"/>
    <n v="1486"/>
    <n v="1"/>
    <x v="1"/>
    <n v="92"/>
    <n v="3"/>
    <x v="1"/>
    <x v="6"/>
    <n v="3"/>
    <x v="1"/>
    <n v="2909"/>
    <n v="15747"/>
    <n v="3"/>
    <s v="Y"/>
    <x v="1"/>
    <n v="15"/>
    <n v="3"/>
    <n v="4"/>
    <n v="80"/>
    <n v="1"/>
    <n v="5"/>
    <n v="3"/>
    <n v="4"/>
    <x v="11"/>
    <n v="2"/>
    <n v="1"/>
    <n v="2"/>
  </r>
  <r>
    <n v="29"/>
    <x v="0"/>
    <n v="1"/>
    <s v="Travel_Frequently"/>
    <n v="115"/>
    <x v="0"/>
    <n v="13"/>
    <n v="3"/>
    <x v="4"/>
    <n v="1"/>
    <n v="1487"/>
    <n v="1"/>
    <x v="0"/>
    <n v="51"/>
    <n v="3"/>
    <x v="0"/>
    <x v="0"/>
    <n v="2"/>
    <x v="0"/>
    <n v="5765"/>
    <n v="17485"/>
    <n v="5"/>
    <s v="Y"/>
    <x v="1"/>
    <n v="11"/>
    <n v="3"/>
    <n v="1"/>
    <n v="80"/>
    <n v="0"/>
    <n v="7"/>
    <n v="4"/>
    <n v="1"/>
    <x v="8"/>
    <n v="3"/>
    <n v="0"/>
    <n v="0"/>
  </r>
  <r>
    <n v="34"/>
    <x v="0"/>
    <n v="1"/>
    <s v="Travel_Rarely"/>
    <n v="790"/>
    <x v="0"/>
    <n v="24"/>
    <n v="4"/>
    <x v="2"/>
    <n v="1"/>
    <n v="1489"/>
    <n v="1"/>
    <x v="0"/>
    <n v="40"/>
    <n v="2"/>
    <x v="0"/>
    <x v="0"/>
    <n v="2"/>
    <x v="0"/>
    <n v="4599"/>
    <n v="7815"/>
    <n v="0"/>
    <s v="Y"/>
    <x v="0"/>
    <n v="23"/>
    <n v="4"/>
    <n v="3"/>
    <n v="80"/>
    <n v="0"/>
    <n v="16"/>
    <n v="2"/>
    <n v="4"/>
    <x v="15"/>
    <n v="9"/>
    <n v="10"/>
    <n v="10"/>
  </r>
  <r>
    <n v="35"/>
    <x v="1"/>
    <n v="0"/>
    <s v="Travel_Rarely"/>
    <n v="660"/>
    <x v="0"/>
    <n v="7"/>
    <n v="1"/>
    <x v="0"/>
    <n v="1"/>
    <n v="1492"/>
    <n v="4"/>
    <x v="1"/>
    <n v="76"/>
    <n v="3"/>
    <x v="1"/>
    <x v="6"/>
    <n v="3"/>
    <x v="1"/>
    <n v="2404"/>
    <n v="16192"/>
    <n v="1"/>
    <s v="Y"/>
    <x v="1"/>
    <n v="13"/>
    <n v="3"/>
    <n v="1"/>
    <n v="80"/>
    <n v="1"/>
    <n v="1"/>
    <n v="3"/>
    <n v="3"/>
    <x v="6"/>
    <n v="0"/>
    <n v="0"/>
    <n v="0"/>
  </r>
  <r>
    <n v="24"/>
    <x v="0"/>
    <n v="1"/>
    <s v="Travel_Frequently"/>
    <n v="381"/>
    <x v="1"/>
    <n v="9"/>
    <n v="3"/>
    <x v="2"/>
    <n v="1"/>
    <n v="1494"/>
    <n v="2"/>
    <x v="1"/>
    <n v="89"/>
    <n v="3"/>
    <x v="1"/>
    <x v="2"/>
    <n v="1"/>
    <x v="0"/>
    <n v="3172"/>
    <n v="16998"/>
    <n v="2"/>
    <s v="Y"/>
    <x v="0"/>
    <n v="11"/>
    <n v="3"/>
    <n v="3"/>
    <n v="80"/>
    <n v="0"/>
    <n v="4"/>
    <n v="2"/>
    <n v="2"/>
    <x v="2"/>
    <n v="0"/>
    <n v="0"/>
    <n v="0"/>
  </r>
  <r>
    <n v="24"/>
    <x v="1"/>
    <n v="0"/>
    <s v="Non-Travel"/>
    <n v="830"/>
    <x v="0"/>
    <n v="13"/>
    <n v="2"/>
    <x v="0"/>
    <n v="1"/>
    <n v="1495"/>
    <n v="4"/>
    <x v="0"/>
    <n v="78"/>
    <n v="3"/>
    <x v="1"/>
    <x v="6"/>
    <n v="2"/>
    <x v="1"/>
    <n v="2033"/>
    <n v="7103"/>
    <n v="1"/>
    <s v="Y"/>
    <x v="1"/>
    <n v="13"/>
    <n v="3"/>
    <n v="3"/>
    <n v="80"/>
    <n v="1"/>
    <n v="1"/>
    <n v="2"/>
    <n v="3"/>
    <x v="6"/>
    <n v="0"/>
    <n v="0"/>
    <n v="0"/>
  </r>
  <r>
    <n v="44"/>
    <x v="1"/>
    <n v="0"/>
    <s v="Travel_Frequently"/>
    <n v="1193"/>
    <x v="1"/>
    <n v="2"/>
    <n v="1"/>
    <x v="2"/>
    <n v="1"/>
    <n v="1496"/>
    <n v="2"/>
    <x v="1"/>
    <n v="86"/>
    <n v="3"/>
    <x v="2"/>
    <x v="3"/>
    <n v="3"/>
    <x v="0"/>
    <n v="10209"/>
    <n v="19719"/>
    <n v="5"/>
    <s v="Y"/>
    <x v="0"/>
    <n v="18"/>
    <n v="3"/>
    <n v="2"/>
    <n v="80"/>
    <n v="0"/>
    <n v="16"/>
    <n v="2"/>
    <n v="2"/>
    <x v="4"/>
    <n v="2"/>
    <n v="2"/>
    <n v="2"/>
  </r>
  <r>
    <n v="29"/>
    <x v="1"/>
    <n v="0"/>
    <s v="Travel_Rarely"/>
    <n v="1246"/>
    <x v="0"/>
    <n v="19"/>
    <n v="3"/>
    <x v="0"/>
    <n v="1"/>
    <n v="1497"/>
    <n v="3"/>
    <x v="1"/>
    <n v="77"/>
    <n v="2"/>
    <x v="0"/>
    <x v="0"/>
    <n v="3"/>
    <x v="2"/>
    <n v="8620"/>
    <n v="23757"/>
    <n v="1"/>
    <s v="Y"/>
    <x v="1"/>
    <n v="14"/>
    <n v="3"/>
    <n v="3"/>
    <n v="80"/>
    <n v="2"/>
    <n v="10"/>
    <n v="3"/>
    <n v="3"/>
    <x v="1"/>
    <n v="7"/>
    <n v="0"/>
    <n v="4"/>
  </r>
  <r>
    <n v="30"/>
    <x v="1"/>
    <n v="0"/>
    <s v="Travel_Rarely"/>
    <n v="330"/>
    <x v="2"/>
    <n v="1"/>
    <n v="3"/>
    <x v="0"/>
    <n v="1"/>
    <n v="1499"/>
    <n v="3"/>
    <x v="1"/>
    <n v="46"/>
    <n v="3"/>
    <x v="1"/>
    <x v="8"/>
    <n v="3"/>
    <x v="2"/>
    <n v="2064"/>
    <n v="15428"/>
    <n v="0"/>
    <s v="Y"/>
    <x v="1"/>
    <n v="21"/>
    <n v="4"/>
    <n v="1"/>
    <n v="80"/>
    <n v="1"/>
    <n v="6"/>
    <n v="3"/>
    <n v="4"/>
    <x v="8"/>
    <n v="3"/>
    <n v="1"/>
    <n v="3"/>
  </r>
  <r>
    <n v="55"/>
    <x v="1"/>
    <n v="0"/>
    <s v="Travel_Rarely"/>
    <n v="1229"/>
    <x v="1"/>
    <n v="4"/>
    <n v="4"/>
    <x v="0"/>
    <n v="1"/>
    <n v="1501"/>
    <n v="4"/>
    <x v="1"/>
    <n v="30"/>
    <n v="3"/>
    <x v="0"/>
    <x v="4"/>
    <n v="3"/>
    <x v="1"/>
    <n v="4035"/>
    <n v="16143"/>
    <n v="0"/>
    <s v="Y"/>
    <x v="0"/>
    <n v="16"/>
    <n v="3"/>
    <n v="2"/>
    <n v="80"/>
    <n v="0"/>
    <n v="4"/>
    <n v="2"/>
    <n v="3"/>
    <x v="11"/>
    <n v="2"/>
    <n v="1"/>
    <n v="2"/>
  </r>
  <r>
    <n v="33"/>
    <x v="1"/>
    <n v="0"/>
    <s v="Travel_Rarely"/>
    <n v="1099"/>
    <x v="1"/>
    <n v="4"/>
    <n v="4"/>
    <x v="2"/>
    <n v="1"/>
    <n v="1502"/>
    <n v="1"/>
    <x v="0"/>
    <n v="82"/>
    <n v="2"/>
    <x v="1"/>
    <x v="2"/>
    <n v="2"/>
    <x v="1"/>
    <n v="3838"/>
    <n v="8192"/>
    <n v="8"/>
    <s v="Y"/>
    <x v="1"/>
    <n v="11"/>
    <n v="3"/>
    <n v="4"/>
    <n v="80"/>
    <n v="0"/>
    <n v="8"/>
    <n v="5"/>
    <n v="3"/>
    <x v="8"/>
    <n v="4"/>
    <n v="0"/>
    <n v="2"/>
  </r>
  <r>
    <n v="47"/>
    <x v="1"/>
    <n v="0"/>
    <s v="Travel_Rarely"/>
    <n v="571"/>
    <x v="0"/>
    <n v="14"/>
    <n v="3"/>
    <x v="2"/>
    <n v="1"/>
    <n v="1503"/>
    <n v="3"/>
    <x v="0"/>
    <n v="78"/>
    <n v="3"/>
    <x v="0"/>
    <x v="0"/>
    <n v="3"/>
    <x v="1"/>
    <n v="4591"/>
    <n v="24200"/>
    <n v="3"/>
    <s v="Y"/>
    <x v="0"/>
    <n v="17"/>
    <n v="3"/>
    <n v="3"/>
    <n v="80"/>
    <n v="1"/>
    <n v="11"/>
    <n v="4"/>
    <n v="2"/>
    <x v="8"/>
    <n v="4"/>
    <n v="1"/>
    <n v="2"/>
  </r>
  <r>
    <n v="28"/>
    <x v="0"/>
    <n v="1"/>
    <s v="Travel_Frequently"/>
    <n v="289"/>
    <x v="1"/>
    <n v="2"/>
    <n v="2"/>
    <x v="2"/>
    <n v="1"/>
    <n v="1504"/>
    <n v="3"/>
    <x v="1"/>
    <n v="38"/>
    <n v="2"/>
    <x v="1"/>
    <x v="2"/>
    <n v="1"/>
    <x v="0"/>
    <n v="2561"/>
    <n v="5355"/>
    <n v="7"/>
    <s v="Y"/>
    <x v="1"/>
    <n v="11"/>
    <n v="3"/>
    <n v="3"/>
    <n v="80"/>
    <n v="0"/>
    <n v="8"/>
    <n v="2"/>
    <n v="2"/>
    <x v="2"/>
    <n v="0"/>
    <n v="0"/>
    <n v="0"/>
  </r>
  <r>
    <n v="28"/>
    <x v="1"/>
    <n v="0"/>
    <s v="Travel_Rarely"/>
    <n v="1423"/>
    <x v="1"/>
    <n v="1"/>
    <n v="3"/>
    <x v="0"/>
    <n v="1"/>
    <n v="1506"/>
    <n v="1"/>
    <x v="1"/>
    <n v="72"/>
    <n v="2"/>
    <x v="1"/>
    <x v="1"/>
    <n v="3"/>
    <x v="2"/>
    <n v="1563"/>
    <n v="12530"/>
    <n v="1"/>
    <s v="Y"/>
    <x v="1"/>
    <n v="14"/>
    <n v="3"/>
    <n v="4"/>
    <n v="80"/>
    <n v="1"/>
    <n v="1"/>
    <n v="2"/>
    <n v="1"/>
    <x v="6"/>
    <n v="0"/>
    <n v="0"/>
    <n v="0"/>
  </r>
  <r>
    <n v="28"/>
    <x v="1"/>
    <n v="0"/>
    <s v="Travel_Frequently"/>
    <n v="467"/>
    <x v="0"/>
    <n v="7"/>
    <n v="3"/>
    <x v="0"/>
    <n v="1"/>
    <n v="1507"/>
    <n v="3"/>
    <x v="1"/>
    <n v="55"/>
    <n v="3"/>
    <x v="0"/>
    <x v="0"/>
    <n v="1"/>
    <x v="0"/>
    <n v="4898"/>
    <n v="11827"/>
    <n v="0"/>
    <s v="Y"/>
    <x v="1"/>
    <n v="14"/>
    <n v="3"/>
    <n v="4"/>
    <n v="80"/>
    <n v="0"/>
    <n v="5"/>
    <n v="5"/>
    <n v="3"/>
    <x v="9"/>
    <n v="2"/>
    <n v="1"/>
    <n v="3"/>
  </r>
  <r>
    <n v="49"/>
    <x v="1"/>
    <n v="0"/>
    <s v="Travel_Rarely"/>
    <n v="271"/>
    <x v="1"/>
    <n v="3"/>
    <n v="2"/>
    <x v="2"/>
    <n v="1"/>
    <n v="1509"/>
    <n v="3"/>
    <x v="0"/>
    <n v="43"/>
    <n v="2"/>
    <x v="0"/>
    <x v="2"/>
    <n v="1"/>
    <x v="1"/>
    <n v="4789"/>
    <n v="23070"/>
    <n v="4"/>
    <s v="Y"/>
    <x v="1"/>
    <n v="25"/>
    <n v="4"/>
    <n v="1"/>
    <n v="80"/>
    <n v="1"/>
    <n v="10"/>
    <n v="3"/>
    <n v="3"/>
    <x v="11"/>
    <n v="2"/>
    <n v="1"/>
    <n v="2"/>
  </r>
  <r>
    <n v="29"/>
    <x v="1"/>
    <n v="0"/>
    <s v="Travel_Frequently"/>
    <n v="410"/>
    <x v="1"/>
    <n v="2"/>
    <n v="1"/>
    <x v="0"/>
    <n v="1"/>
    <n v="1513"/>
    <n v="4"/>
    <x v="0"/>
    <n v="97"/>
    <n v="3"/>
    <x v="1"/>
    <x v="2"/>
    <n v="2"/>
    <x v="1"/>
    <n v="3180"/>
    <n v="4668"/>
    <n v="0"/>
    <s v="Y"/>
    <x v="1"/>
    <n v="13"/>
    <n v="3"/>
    <n v="3"/>
    <n v="80"/>
    <n v="3"/>
    <n v="4"/>
    <n v="3"/>
    <n v="3"/>
    <x v="11"/>
    <n v="2"/>
    <n v="0"/>
    <n v="2"/>
  </r>
  <r>
    <n v="28"/>
    <x v="1"/>
    <n v="0"/>
    <s v="Travel_Rarely"/>
    <n v="1083"/>
    <x v="1"/>
    <n v="29"/>
    <n v="1"/>
    <x v="0"/>
    <n v="1"/>
    <n v="1514"/>
    <n v="3"/>
    <x v="1"/>
    <n v="96"/>
    <n v="1"/>
    <x v="0"/>
    <x v="3"/>
    <n v="2"/>
    <x v="1"/>
    <n v="6549"/>
    <n v="3173"/>
    <n v="1"/>
    <s v="Y"/>
    <x v="1"/>
    <n v="14"/>
    <n v="3"/>
    <n v="2"/>
    <n v="80"/>
    <n v="2"/>
    <n v="8"/>
    <n v="2"/>
    <n v="2"/>
    <x v="3"/>
    <n v="6"/>
    <n v="1"/>
    <n v="7"/>
  </r>
  <r>
    <n v="33"/>
    <x v="1"/>
    <n v="0"/>
    <s v="Travel_Rarely"/>
    <n v="516"/>
    <x v="1"/>
    <n v="8"/>
    <n v="5"/>
    <x v="0"/>
    <n v="1"/>
    <n v="1515"/>
    <n v="4"/>
    <x v="1"/>
    <n v="69"/>
    <n v="3"/>
    <x v="0"/>
    <x v="4"/>
    <n v="3"/>
    <x v="0"/>
    <n v="6388"/>
    <n v="22049"/>
    <n v="2"/>
    <s v="Y"/>
    <x v="0"/>
    <n v="17"/>
    <n v="3"/>
    <n v="1"/>
    <n v="80"/>
    <n v="0"/>
    <n v="14"/>
    <n v="6"/>
    <n v="3"/>
    <x v="2"/>
    <n v="0"/>
    <n v="0"/>
    <n v="0"/>
  </r>
  <r>
    <n v="32"/>
    <x v="1"/>
    <n v="0"/>
    <s v="Travel_Rarely"/>
    <n v="495"/>
    <x v="1"/>
    <n v="10"/>
    <n v="3"/>
    <x v="2"/>
    <n v="1"/>
    <n v="1516"/>
    <n v="3"/>
    <x v="1"/>
    <n v="64"/>
    <n v="3"/>
    <x v="2"/>
    <x v="5"/>
    <n v="4"/>
    <x v="0"/>
    <n v="11244"/>
    <n v="21072"/>
    <n v="2"/>
    <s v="Y"/>
    <x v="1"/>
    <n v="25"/>
    <n v="4"/>
    <n v="2"/>
    <n v="80"/>
    <n v="0"/>
    <n v="10"/>
    <n v="5"/>
    <n v="4"/>
    <x v="8"/>
    <n v="2"/>
    <n v="0"/>
    <n v="0"/>
  </r>
  <r>
    <n v="54"/>
    <x v="1"/>
    <n v="0"/>
    <s v="Travel_Frequently"/>
    <n v="1050"/>
    <x v="1"/>
    <n v="11"/>
    <n v="4"/>
    <x v="2"/>
    <n v="1"/>
    <n v="1520"/>
    <n v="2"/>
    <x v="0"/>
    <n v="87"/>
    <n v="3"/>
    <x v="3"/>
    <x v="5"/>
    <n v="4"/>
    <x v="2"/>
    <n v="16032"/>
    <n v="24456"/>
    <n v="3"/>
    <s v="Y"/>
    <x v="1"/>
    <n v="20"/>
    <n v="4"/>
    <n v="1"/>
    <n v="80"/>
    <n v="1"/>
    <n v="26"/>
    <n v="2"/>
    <n v="3"/>
    <x v="13"/>
    <n v="9"/>
    <n v="1"/>
    <n v="12"/>
  </r>
  <r>
    <n v="29"/>
    <x v="0"/>
    <n v="1"/>
    <s v="Travel_Rarely"/>
    <n v="224"/>
    <x v="1"/>
    <n v="1"/>
    <n v="4"/>
    <x v="4"/>
    <n v="1"/>
    <n v="1522"/>
    <n v="1"/>
    <x v="1"/>
    <n v="100"/>
    <n v="2"/>
    <x v="1"/>
    <x v="1"/>
    <n v="1"/>
    <x v="0"/>
    <n v="2362"/>
    <n v="7568"/>
    <n v="6"/>
    <s v="Y"/>
    <x v="1"/>
    <n v="13"/>
    <n v="3"/>
    <n v="3"/>
    <n v="80"/>
    <n v="0"/>
    <n v="11"/>
    <n v="2"/>
    <n v="1"/>
    <x v="7"/>
    <n v="7"/>
    <n v="0"/>
    <n v="7"/>
  </r>
  <r>
    <n v="44"/>
    <x v="1"/>
    <n v="0"/>
    <s v="Travel_Rarely"/>
    <n v="136"/>
    <x v="1"/>
    <n v="28"/>
    <n v="3"/>
    <x v="0"/>
    <n v="1"/>
    <n v="1523"/>
    <n v="4"/>
    <x v="1"/>
    <n v="32"/>
    <n v="3"/>
    <x v="3"/>
    <x v="7"/>
    <n v="1"/>
    <x v="1"/>
    <n v="16328"/>
    <n v="22074"/>
    <n v="3"/>
    <s v="Y"/>
    <x v="1"/>
    <n v="13"/>
    <n v="3"/>
    <n v="3"/>
    <n v="80"/>
    <n v="1"/>
    <n v="24"/>
    <n v="1"/>
    <n v="4"/>
    <x v="23"/>
    <n v="6"/>
    <n v="14"/>
    <n v="17"/>
  </r>
  <r>
    <n v="39"/>
    <x v="1"/>
    <n v="0"/>
    <s v="Travel_Rarely"/>
    <n v="1089"/>
    <x v="1"/>
    <n v="6"/>
    <n v="3"/>
    <x v="0"/>
    <n v="1"/>
    <n v="1525"/>
    <n v="2"/>
    <x v="0"/>
    <n v="32"/>
    <n v="3"/>
    <x v="2"/>
    <x v="3"/>
    <n v="2"/>
    <x v="0"/>
    <n v="8376"/>
    <n v="9150"/>
    <n v="4"/>
    <s v="Y"/>
    <x v="1"/>
    <n v="18"/>
    <n v="3"/>
    <n v="4"/>
    <n v="80"/>
    <n v="0"/>
    <n v="9"/>
    <n v="3"/>
    <n v="3"/>
    <x v="4"/>
    <n v="0"/>
    <n v="2"/>
    <n v="2"/>
  </r>
  <r>
    <n v="46"/>
    <x v="1"/>
    <n v="0"/>
    <s v="Travel_Rarely"/>
    <n v="228"/>
    <x v="0"/>
    <n v="3"/>
    <n v="3"/>
    <x v="0"/>
    <n v="1"/>
    <n v="1527"/>
    <n v="3"/>
    <x v="0"/>
    <n v="51"/>
    <n v="3"/>
    <x v="3"/>
    <x v="5"/>
    <n v="2"/>
    <x v="1"/>
    <n v="16606"/>
    <n v="11380"/>
    <n v="8"/>
    <s v="Y"/>
    <x v="1"/>
    <n v="12"/>
    <n v="3"/>
    <n v="4"/>
    <n v="80"/>
    <n v="1"/>
    <n v="23"/>
    <n v="2"/>
    <n v="4"/>
    <x v="20"/>
    <n v="12"/>
    <n v="5"/>
    <n v="1"/>
  </r>
  <r>
    <n v="35"/>
    <x v="1"/>
    <n v="0"/>
    <s v="Travel_Rarely"/>
    <n v="1029"/>
    <x v="1"/>
    <n v="16"/>
    <n v="3"/>
    <x v="0"/>
    <n v="1"/>
    <n v="1529"/>
    <n v="4"/>
    <x v="0"/>
    <n v="91"/>
    <n v="2"/>
    <x v="2"/>
    <x v="4"/>
    <n v="2"/>
    <x v="0"/>
    <n v="8606"/>
    <n v="21195"/>
    <n v="1"/>
    <s v="Y"/>
    <x v="1"/>
    <n v="19"/>
    <n v="3"/>
    <n v="4"/>
    <n v="80"/>
    <n v="0"/>
    <n v="11"/>
    <n v="3"/>
    <n v="1"/>
    <x v="19"/>
    <n v="8"/>
    <n v="3"/>
    <n v="3"/>
  </r>
  <r>
    <n v="23"/>
    <x v="1"/>
    <n v="0"/>
    <s v="Travel_Rarely"/>
    <n v="507"/>
    <x v="1"/>
    <n v="20"/>
    <n v="1"/>
    <x v="0"/>
    <n v="1"/>
    <n v="1533"/>
    <n v="1"/>
    <x v="1"/>
    <n v="97"/>
    <n v="3"/>
    <x v="0"/>
    <x v="2"/>
    <n v="3"/>
    <x v="0"/>
    <n v="2272"/>
    <n v="24812"/>
    <n v="0"/>
    <s v="Y"/>
    <x v="1"/>
    <n v="14"/>
    <n v="3"/>
    <n v="2"/>
    <n v="80"/>
    <n v="0"/>
    <n v="5"/>
    <n v="2"/>
    <n v="3"/>
    <x v="9"/>
    <n v="3"/>
    <n v="1"/>
    <n v="2"/>
  </r>
  <r>
    <n v="40"/>
    <x v="0"/>
    <n v="1"/>
    <s v="Travel_Rarely"/>
    <n v="676"/>
    <x v="1"/>
    <n v="9"/>
    <n v="4"/>
    <x v="0"/>
    <n v="1"/>
    <n v="1534"/>
    <n v="4"/>
    <x v="1"/>
    <n v="86"/>
    <n v="3"/>
    <x v="1"/>
    <x v="2"/>
    <n v="1"/>
    <x v="0"/>
    <n v="2018"/>
    <n v="21831"/>
    <n v="3"/>
    <s v="Y"/>
    <x v="1"/>
    <n v="14"/>
    <n v="3"/>
    <n v="2"/>
    <n v="80"/>
    <n v="0"/>
    <n v="15"/>
    <n v="3"/>
    <n v="1"/>
    <x v="8"/>
    <n v="4"/>
    <n v="1"/>
    <n v="0"/>
  </r>
  <r>
    <n v="34"/>
    <x v="1"/>
    <n v="0"/>
    <s v="Travel_Rarely"/>
    <n v="971"/>
    <x v="0"/>
    <n v="1"/>
    <n v="3"/>
    <x v="4"/>
    <n v="1"/>
    <n v="1535"/>
    <n v="4"/>
    <x v="1"/>
    <n v="64"/>
    <n v="2"/>
    <x v="2"/>
    <x v="0"/>
    <n v="3"/>
    <x v="1"/>
    <n v="7083"/>
    <n v="12288"/>
    <n v="1"/>
    <s v="Y"/>
    <x v="0"/>
    <n v="14"/>
    <n v="3"/>
    <n v="4"/>
    <n v="80"/>
    <n v="0"/>
    <n v="10"/>
    <n v="3"/>
    <n v="3"/>
    <x v="1"/>
    <n v="9"/>
    <n v="8"/>
    <n v="6"/>
  </r>
  <r>
    <n v="31"/>
    <x v="0"/>
    <n v="1"/>
    <s v="Travel_Frequently"/>
    <n v="561"/>
    <x v="1"/>
    <n v="3"/>
    <n v="3"/>
    <x v="0"/>
    <n v="1"/>
    <n v="1537"/>
    <n v="4"/>
    <x v="0"/>
    <n v="33"/>
    <n v="3"/>
    <x v="1"/>
    <x v="1"/>
    <n v="3"/>
    <x v="0"/>
    <n v="4084"/>
    <n v="4156"/>
    <n v="1"/>
    <s v="Y"/>
    <x v="1"/>
    <n v="12"/>
    <n v="3"/>
    <n v="1"/>
    <n v="80"/>
    <n v="0"/>
    <n v="7"/>
    <n v="2"/>
    <n v="1"/>
    <x v="5"/>
    <n v="2"/>
    <n v="7"/>
    <n v="7"/>
  </r>
  <r>
    <n v="50"/>
    <x v="1"/>
    <n v="0"/>
    <s v="Travel_Frequently"/>
    <n v="333"/>
    <x v="1"/>
    <n v="22"/>
    <n v="5"/>
    <x v="2"/>
    <n v="1"/>
    <n v="1539"/>
    <n v="3"/>
    <x v="1"/>
    <n v="88"/>
    <n v="1"/>
    <x v="3"/>
    <x v="7"/>
    <n v="4"/>
    <x v="0"/>
    <n v="14411"/>
    <n v="24450"/>
    <n v="1"/>
    <s v="Y"/>
    <x v="0"/>
    <n v="13"/>
    <n v="3"/>
    <n v="4"/>
    <n v="80"/>
    <n v="0"/>
    <n v="32"/>
    <n v="2"/>
    <n v="3"/>
    <x v="32"/>
    <n v="6"/>
    <n v="13"/>
    <n v="9"/>
  </r>
  <r>
    <n v="34"/>
    <x v="1"/>
    <n v="0"/>
    <s v="Travel_Rarely"/>
    <n v="1440"/>
    <x v="0"/>
    <n v="7"/>
    <n v="2"/>
    <x v="4"/>
    <n v="1"/>
    <n v="1541"/>
    <n v="2"/>
    <x v="1"/>
    <n v="55"/>
    <n v="3"/>
    <x v="1"/>
    <x v="6"/>
    <n v="3"/>
    <x v="1"/>
    <n v="2308"/>
    <n v="4944"/>
    <n v="0"/>
    <s v="Y"/>
    <x v="0"/>
    <n v="25"/>
    <n v="4"/>
    <n v="2"/>
    <n v="80"/>
    <n v="1"/>
    <n v="12"/>
    <n v="4"/>
    <n v="3"/>
    <x v="19"/>
    <n v="10"/>
    <n v="5"/>
    <n v="7"/>
  </r>
  <r>
    <n v="42"/>
    <x v="1"/>
    <n v="0"/>
    <s v="Travel_Rarely"/>
    <n v="1210"/>
    <x v="1"/>
    <n v="2"/>
    <n v="3"/>
    <x v="2"/>
    <n v="1"/>
    <n v="1542"/>
    <n v="3"/>
    <x v="1"/>
    <n v="68"/>
    <n v="2"/>
    <x v="1"/>
    <x v="2"/>
    <n v="2"/>
    <x v="1"/>
    <n v="4841"/>
    <n v="24052"/>
    <n v="4"/>
    <s v="Y"/>
    <x v="1"/>
    <n v="14"/>
    <n v="3"/>
    <n v="2"/>
    <n v="80"/>
    <n v="1"/>
    <n v="4"/>
    <n v="3"/>
    <n v="3"/>
    <x v="6"/>
    <n v="0"/>
    <n v="0"/>
    <n v="0"/>
  </r>
  <r>
    <n v="37"/>
    <x v="1"/>
    <n v="0"/>
    <s v="Travel_Rarely"/>
    <n v="674"/>
    <x v="1"/>
    <n v="13"/>
    <n v="3"/>
    <x v="2"/>
    <n v="1"/>
    <n v="1543"/>
    <n v="1"/>
    <x v="1"/>
    <n v="47"/>
    <n v="3"/>
    <x v="0"/>
    <x v="1"/>
    <n v="4"/>
    <x v="1"/>
    <n v="4285"/>
    <n v="3031"/>
    <n v="1"/>
    <s v="Y"/>
    <x v="1"/>
    <n v="17"/>
    <n v="3"/>
    <n v="1"/>
    <n v="80"/>
    <n v="0"/>
    <n v="10"/>
    <n v="2"/>
    <n v="3"/>
    <x v="1"/>
    <n v="8"/>
    <n v="3"/>
    <n v="7"/>
  </r>
  <r>
    <n v="29"/>
    <x v="1"/>
    <n v="0"/>
    <s v="Travel_Rarely"/>
    <n v="441"/>
    <x v="1"/>
    <n v="8"/>
    <n v="1"/>
    <x v="1"/>
    <n v="1"/>
    <n v="1544"/>
    <n v="3"/>
    <x v="0"/>
    <n v="39"/>
    <n v="1"/>
    <x v="0"/>
    <x v="4"/>
    <n v="1"/>
    <x v="1"/>
    <n v="9715"/>
    <n v="7288"/>
    <n v="3"/>
    <s v="Y"/>
    <x v="1"/>
    <n v="13"/>
    <n v="3"/>
    <n v="3"/>
    <n v="80"/>
    <n v="1"/>
    <n v="9"/>
    <n v="3"/>
    <n v="3"/>
    <x v="5"/>
    <n v="7"/>
    <n v="0"/>
    <n v="7"/>
  </r>
  <r>
    <n v="33"/>
    <x v="1"/>
    <n v="0"/>
    <s v="Travel_Rarely"/>
    <n v="575"/>
    <x v="1"/>
    <n v="25"/>
    <n v="3"/>
    <x v="0"/>
    <n v="1"/>
    <n v="1545"/>
    <n v="4"/>
    <x v="1"/>
    <n v="44"/>
    <n v="2"/>
    <x v="0"/>
    <x v="3"/>
    <n v="2"/>
    <x v="0"/>
    <n v="4320"/>
    <n v="24152"/>
    <n v="1"/>
    <s v="Y"/>
    <x v="1"/>
    <n v="13"/>
    <n v="3"/>
    <n v="4"/>
    <n v="80"/>
    <n v="0"/>
    <n v="5"/>
    <n v="2"/>
    <n v="3"/>
    <x v="8"/>
    <n v="3"/>
    <n v="0"/>
    <n v="2"/>
  </r>
  <r>
    <n v="45"/>
    <x v="1"/>
    <n v="0"/>
    <s v="Travel_Rarely"/>
    <n v="950"/>
    <x v="1"/>
    <n v="28"/>
    <n v="3"/>
    <x v="4"/>
    <n v="1"/>
    <n v="1546"/>
    <n v="4"/>
    <x v="1"/>
    <n v="97"/>
    <n v="3"/>
    <x v="1"/>
    <x v="1"/>
    <n v="4"/>
    <x v="1"/>
    <n v="2132"/>
    <n v="4585"/>
    <n v="4"/>
    <s v="Y"/>
    <x v="1"/>
    <n v="20"/>
    <n v="4"/>
    <n v="4"/>
    <n v="80"/>
    <n v="1"/>
    <n v="8"/>
    <n v="3"/>
    <n v="3"/>
    <x v="8"/>
    <n v="4"/>
    <n v="0"/>
    <n v="3"/>
  </r>
  <r>
    <n v="42"/>
    <x v="1"/>
    <n v="0"/>
    <s v="Travel_Frequently"/>
    <n v="288"/>
    <x v="1"/>
    <n v="2"/>
    <n v="3"/>
    <x v="0"/>
    <n v="1"/>
    <n v="1547"/>
    <n v="4"/>
    <x v="1"/>
    <n v="40"/>
    <n v="3"/>
    <x v="2"/>
    <x v="4"/>
    <n v="4"/>
    <x v="1"/>
    <n v="10124"/>
    <n v="18611"/>
    <n v="2"/>
    <s v="Y"/>
    <x v="0"/>
    <n v="14"/>
    <n v="3"/>
    <n v="3"/>
    <n v="80"/>
    <n v="1"/>
    <n v="24"/>
    <n v="3"/>
    <n v="1"/>
    <x v="23"/>
    <n v="8"/>
    <n v="13"/>
    <n v="9"/>
  </r>
  <r>
    <n v="40"/>
    <x v="1"/>
    <n v="0"/>
    <s v="Travel_Rarely"/>
    <n v="1342"/>
    <x v="0"/>
    <n v="9"/>
    <n v="2"/>
    <x v="2"/>
    <n v="1"/>
    <n v="1548"/>
    <n v="1"/>
    <x v="1"/>
    <n v="47"/>
    <n v="3"/>
    <x v="0"/>
    <x v="0"/>
    <n v="1"/>
    <x v="1"/>
    <n v="5473"/>
    <n v="19345"/>
    <n v="0"/>
    <s v="Y"/>
    <x v="1"/>
    <n v="12"/>
    <n v="3"/>
    <n v="4"/>
    <n v="80"/>
    <n v="0"/>
    <n v="9"/>
    <n v="5"/>
    <n v="4"/>
    <x v="3"/>
    <n v="4"/>
    <n v="7"/>
    <n v="1"/>
  </r>
  <r>
    <n v="33"/>
    <x v="1"/>
    <n v="0"/>
    <s v="Travel_Rarely"/>
    <n v="589"/>
    <x v="1"/>
    <n v="28"/>
    <n v="4"/>
    <x v="0"/>
    <n v="1"/>
    <n v="1549"/>
    <n v="2"/>
    <x v="1"/>
    <n v="79"/>
    <n v="3"/>
    <x v="0"/>
    <x v="2"/>
    <n v="3"/>
    <x v="1"/>
    <n v="5207"/>
    <n v="22949"/>
    <n v="1"/>
    <s v="Y"/>
    <x v="0"/>
    <n v="12"/>
    <n v="3"/>
    <n v="2"/>
    <n v="80"/>
    <n v="1"/>
    <n v="15"/>
    <n v="3"/>
    <n v="3"/>
    <x v="15"/>
    <n v="14"/>
    <n v="5"/>
    <n v="7"/>
  </r>
  <r>
    <n v="40"/>
    <x v="1"/>
    <n v="0"/>
    <s v="Travel_Rarely"/>
    <n v="898"/>
    <x v="2"/>
    <n v="6"/>
    <n v="2"/>
    <x v="2"/>
    <n v="1"/>
    <n v="1550"/>
    <n v="3"/>
    <x v="1"/>
    <n v="38"/>
    <n v="3"/>
    <x v="3"/>
    <x v="5"/>
    <n v="4"/>
    <x v="0"/>
    <n v="16437"/>
    <n v="17381"/>
    <n v="1"/>
    <s v="Y"/>
    <x v="0"/>
    <n v="21"/>
    <n v="4"/>
    <n v="4"/>
    <n v="80"/>
    <n v="0"/>
    <n v="21"/>
    <n v="2"/>
    <n v="3"/>
    <x v="17"/>
    <n v="7"/>
    <n v="7"/>
    <n v="7"/>
  </r>
  <r>
    <n v="24"/>
    <x v="1"/>
    <n v="0"/>
    <s v="Travel_Rarely"/>
    <n v="350"/>
    <x v="1"/>
    <n v="21"/>
    <n v="2"/>
    <x v="4"/>
    <n v="1"/>
    <n v="1551"/>
    <n v="3"/>
    <x v="1"/>
    <n v="57"/>
    <n v="2"/>
    <x v="1"/>
    <x v="2"/>
    <n v="1"/>
    <x v="2"/>
    <n v="2296"/>
    <n v="10036"/>
    <n v="0"/>
    <s v="Y"/>
    <x v="1"/>
    <n v="14"/>
    <n v="3"/>
    <n v="2"/>
    <n v="80"/>
    <n v="3"/>
    <n v="2"/>
    <n v="3"/>
    <n v="3"/>
    <x v="6"/>
    <n v="1"/>
    <n v="0"/>
    <n v="0"/>
  </r>
  <r>
    <n v="40"/>
    <x v="1"/>
    <n v="0"/>
    <s v="Non-Travel"/>
    <n v="1142"/>
    <x v="1"/>
    <n v="8"/>
    <n v="2"/>
    <x v="0"/>
    <n v="1"/>
    <n v="1552"/>
    <n v="4"/>
    <x v="1"/>
    <n v="72"/>
    <n v="3"/>
    <x v="0"/>
    <x v="4"/>
    <n v="4"/>
    <x v="2"/>
    <n v="4069"/>
    <n v="8841"/>
    <n v="3"/>
    <s v="Y"/>
    <x v="0"/>
    <n v="18"/>
    <n v="3"/>
    <n v="3"/>
    <n v="80"/>
    <n v="0"/>
    <n v="8"/>
    <n v="2"/>
    <n v="3"/>
    <x v="4"/>
    <n v="2"/>
    <n v="2"/>
    <n v="2"/>
  </r>
  <r>
    <n v="45"/>
    <x v="1"/>
    <n v="0"/>
    <s v="Travel_Rarely"/>
    <n v="538"/>
    <x v="1"/>
    <n v="1"/>
    <n v="4"/>
    <x v="4"/>
    <n v="1"/>
    <n v="1553"/>
    <n v="1"/>
    <x v="1"/>
    <n v="66"/>
    <n v="3"/>
    <x v="2"/>
    <x v="4"/>
    <n v="2"/>
    <x v="2"/>
    <n v="7441"/>
    <n v="20933"/>
    <n v="1"/>
    <s v="Y"/>
    <x v="1"/>
    <n v="12"/>
    <n v="3"/>
    <n v="1"/>
    <n v="80"/>
    <n v="3"/>
    <n v="10"/>
    <n v="4"/>
    <n v="3"/>
    <x v="1"/>
    <n v="8"/>
    <n v="7"/>
    <n v="7"/>
  </r>
  <r>
    <n v="35"/>
    <x v="1"/>
    <n v="0"/>
    <s v="Travel_Rarely"/>
    <n v="1402"/>
    <x v="0"/>
    <n v="28"/>
    <n v="4"/>
    <x v="0"/>
    <n v="1"/>
    <n v="1554"/>
    <n v="2"/>
    <x v="0"/>
    <n v="98"/>
    <n v="2"/>
    <x v="1"/>
    <x v="6"/>
    <n v="3"/>
    <x v="1"/>
    <n v="2430"/>
    <n v="26204"/>
    <n v="0"/>
    <s v="Y"/>
    <x v="1"/>
    <n v="23"/>
    <n v="4"/>
    <n v="1"/>
    <n v="80"/>
    <n v="2"/>
    <n v="6"/>
    <n v="5"/>
    <n v="3"/>
    <x v="8"/>
    <n v="3"/>
    <n v="4"/>
    <n v="2"/>
  </r>
  <r>
    <n v="32"/>
    <x v="1"/>
    <n v="0"/>
    <s v="Travel_Rarely"/>
    <n v="824"/>
    <x v="1"/>
    <n v="5"/>
    <n v="2"/>
    <x v="0"/>
    <n v="1"/>
    <n v="1555"/>
    <n v="4"/>
    <x v="0"/>
    <n v="67"/>
    <n v="2"/>
    <x v="0"/>
    <x v="1"/>
    <n v="2"/>
    <x v="1"/>
    <n v="5878"/>
    <n v="15624"/>
    <n v="3"/>
    <s v="Y"/>
    <x v="1"/>
    <n v="12"/>
    <n v="3"/>
    <n v="1"/>
    <n v="80"/>
    <n v="1"/>
    <n v="12"/>
    <n v="2"/>
    <n v="3"/>
    <x v="5"/>
    <n v="1"/>
    <n v="2"/>
    <n v="5"/>
  </r>
  <r>
    <n v="36"/>
    <x v="1"/>
    <n v="0"/>
    <s v="Travel_Rarely"/>
    <n v="1157"/>
    <x v="0"/>
    <n v="2"/>
    <n v="4"/>
    <x v="0"/>
    <n v="1"/>
    <n v="1556"/>
    <n v="3"/>
    <x v="1"/>
    <n v="70"/>
    <n v="3"/>
    <x v="1"/>
    <x v="6"/>
    <n v="4"/>
    <x v="0"/>
    <n v="2644"/>
    <n v="17001"/>
    <n v="3"/>
    <s v="Y"/>
    <x v="0"/>
    <n v="21"/>
    <n v="4"/>
    <n v="4"/>
    <n v="80"/>
    <n v="0"/>
    <n v="7"/>
    <n v="3"/>
    <n v="2"/>
    <x v="11"/>
    <n v="2"/>
    <n v="1"/>
    <n v="2"/>
  </r>
  <r>
    <n v="48"/>
    <x v="1"/>
    <n v="0"/>
    <s v="Travel_Rarely"/>
    <n v="492"/>
    <x v="0"/>
    <n v="16"/>
    <n v="4"/>
    <x v="0"/>
    <n v="1"/>
    <n v="1557"/>
    <n v="3"/>
    <x v="0"/>
    <n v="96"/>
    <n v="3"/>
    <x v="0"/>
    <x v="0"/>
    <n v="3"/>
    <x v="2"/>
    <n v="6439"/>
    <n v="13693"/>
    <n v="8"/>
    <s v="Y"/>
    <x v="1"/>
    <n v="14"/>
    <n v="3"/>
    <n v="3"/>
    <n v="80"/>
    <n v="1"/>
    <n v="18"/>
    <n v="2"/>
    <n v="3"/>
    <x v="3"/>
    <n v="7"/>
    <n v="7"/>
    <n v="7"/>
  </r>
  <r>
    <n v="29"/>
    <x v="1"/>
    <n v="0"/>
    <s v="Travel_Rarely"/>
    <n v="598"/>
    <x v="1"/>
    <n v="9"/>
    <n v="3"/>
    <x v="0"/>
    <n v="1"/>
    <n v="1558"/>
    <n v="3"/>
    <x v="1"/>
    <n v="91"/>
    <n v="4"/>
    <x v="1"/>
    <x v="1"/>
    <n v="3"/>
    <x v="1"/>
    <n v="2451"/>
    <n v="22376"/>
    <n v="6"/>
    <s v="Y"/>
    <x v="1"/>
    <n v="18"/>
    <n v="3"/>
    <n v="1"/>
    <n v="80"/>
    <n v="2"/>
    <n v="5"/>
    <n v="2"/>
    <n v="2"/>
    <x v="6"/>
    <n v="0"/>
    <n v="0"/>
    <n v="0"/>
  </r>
  <r>
    <n v="33"/>
    <x v="1"/>
    <n v="0"/>
    <s v="Travel_Rarely"/>
    <n v="1242"/>
    <x v="0"/>
    <n v="8"/>
    <n v="4"/>
    <x v="0"/>
    <n v="1"/>
    <n v="1560"/>
    <n v="1"/>
    <x v="1"/>
    <n v="46"/>
    <n v="3"/>
    <x v="0"/>
    <x v="0"/>
    <n v="1"/>
    <x v="1"/>
    <n v="6392"/>
    <n v="10589"/>
    <n v="2"/>
    <s v="Y"/>
    <x v="1"/>
    <n v="13"/>
    <n v="3"/>
    <n v="4"/>
    <n v="80"/>
    <n v="1"/>
    <n v="8"/>
    <n v="6"/>
    <n v="1"/>
    <x v="4"/>
    <n v="2"/>
    <n v="2"/>
    <n v="2"/>
  </r>
  <r>
    <n v="30"/>
    <x v="0"/>
    <n v="1"/>
    <s v="Travel_Rarely"/>
    <n v="740"/>
    <x v="0"/>
    <n v="1"/>
    <n v="3"/>
    <x v="0"/>
    <n v="1"/>
    <n v="1562"/>
    <n v="2"/>
    <x v="1"/>
    <n v="64"/>
    <n v="2"/>
    <x v="0"/>
    <x v="0"/>
    <n v="1"/>
    <x v="1"/>
    <n v="9714"/>
    <n v="5323"/>
    <n v="1"/>
    <s v="Y"/>
    <x v="1"/>
    <n v="11"/>
    <n v="3"/>
    <n v="4"/>
    <n v="80"/>
    <n v="1"/>
    <n v="10"/>
    <n v="4"/>
    <n v="3"/>
    <x v="1"/>
    <n v="8"/>
    <n v="6"/>
    <n v="7"/>
  </r>
  <r>
    <n v="38"/>
    <x v="1"/>
    <n v="0"/>
    <s v="Travel_Frequently"/>
    <n v="888"/>
    <x v="2"/>
    <n v="10"/>
    <n v="4"/>
    <x v="5"/>
    <n v="1"/>
    <n v="1563"/>
    <n v="3"/>
    <x v="1"/>
    <n v="71"/>
    <n v="3"/>
    <x v="0"/>
    <x v="8"/>
    <n v="3"/>
    <x v="1"/>
    <n v="6077"/>
    <n v="14814"/>
    <n v="3"/>
    <s v="Y"/>
    <x v="1"/>
    <n v="11"/>
    <n v="3"/>
    <n v="3"/>
    <n v="80"/>
    <n v="0"/>
    <n v="10"/>
    <n v="2"/>
    <n v="3"/>
    <x v="0"/>
    <n v="3"/>
    <n v="1"/>
    <n v="2"/>
  </r>
  <r>
    <n v="35"/>
    <x v="1"/>
    <n v="0"/>
    <s v="Travel_Rarely"/>
    <n v="992"/>
    <x v="1"/>
    <n v="1"/>
    <n v="3"/>
    <x v="2"/>
    <n v="1"/>
    <n v="1564"/>
    <n v="4"/>
    <x v="1"/>
    <n v="68"/>
    <n v="2"/>
    <x v="1"/>
    <x v="2"/>
    <n v="1"/>
    <x v="0"/>
    <n v="2450"/>
    <n v="21731"/>
    <n v="1"/>
    <s v="Y"/>
    <x v="1"/>
    <n v="19"/>
    <n v="3"/>
    <n v="2"/>
    <n v="80"/>
    <n v="0"/>
    <n v="3"/>
    <n v="3"/>
    <n v="3"/>
    <x v="11"/>
    <n v="0"/>
    <n v="1"/>
    <n v="2"/>
  </r>
  <r>
    <n v="30"/>
    <x v="1"/>
    <n v="0"/>
    <s v="Travel_Rarely"/>
    <n v="1288"/>
    <x v="0"/>
    <n v="29"/>
    <n v="4"/>
    <x v="4"/>
    <n v="1"/>
    <n v="1568"/>
    <n v="3"/>
    <x v="1"/>
    <n v="33"/>
    <n v="3"/>
    <x v="2"/>
    <x v="0"/>
    <n v="2"/>
    <x v="1"/>
    <n v="9250"/>
    <n v="17799"/>
    <n v="3"/>
    <s v="Y"/>
    <x v="1"/>
    <n v="12"/>
    <n v="3"/>
    <n v="2"/>
    <n v="80"/>
    <n v="1"/>
    <n v="9"/>
    <n v="3"/>
    <n v="3"/>
    <x v="9"/>
    <n v="2"/>
    <n v="1"/>
    <n v="3"/>
  </r>
  <r>
    <n v="35"/>
    <x v="0"/>
    <n v="1"/>
    <s v="Travel_Rarely"/>
    <n v="104"/>
    <x v="1"/>
    <n v="2"/>
    <n v="3"/>
    <x v="0"/>
    <n v="1"/>
    <n v="1569"/>
    <n v="1"/>
    <x v="0"/>
    <n v="69"/>
    <n v="3"/>
    <x v="1"/>
    <x v="2"/>
    <n v="1"/>
    <x v="2"/>
    <n v="2074"/>
    <n v="26619"/>
    <n v="1"/>
    <s v="Y"/>
    <x v="0"/>
    <n v="12"/>
    <n v="3"/>
    <n v="4"/>
    <n v="80"/>
    <n v="1"/>
    <n v="1"/>
    <n v="2"/>
    <n v="3"/>
    <x v="6"/>
    <n v="0"/>
    <n v="0"/>
    <n v="0"/>
  </r>
  <r>
    <n v="53"/>
    <x v="0"/>
    <n v="1"/>
    <s v="Travel_Rarely"/>
    <n v="607"/>
    <x v="1"/>
    <n v="2"/>
    <n v="5"/>
    <x v="4"/>
    <n v="1"/>
    <n v="1572"/>
    <n v="3"/>
    <x v="0"/>
    <n v="78"/>
    <n v="2"/>
    <x v="2"/>
    <x v="3"/>
    <n v="4"/>
    <x v="1"/>
    <n v="10169"/>
    <n v="14618"/>
    <n v="0"/>
    <s v="Y"/>
    <x v="1"/>
    <n v="16"/>
    <n v="3"/>
    <n v="2"/>
    <n v="80"/>
    <n v="1"/>
    <n v="34"/>
    <n v="4"/>
    <n v="3"/>
    <x v="26"/>
    <n v="7"/>
    <n v="1"/>
    <n v="9"/>
  </r>
  <r>
    <n v="38"/>
    <x v="0"/>
    <n v="1"/>
    <s v="Travel_Rarely"/>
    <n v="903"/>
    <x v="1"/>
    <n v="2"/>
    <n v="3"/>
    <x v="2"/>
    <n v="1"/>
    <n v="1573"/>
    <n v="3"/>
    <x v="1"/>
    <n v="81"/>
    <n v="3"/>
    <x v="0"/>
    <x v="3"/>
    <n v="2"/>
    <x v="1"/>
    <n v="4855"/>
    <n v="7653"/>
    <n v="4"/>
    <s v="Y"/>
    <x v="1"/>
    <n v="11"/>
    <n v="3"/>
    <n v="1"/>
    <n v="80"/>
    <n v="2"/>
    <n v="7"/>
    <n v="2"/>
    <n v="3"/>
    <x v="8"/>
    <n v="2"/>
    <n v="1"/>
    <n v="4"/>
  </r>
  <r>
    <n v="32"/>
    <x v="1"/>
    <n v="0"/>
    <s v="Non-Travel"/>
    <n v="1200"/>
    <x v="1"/>
    <n v="1"/>
    <n v="4"/>
    <x v="4"/>
    <n v="1"/>
    <n v="1574"/>
    <n v="4"/>
    <x v="1"/>
    <n v="62"/>
    <n v="3"/>
    <x v="0"/>
    <x v="1"/>
    <n v="1"/>
    <x v="1"/>
    <n v="4087"/>
    <n v="25174"/>
    <n v="4"/>
    <s v="Y"/>
    <x v="1"/>
    <n v="14"/>
    <n v="3"/>
    <n v="2"/>
    <n v="80"/>
    <n v="1"/>
    <n v="9"/>
    <n v="3"/>
    <n v="2"/>
    <x v="0"/>
    <n v="5"/>
    <n v="1"/>
    <n v="2"/>
  </r>
  <r>
    <n v="48"/>
    <x v="1"/>
    <n v="0"/>
    <s v="Travel_Rarely"/>
    <n v="1108"/>
    <x v="1"/>
    <n v="15"/>
    <n v="4"/>
    <x v="1"/>
    <n v="1"/>
    <n v="1576"/>
    <n v="3"/>
    <x v="0"/>
    <n v="65"/>
    <n v="3"/>
    <x v="1"/>
    <x v="1"/>
    <n v="1"/>
    <x v="1"/>
    <n v="2367"/>
    <n v="16530"/>
    <n v="8"/>
    <s v="Y"/>
    <x v="1"/>
    <n v="12"/>
    <n v="3"/>
    <n v="4"/>
    <n v="80"/>
    <n v="1"/>
    <n v="10"/>
    <n v="3"/>
    <n v="2"/>
    <x v="3"/>
    <n v="2"/>
    <n v="7"/>
    <n v="6"/>
  </r>
  <r>
    <n v="34"/>
    <x v="1"/>
    <n v="0"/>
    <s v="Travel_Rarely"/>
    <n v="479"/>
    <x v="1"/>
    <n v="7"/>
    <n v="4"/>
    <x v="2"/>
    <n v="1"/>
    <n v="1577"/>
    <n v="1"/>
    <x v="1"/>
    <n v="35"/>
    <n v="3"/>
    <x v="1"/>
    <x v="1"/>
    <n v="4"/>
    <x v="0"/>
    <n v="2972"/>
    <n v="22061"/>
    <n v="1"/>
    <s v="Y"/>
    <x v="1"/>
    <n v="13"/>
    <n v="3"/>
    <n v="3"/>
    <n v="80"/>
    <n v="0"/>
    <n v="1"/>
    <n v="4"/>
    <n v="1"/>
    <x v="6"/>
    <n v="0"/>
    <n v="0"/>
    <n v="0"/>
  </r>
  <r>
    <n v="55"/>
    <x v="1"/>
    <n v="0"/>
    <s v="Travel_Rarely"/>
    <n v="685"/>
    <x v="0"/>
    <n v="26"/>
    <n v="5"/>
    <x v="3"/>
    <n v="1"/>
    <n v="1578"/>
    <n v="3"/>
    <x v="1"/>
    <n v="60"/>
    <n v="2"/>
    <x v="4"/>
    <x v="5"/>
    <n v="4"/>
    <x v="1"/>
    <n v="19586"/>
    <n v="23037"/>
    <n v="1"/>
    <s v="Y"/>
    <x v="1"/>
    <n v="21"/>
    <n v="4"/>
    <n v="3"/>
    <n v="80"/>
    <n v="1"/>
    <n v="36"/>
    <n v="3"/>
    <n v="3"/>
    <x v="28"/>
    <n v="6"/>
    <n v="2"/>
    <n v="13"/>
  </r>
  <r>
    <n v="34"/>
    <x v="1"/>
    <n v="0"/>
    <s v="Travel_Rarely"/>
    <n v="1351"/>
    <x v="1"/>
    <n v="1"/>
    <n v="4"/>
    <x v="0"/>
    <n v="1"/>
    <n v="1580"/>
    <n v="2"/>
    <x v="1"/>
    <n v="45"/>
    <n v="3"/>
    <x v="0"/>
    <x v="1"/>
    <n v="4"/>
    <x v="1"/>
    <n v="5484"/>
    <n v="13008"/>
    <n v="9"/>
    <s v="Y"/>
    <x v="1"/>
    <n v="17"/>
    <n v="3"/>
    <n v="2"/>
    <n v="80"/>
    <n v="1"/>
    <n v="9"/>
    <n v="3"/>
    <n v="2"/>
    <x v="4"/>
    <n v="2"/>
    <n v="2"/>
    <n v="1"/>
  </r>
  <r>
    <n v="26"/>
    <x v="1"/>
    <n v="0"/>
    <s v="Travel_Rarely"/>
    <n v="474"/>
    <x v="1"/>
    <n v="3"/>
    <n v="3"/>
    <x v="0"/>
    <n v="1"/>
    <n v="1581"/>
    <n v="1"/>
    <x v="0"/>
    <n v="89"/>
    <n v="3"/>
    <x v="1"/>
    <x v="1"/>
    <n v="4"/>
    <x v="1"/>
    <n v="2061"/>
    <n v="11133"/>
    <n v="1"/>
    <s v="Y"/>
    <x v="1"/>
    <n v="21"/>
    <n v="4"/>
    <n v="1"/>
    <n v="80"/>
    <n v="0"/>
    <n v="1"/>
    <n v="5"/>
    <n v="3"/>
    <x v="6"/>
    <n v="0"/>
    <n v="0"/>
    <n v="0"/>
  </r>
  <r>
    <n v="38"/>
    <x v="1"/>
    <n v="0"/>
    <s v="Travel_Rarely"/>
    <n v="1245"/>
    <x v="0"/>
    <n v="14"/>
    <n v="3"/>
    <x v="0"/>
    <n v="1"/>
    <n v="1582"/>
    <n v="3"/>
    <x v="1"/>
    <n v="80"/>
    <n v="3"/>
    <x v="0"/>
    <x v="0"/>
    <n v="2"/>
    <x v="1"/>
    <n v="9924"/>
    <n v="12355"/>
    <n v="0"/>
    <s v="Y"/>
    <x v="1"/>
    <n v="11"/>
    <n v="3"/>
    <n v="4"/>
    <n v="80"/>
    <n v="1"/>
    <n v="10"/>
    <n v="3"/>
    <n v="3"/>
    <x v="7"/>
    <n v="8"/>
    <n v="7"/>
    <n v="7"/>
  </r>
  <r>
    <n v="38"/>
    <x v="1"/>
    <n v="0"/>
    <s v="Travel_Rarely"/>
    <n v="437"/>
    <x v="0"/>
    <n v="16"/>
    <n v="3"/>
    <x v="0"/>
    <n v="1"/>
    <n v="1583"/>
    <n v="2"/>
    <x v="0"/>
    <n v="90"/>
    <n v="3"/>
    <x v="0"/>
    <x v="0"/>
    <n v="2"/>
    <x v="0"/>
    <n v="4198"/>
    <n v="16379"/>
    <n v="2"/>
    <s v="Y"/>
    <x v="1"/>
    <n v="12"/>
    <n v="3"/>
    <n v="2"/>
    <n v="80"/>
    <n v="0"/>
    <n v="8"/>
    <n v="5"/>
    <n v="4"/>
    <x v="11"/>
    <n v="2"/>
    <n v="1"/>
    <n v="2"/>
  </r>
  <r>
    <n v="36"/>
    <x v="1"/>
    <n v="0"/>
    <s v="Travel_Rarely"/>
    <n v="884"/>
    <x v="0"/>
    <n v="1"/>
    <n v="4"/>
    <x v="0"/>
    <n v="1"/>
    <n v="1585"/>
    <n v="2"/>
    <x v="0"/>
    <n v="73"/>
    <n v="3"/>
    <x v="0"/>
    <x v="0"/>
    <n v="3"/>
    <x v="0"/>
    <n v="6815"/>
    <n v="21447"/>
    <n v="6"/>
    <s v="Y"/>
    <x v="1"/>
    <n v="13"/>
    <n v="3"/>
    <n v="1"/>
    <n v="80"/>
    <n v="0"/>
    <n v="15"/>
    <n v="5"/>
    <n v="3"/>
    <x v="6"/>
    <n v="0"/>
    <n v="0"/>
    <n v="0"/>
  </r>
  <r>
    <n v="29"/>
    <x v="1"/>
    <n v="0"/>
    <s v="Travel_Rarely"/>
    <n v="1370"/>
    <x v="1"/>
    <n v="3"/>
    <n v="1"/>
    <x v="2"/>
    <n v="1"/>
    <n v="1586"/>
    <n v="2"/>
    <x v="1"/>
    <n v="87"/>
    <n v="3"/>
    <x v="1"/>
    <x v="2"/>
    <n v="1"/>
    <x v="0"/>
    <n v="4723"/>
    <n v="16213"/>
    <n v="1"/>
    <s v="Y"/>
    <x v="0"/>
    <n v="18"/>
    <n v="3"/>
    <n v="4"/>
    <n v="80"/>
    <n v="0"/>
    <n v="10"/>
    <n v="3"/>
    <n v="3"/>
    <x v="1"/>
    <n v="9"/>
    <n v="1"/>
    <n v="5"/>
  </r>
  <r>
    <n v="35"/>
    <x v="1"/>
    <n v="0"/>
    <s v="Travel_Rarely"/>
    <n v="670"/>
    <x v="1"/>
    <n v="10"/>
    <n v="4"/>
    <x v="2"/>
    <n v="1"/>
    <n v="1587"/>
    <n v="1"/>
    <x v="0"/>
    <n v="51"/>
    <n v="3"/>
    <x v="0"/>
    <x v="4"/>
    <n v="3"/>
    <x v="0"/>
    <n v="6142"/>
    <n v="4223"/>
    <n v="3"/>
    <s v="Y"/>
    <x v="0"/>
    <n v="16"/>
    <n v="3"/>
    <n v="3"/>
    <n v="80"/>
    <n v="0"/>
    <n v="10"/>
    <n v="4"/>
    <n v="3"/>
    <x v="8"/>
    <n v="2"/>
    <n v="0"/>
    <n v="4"/>
  </r>
  <r>
    <n v="39"/>
    <x v="1"/>
    <n v="0"/>
    <s v="Travel_Rarely"/>
    <n v="1462"/>
    <x v="0"/>
    <n v="6"/>
    <n v="3"/>
    <x v="2"/>
    <n v="1"/>
    <n v="1588"/>
    <n v="4"/>
    <x v="1"/>
    <n v="38"/>
    <n v="4"/>
    <x v="2"/>
    <x v="0"/>
    <n v="3"/>
    <x v="1"/>
    <n v="8237"/>
    <n v="4658"/>
    <n v="2"/>
    <s v="Y"/>
    <x v="1"/>
    <n v="11"/>
    <n v="3"/>
    <n v="1"/>
    <n v="80"/>
    <n v="1"/>
    <n v="11"/>
    <n v="3"/>
    <n v="3"/>
    <x v="5"/>
    <n v="6"/>
    <n v="7"/>
    <n v="6"/>
  </r>
  <r>
    <n v="29"/>
    <x v="1"/>
    <n v="0"/>
    <s v="Travel_Frequently"/>
    <n v="995"/>
    <x v="1"/>
    <n v="2"/>
    <n v="1"/>
    <x v="0"/>
    <n v="1"/>
    <n v="1590"/>
    <n v="1"/>
    <x v="1"/>
    <n v="87"/>
    <n v="3"/>
    <x v="0"/>
    <x v="4"/>
    <n v="4"/>
    <x v="2"/>
    <n v="8853"/>
    <n v="24483"/>
    <n v="1"/>
    <s v="Y"/>
    <x v="1"/>
    <n v="19"/>
    <n v="3"/>
    <n v="4"/>
    <n v="80"/>
    <n v="1"/>
    <n v="6"/>
    <n v="0"/>
    <n v="4"/>
    <x v="0"/>
    <n v="4"/>
    <n v="1"/>
    <n v="3"/>
  </r>
  <r>
    <n v="50"/>
    <x v="1"/>
    <n v="0"/>
    <s v="Travel_Rarely"/>
    <n v="264"/>
    <x v="0"/>
    <n v="9"/>
    <n v="3"/>
    <x v="3"/>
    <n v="1"/>
    <n v="1591"/>
    <n v="3"/>
    <x v="1"/>
    <n v="59"/>
    <n v="3"/>
    <x v="4"/>
    <x v="5"/>
    <n v="3"/>
    <x v="1"/>
    <n v="19331"/>
    <n v="19519"/>
    <n v="4"/>
    <s v="Y"/>
    <x v="0"/>
    <n v="16"/>
    <n v="3"/>
    <n v="3"/>
    <n v="80"/>
    <n v="1"/>
    <n v="27"/>
    <n v="2"/>
    <n v="3"/>
    <x v="6"/>
    <n v="0"/>
    <n v="0"/>
    <n v="0"/>
  </r>
  <r>
    <n v="23"/>
    <x v="1"/>
    <n v="0"/>
    <s v="Travel_Rarely"/>
    <n v="977"/>
    <x v="1"/>
    <n v="10"/>
    <n v="3"/>
    <x v="4"/>
    <n v="1"/>
    <n v="1592"/>
    <n v="4"/>
    <x v="1"/>
    <n v="45"/>
    <n v="4"/>
    <x v="1"/>
    <x v="1"/>
    <n v="3"/>
    <x v="1"/>
    <n v="2073"/>
    <n v="12826"/>
    <n v="2"/>
    <s v="Y"/>
    <x v="1"/>
    <n v="16"/>
    <n v="3"/>
    <n v="4"/>
    <n v="80"/>
    <n v="1"/>
    <n v="4"/>
    <n v="2"/>
    <n v="3"/>
    <x v="4"/>
    <n v="2"/>
    <n v="2"/>
    <n v="2"/>
  </r>
  <r>
    <n v="36"/>
    <x v="1"/>
    <n v="0"/>
    <s v="Travel_Frequently"/>
    <n v="1302"/>
    <x v="1"/>
    <n v="6"/>
    <n v="4"/>
    <x v="0"/>
    <n v="1"/>
    <n v="1594"/>
    <n v="1"/>
    <x v="1"/>
    <n v="80"/>
    <n v="4"/>
    <x v="0"/>
    <x v="2"/>
    <n v="1"/>
    <x v="1"/>
    <n v="5562"/>
    <n v="19711"/>
    <n v="3"/>
    <s v="Y"/>
    <x v="0"/>
    <n v="13"/>
    <n v="3"/>
    <n v="4"/>
    <n v="80"/>
    <n v="1"/>
    <n v="9"/>
    <n v="3"/>
    <n v="3"/>
    <x v="11"/>
    <n v="2"/>
    <n v="0"/>
    <n v="2"/>
  </r>
  <r>
    <n v="42"/>
    <x v="1"/>
    <n v="0"/>
    <s v="Travel_Rarely"/>
    <n v="1059"/>
    <x v="1"/>
    <n v="9"/>
    <n v="2"/>
    <x v="1"/>
    <n v="1"/>
    <n v="1595"/>
    <n v="4"/>
    <x v="1"/>
    <n v="93"/>
    <n v="2"/>
    <x v="4"/>
    <x v="5"/>
    <n v="4"/>
    <x v="0"/>
    <n v="19613"/>
    <n v="26362"/>
    <n v="8"/>
    <s v="Y"/>
    <x v="1"/>
    <n v="22"/>
    <n v="4"/>
    <n v="4"/>
    <n v="80"/>
    <n v="0"/>
    <n v="24"/>
    <n v="2"/>
    <n v="3"/>
    <x v="6"/>
    <n v="0"/>
    <n v="0"/>
    <n v="1"/>
  </r>
  <r>
    <n v="35"/>
    <x v="1"/>
    <n v="0"/>
    <s v="Travel_Rarely"/>
    <n v="750"/>
    <x v="1"/>
    <n v="28"/>
    <n v="3"/>
    <x v="0"/>
    <n v="1"/>
    <n v="1596"/>
    <n v="2"/>
    <x v="1"/>
    <n v="46"/>
    <n v="4"/>
    <x v="0"/>
    <x v="2"/>
    <n v="3"/>
    <x v="1"/>
    <n v="3407"/>
    <n v="25348"/>
    <n v="1"/>
    <s v="Y"/>
    <x v="1"/>
    <n v="17"/>
    <n v="3"/>
    <n v="4"/>
    <n v="80"/>
    <n v="2"/>
    <n v="10"/>
    <n v="3"/>
    <n v="2"/>
    <x v="1"/>
    <n v="9"/>
    <n v="6"/>
    <n v="8"/>
  </r>
  <r>
    <n v="34"/>
    <x v="1"/>
    <n v="0"/>
    <s v="Travel_Frequently"/>
    <n v="653"/>
    <x v="1"/>
    <n v="10"/>
    <n v="4"/>
    <x v="4"/>
    <n v="1"/>
    <n v="1597"/>
    <n v="4"/>
    <x v="1"/>
    <n v="92"/>
    <n v="2"/>
    <x v="0"/>
    <x v="4"/>
    <n v="3"/>
    <x v="1"/>
    <n v="5063"/>
    <n v="15332"/>
    <n v="1"/>
    <s v="Y"/>
    <x v="1"/>
    <n v="14"/>
    <n v="3"/>
    <n v="2"/>
    <n v="80"/>
    <n v="1"/>
    <n v="8"/>
    <n v="3"/>
    <n v="2"/>
    <x v="3"/>
    <n v="2"/>
    <n v="7"/>
    <n v="7"/>
  </r>
  <r>
    <n v="40"/>
    <x v="1"/>
    <n v="0"/>
    <s v="Travel_Rarely"/>
    <n v="118"/>
    <x v="0"/>
    <n v="14"/>
    <n v="2"/>
    <x v="0"/>
    <n v="1"/>
    <n v="1598"/>
    <n v="4"/>
    <x v="0"/>
    <n v="84"/>
    <n v="3"/>
    <x v="0"/>
    <x v="0"/>
    <n v="1"/>
    <x v="1"/>
    <n v="4639"/>
    <n v="11262"/>
    <n v="1"/>
    <s v="Y"/>
    <x v="1"/>
    <n v="15"/>
    <n v="3"/>
    <n v="3"/>
    <n v="80"/>
    <n v="1"/>
    <n v="5"/>
    <n v="2"/>
    <n v="3"/>
    <x v="8"/>
    <n v="4"/>
    <n v="1"/>
    <n v="2"/>
  </r>
  <r>
    <n v="43"/>
    <x v="1"/>
    <n v="0"/>
    <s v="Travel_Rarely"/>
    <n v="990"/>
    <x v="1"/>
    <n v="27"/>
    <n v="3"/>
    <x v="4"/>
    <n v="1"/>
    <n v="1599"/>
    <n v="4"/>
    <x v="1"/>
    <n v="87"/>
    <n v="4"/>
    <x v="1"/>
    <x v="2"/>
    <n v="2"/>
    <x v="2"/>
    <n v="4876"/>
    <n v="5855"/>
    <n v="5"/>
    <s v="Y"/>
    <x v="1"/>
    <n v="12"/>
    <n v="3"/>
    <n v="3"/>
    <n v="80"/>
    <n v="1"/>
    <n v="8"/>
    <n v="0"/>
    <n v="3"/>
    <x v="0"/>
    <n v="4"/>
    <n v="0"/>
    <n v="2"/>
  </r>
  <r>
    <n v="35"/>
    <x v="1"/>
    <n v="0"/>
    <s v="Travel_Rarely"/>
    <n v="1349"/>
    <x v="1"/>
    <n v="7"/>
    <n v="2"/>
    <x v="0"/>
    <n v="1"/>
    <n v="1601"/>
    <n v="3"/>
    <x v="1"/>
    <n v="63"/>
    <n v="2"/>
    <x v="1"/>
    <x v="2"/>
    <n v="4"/>
    <x v="1"/>
    <n v="2690"/>
    <n v="7713"/>
    <n v="1"/>
    <s v="Y"/>
    <x v="1"/>
    <n v="18"/>
    <n v="3"/>
    <n v="4"/>
    <n v="80"/>
    <n v="1"/>
    <n v="1"/>
    <n v="5"/>
    <n v="2"/>
    <x v="6"/>
    <n v="0"/>
    <n v="0"/>
    <n v="1"/>
  </r>
  <r>
    <n v="46"/>
    <x v="1"/>
    <n v="0"/>
    <s v="Travel_Rarely"/>
    <n v="563"/>
    <x v="0"/>
    <n v="1"/>
    <n v="4"/>
    <x v="0"/>
    <n v="1"/>
    <n v="1602"/>
    <n v="4"/>
    <x v="1"/>
    <n v="56"/>
    <n v="4"/>
    <x v="3"/>
    <x v="5"/>
    <n v="1"/>
    <x v="0"/>
    <n v="17567"/>
    <n v="3156"/>
    <n v="1"/>
    <s v="Y"/>
    <x v="1"/>
    <n v="15"/>
    <n v="3"/>
    <n v="2"/>
    <n v="80"/>
    <n v="0"/>
    <n v="27"/>
    <n v="5"/>
    <n v="1"/>
    <x v="34"/>
    <n v="0"/>
    <n v="0"/>
    <n v="12"/>
  </r>
  <r>
    <n v="28"/>
    <x v="0"/>
    <n v="1"/>
    <s v="Travel_Rarely"/>
    <n v="329"/>
    <x v="1"/>
    <n v="24"/>
    <n v="3"/>
    <x v="2"/>
    <n v="1"/>
    <n v="1604"/>
    <n v="3"/>
    <x v="1"/>
    <n v="51"/>
    <n v="3"/>
    <x v="1"/>
    <x v="2"/>
    <n v="2"/>
    <x v="1"/>
    <n v="2408"/>
    <n v="7324"/>
    <n v="1"/>
    <s v="Y"/>
    <x v="0"/>
    <n v="17"/>
    <n v="3"/>
    <n v="3"/>
    <n v="80"/>
    <n v="3"/>
    <n v="1"/>
    <n v="3"/>
    <n v="3"/>
    <x v="6"/>
    <n v="1"/>
    <n v="0"/>
    <n v="0"/>
  </r>
  <r>
    <n v="22"/>
    <x v="1"/>
    <n v="0"/>
    <s v="Non-Travel"/>
    <n v="457"/>
    <x v="1"/>
    <n v="26"/>
    <n v="2"/>
    <x v="1"/>
    <n v="1"/>
    <n v="1605"/>
    <n v="2"/>
    <x v="0"/>
    <n v="85"/>
    <n v="2"/>
    <x v="1"/>
    <x v="1"/>
    <n v="3"/>
    <x v="1"/>
    <n v="2814"/>
    <n v="10293"/>
    <n v="1"/>
    <s v="Y"/>
    <x v="0"/>
    <n v="14"/>
    <n v="3"/>
    <n v="2"/>
    <n v="80"/>
    <n v="0"/>
    <n v="4"/>
    <n v="2"/>
    <n v="2"/>
    <x v="9"/>
    <n v="2"/>
    <n v="1"/>
    <n v="3"/>
  </r>
  <r>
    <n v="50"/>
    <x v="1"/>
    <n v="0"/>
    <s v="Travel_Frequently"/>
    <n v="1234"/>
    <x v="1"/>
    <n v="20"/>
    <n v="5"/>
    <x v="2"/>
    <n v="1"/>
    <n v="1606"/>
    <n v="2"/>
    <x v="1"/>
    <n v="41"/>
    <n v="3"/>
    <x v="3"/>
    <x v="4"/>
    <n v="3"/>
    <x v="1"/>
    <n v="11245"/>
    <n v="20689"/>
    <n v="2"/>
    <s v="Y"/>
    <x v="0"/>
    <n v="15"/>
    <n v="3"/>
    <n v="3"/>
    <n v="80"/>
    <n v="1"/>
    <n v="32"/>
    <n v="3"/>
    <n v="3"/>
    <x v="35"/>
    <n v="8"/>
    <n v="12"/>
    <n v="13"/>
  </r>
  <r>
    <n v="32"/>
    <x v="1"/>
    <n v="0"/>
    <s v="Travel_Rarely"/>
    <n v="634"/>
    <x v="1"/>
    <n v="5"/>
    <n v="4"/>
    <x v="1"/>
    <n v="1"/>
    <n v="1607"/>
    <n v="2"/>
    <x v="0"/>
    <n v="35"/>
    <n v="4"/>
    <x v="1"/>
    <x v="1"/>
    <n v="4"/>
    <x v="1"/>
    <n v="3312"/>
    <n v="18783"/>
    <n v="3"/>
    <s v="Y"/>
    <x v="1"/>
    <n v="17"/>
    <n v="3"/>
    <n v="4"/>
    <n v="80"/>
    <n v="2"/>
    <n v="6"/>
    <n v="3"/>
    <n v="3"/>
    <x v="11"/>
    <n v="2"/>
    <n v="0"/>
    <n v="2"/>
  </r>
  <r>
    <n v="44"/>
    <x v="1"/>
    <n v="0"/>
    <s v="Travel_Rarely"/>
    <n v="1313"/>
    <x v="1"/>
    <n v="7"/>
    <n v="3"/>
    <x v="2"/>
    <n v="1"/>
    <n v="1608"/>
    <n v="2"/>
    <x v="0"/>
    <n v="31"/>
    <n v="3"/>
    <x v="4"/>
    <x v="7"/>
    <n v="4"/>
    <x v="2"/>
    <n v="19049"/>
    <n v="3549"/>
    <n v="0"/>
    <s v="Y"/>
    <x v="0"/>
    <n v="14"/>
    <n v="3"/>
    <n v="4"/>
    <n v="80"/>
    <n v="1"/>
    <n v="23"/>
    <n v="4"/>
    <n v="2"/>
    <x v="14"/>
    <n v="7"/>
    <n v="1"/>
    <n v="10"/>
  </r>
  <r>
    <n v="30"/>
    <x v="1"/>
    <n v="0"/>
    <s v="Travel_Rarely"/>
    <n v="241"/>
    <x v="1"/>
    <n v="7"/>
    <n v="3"/>
    <x v="2"/>
    <n v="1"/>
    <n v="1609"/>
    <n v="2"/>
    <x v="1"/>
    <n v="48"/>
    <n v="2"/>
    <x v="1"/>
    <x v="1"/>
    <n v="2"/>
    <x v="1"/>
    <n v="2141"/>
    <n v="5348"/>
    <n v="1"/>
    <s v="Y"/>
    <x v="1"/>
    <n v="12"/>
    <n v="3"/>
    <n v="2"/>
    <n v="80"/>
    <n v="1"/>
    <n v="6"/>
    <n v="3"/>
    <n v="2"/>
    <x v="0"/>
    <n v="4"/>
    <n v="1"/>
    <n v="1"/>
  </r>
  <r>
    <n v="45"/>
    <x v="1"/>
    <n v="0"/>
    <s v="Travel_Rarely"/>
    <n v="1015"/>
    <x v="1"/>
    <n v="5"/>
    <n v="5"/>
    <x v="2"/>
    <n v="1"/>
    <n v="1611"/>
    <n v="3"/>
    <x v="0"/>
    <n v="50"/>
    <n v="1"/>
    <x v="0"/>
    <x v="2"/>
    <n v="1"/>
    <x v="0"/>
    <n v="5769"/>
    <n v="23447"/>
    <n v="1"/>
    <s v="Y"/>
    <x v="0"/>
    <n v="14"/>
    <n v="3"/>
    <n v="1"/>
    <n v="80"/>
    <n v="0"/>
    <n v="10"/>
    <n v="3"/>
    <n v="3"/>
    <x v="1"/>
    <n v="7"/>
    <n v="1"/>
    <n v="4"/>
  </r>
  <r>
    <n v="45"/>
    <x v="1"/>
    <n v="0"/>
    <s v="Non-Travel"/>
    <n v="336"/>
    <x v="0"/>
    <n v="26"/>
    <n v="3"/>
    <x v="3"/>
    <n v="1"/>
    <n v="1612"/>
    <n v="1"/>
    <x v="1"/>
    <n v="52"/>
    <n v="2"/>
    <x v="0"/>
    <x v="0"/>
    <n v="1"/>
    <x v="1"/>
    <n v="4385"/>
    <n v="24162"/>
    <n v="1"/>
    <s v="Y"/>
    <x v="1"/>
    <n v="15"/>
    <n v="3"/>
    <n v="1"/>
    <n v="80"/>
    <n v="1"/>
    <n v="10"/>
    <n v="2"/>
    <n v="3"/>
    <x v="1"/>
    <n v="7"/>
    <n v="4"/>
    <n v="5"/>
  </r>
  <r>
    <n v="31"/>
    <x v="1"/>
    <n v="0"/>
    <s v="Travel_Frequently"/>
    <n v="715"/>
    <x v="0"/>
    <n v="2"/>
    <n v="4"/>
    <x v="1"/>
    <n v="1"/>
    <n v="1613"/>
    <n v="4"/>
    <x v="1"/>
    <n v="54"/>
    <n v="3"/>
    <x v="0"/>
    <x v="0"/>
    <n v="1"/>
    <x v="0"/>
    <n v="5332"/>
    <n v="21602"/>
    <n v="7"/>
    <s v="Y"/>
    <x v="1"/>
    <n v="13"/>
    <n v="3"/>
    <n v="4"/>
    <n v="80"/>
    <n v="0"/>
    <n v="10"/>
    <n v="3"/>
    <n v="3"/>
    <x v="8"/>
    <n v="2"/>
    <n v="0"/>
    <n v="3"/>
  </r>
  <r>
    <n v="36"/>
    <x v="1"/>
    <n v="0"/>
    <s v="Travel_Rarely"/>
    <n v="559"/>
    <x v="1"/>
    <n v="12"/>
    <n v="4"/>
    <x v="0"/>
    <n v="1"/>
    <n v="1614"/>
    <n v="3"/>
    <x v="0"/>
    <n v="76"/>
    <n v="3"/>
    <x v="0"/>
    <x v="3"/>
    <n v="3"/>
    <x v="1"/>
    <n v="4663"/>
    <n v="12421"/>
    <n v="9"/>
    <s v="Y"/>
    <x v="0"/>
    <n v="12"/>
    <n v="3"/>
    <n v="2"/>
    <n v="80"/>
    <n v="2"/>
    <n v="7"/>
    <n v="2"/>
    <n v="3"/>
    <x v="11"/>
    <n v="2"/>
    <n v="1"/>
    <n v="1"/>
  </r>
  <r>
    <n v="34"/>
    <x v="1"/>
    <n v="0"/>
    <s v="Travel_Frequently"/>
    <n v="426"/>
    <x v="1"/>
    <n v="10"/>
    <n v="4"/>
    <x v="0"/>
    <n v="1"/>
    <n v="1615"/>
    <n v="3"/>
    <x v="1"/>
    <n v="42"/>
    <n v="4"/>
    <x v="0"/>
    <x v="3"/>
    <n v="4"/>
    <x v="2"/>
    <n v="4724"/>
    <n v="17000"/>
    <n v="1"/>
    <s v="Y"/>
    <x v="1"/>
    <n v="13"/>
    <n v="3"/>
    <n v="1"/>
    <n v="80"/>
    <n v="1"/>
    <n v="9"/>
    <n v="3"/>
    <n v="3"/>
    <x v="7"/>
    <n v="7"/>
    <n v="7"/>
    <n v="2"/>
  </r>
  <r>
    <n v="49"/>
    <x v="1"/>
    <n v="0"/>
    <s v="Travel_Rarely"/>
    <n v="722"/>
    <x v="1"/>
    <n v="25"/>
    <n v="4"/>
    <x v="0"/>
    <n v="1"/>
    <n v="1617"/>
    <n v="3"/>
    <x v="0"/>
    <n v="84"/>
    <n v="3"/>
    <x v="1"/>
    <x v="2"/>
    <n v="1"/>
    <x v="1"/>
    <n v="3211"/>
    <n v="22102"/>
    <n v="1"/>
    <s v="Y"/>
    <x v="1"/>
    <n v="14"/>
    <n v="3"/>
    <n v="4"/>
    <n v="80"/>
    <n v="1"/>
    <n v="10"/>
    <n v="3"/>
    <n v="2"/>
    <x v="7"/>
    <n v="6"/>
    <n v="1"/>
    <n v="4"/>
  </r>
  <r>
    <n v="39"/>
    <x v="1"/>
    <n v="0"/>
    <s v="Travel_Rarely"/>
    <n v="1387"/>
    <x v="1"/>
    <n v="10"/>
    <n v="5"/>
    <x v="2"/>
    <n v="1"/>
    <n v="1618"/>
    <n v="2"/>
    <x v="1"/>
    <n v="76"/>
    <n v="3"/>
    <x v="0"/>
    <x v="3"/>
    <n v="1"/>
    <x v="1"/>
    <n v="5377"/>
    <n v="3835"/>
    <n v="2"/>
    <s v="Y"/>
    <x v="1"/>
    <n v="13"/>
    <n v="3"/>
    <n v="4"/>
    <n v="80"/>
    <n v="3"/>
    <n v="10"/>
    <n v="3"/>
    <n v="3"/>
    <x v="5"/>
    <n v="7"/>
    <n v="7"/>
    <n v="7"/>
  </r>
  <r>
    <n v="27"/>
    <x v="1"/>
    <n v="0"/>
    <s v="Travel_Rarely"/>
    <n v="1302"/>
    <x v="1"/>
    <n v="19"/>
    <n v="3"/>
    <x v="1"/>
    <n v="1"/>
    <n v="1619"/>
    <n v="4"/>
    <x v="1"/>
    <n v="67"/>
    <n v="2"/>
    <x v="1"/>
    <x v="2"/>
    <n v="1"/>
    <x v="2"/>
    <n v="4066"/>
    <n v="16290"/>
    <n v="1"/>
    <s v="Y"/>
    <x v="1"/>
    <n v="11"/>
    <n v="3"/>
    <n v="1"/>
    <n v="80"/>
    <n v="2"/>
    <n v="7"/>
    <n v="3"/>
    <n v="3"/>
    <x v="5"/>
    <n v="7"/>
    <n v="0"/>
    <n v="7"/>
  </r>
  <r>
    <n v="35"/>
    <x v="1"/>
    <n v="0"/>
    <s v="Travel_Rarely"/>
    <n v="819"/>
    <x v="1"/>
    <n v="18"/>
    <n v="5"/>
    <x v="0"/>
    <n v="1"/>
    <n v="1621"/>
    <n v="2"/>
    <x v="1"/>
    <n v="48"/>
    <n v="4"/>
    <x v="0"/>
    <x v="1"/>
    <n v="1"/>
    <x v="1"/>
    <n v="5208"/>
    <n v="26312"/>
    <n v="1"/>
    <s v="Y"/>
    <x v="1"/>
    <n v="11"/>
    <n v="3"/>
    <n v="4"/>
    <n v="80"/>
    <n v="0"/>
    <n v="16"/>
    <n v="2"/>
    <n v="3"/>
    <x v="22"/>
    <n v="15"/>
    <n v="1"/>
    <n v="10"/>
  </r>
  <r>
    <n v="28"/>
    <x v="1"/>
    <n v="0"/>
    <s v="Travel_Rarely"/>
    <n v="580"/>
    <x v="1"/>
    <n v="27"/>
    <n v="3"/>
    <x v="2"/>
    <n v="1"/>
    <n v="1622"/>
    <n v="2"/>
    <x v="0"/>
    <n v="39"/>
    <n v="1"/>
    <x v="0"/>
    <x v="3"/>
    <n v="1"/>
    <x v="2"/>
    <n v="4877"/>
    <n v="20460"/>
    <n v="0"/>
    <s v="Y"/>
    <x v="1"/>
    <n v="21"/>
    <n v="4"/>
    <n v="2"/>
    <n v="80"/>
    <n v="1"/>
    <n v="6"/>
    <n v="5"/>
    <n v="2"/>
    <x v="8"/>
    <n v="3"/>
    <n v="0"/>
    <n v="0"/>
  </r>
  <r>
    <n v="21"/>
    <x v="1"/>
    <n v="0"/>
    <s v="Travel_Rarely"/>
    <n v="546"/>
    <x v="1"/>
    <n v="5"/>
    <n v="1"/>
    <x v="2"/>
    <n v="1"/>
    <n v="1623"/>
    <n v="3"/>
    <x v="1"/>
    <n v="97"/>
    <n v="3"/>
    <x v="1"/>
    <x v="1"/>
    <n v="4"/>
    <x v="0"/>
    <n v="3117"/>
    <n v="26009"/>
    <n v="1"/>
    <s v="Y"/>
    <x v="1"/>
    <n v="18"/>
    <n v="3"/>
    <n v="3"/>
    <n v="80"/>
    <n v="0"/>
    <n v="3"/>
    <n v="2"/>
    <n v="3"/>
    <x v="4"/>
    <n v="2"/>
    <n v="2"/>
    <n v="2"/>
  </r>
  <r>
    <n v="18"/>
    <x v="0"/>
    <n v="1"/>
    <s v="Travel_Frequently"/>
    <n v="544"/>
    <x v="0"/>
    <n v="3"/>
    <n v="2"/>
    <x v="2"/>
    <n v="1"/>
    <n v="1624"/>
    <n v="2"/>
    <x v="0"/>
    <n v="70"/>
    <n v="3"/>
    <x v="1"/>
    <x v="6"/>
    <n v="4"/>
    <x v="0"/>
    <n v="1569"/>
    <n v="18420"/>
    <n v="1"/>
    <s v="Y"/>
    <x v="0"/>
    <n v="12"/>
    <n v="3"/>
    <n v="3"/>
    <n v="80"/>
    <n v="0"/>
    <n v="0"/>
    <n v="2"/>
    <n v="4"/>
    <x v="2"/>
    <n v="0"/>
    <n v="0"/>
    <n v="0"/>
  </r>
  <r>
    <n v="47"/>
    <x v="1"/>
    <n v="0"/>
    <s v="Travel_Rarely"/>
    <n v="1176"/>
    <x v="2"/>
    <n v="26"/>
    <n v="4"/>
    <x v="0"/>
    <n v="1"/>
    <n v="1625"/>
    <n v="4"/>
    <x v="0"/>
    <n v="98"/>
    <n v="3"/>
    <x v="4"/>
    <x v="5"/>
    <n v="3"/>
    <x v="1"/>
    <n v="19658"/>
    <n v="5220"/>
    <n v="3"/>
    <s v="Y"/>
    <x v="1"/>
    <n v="11"/>
    <n v="3"/>
    <n v="3"/>
    <n v="80"/>
    <n v="1"/>
    <n v="27"/>
    <n v="2"/>
    <n v="3"/>
    <x v="8"/>
    <n v="2"/>
    <n v="1"/>
    <n v="0"/>
  </r>
  <r>
    <n v="39"/>
    <x v="1"/>
    <n v="0"/>
    <s v="Travel_Rarely"/>
    <n v="170"/>
    <x v="1"/>
    <n v="3"/>
    <n v="2"/>
    <x v="2"/>
    <n v="1"/>
    <n v="1627"/>
    <n v="3"/>
    <x v="1"/>
    <n v="76"/>
    <n v="2"/>
    <x v="0"/>
    <x v="2"/>
    <n v="3"/>
    <x v="2"/>
    <n v="3069"/>
    <n v="10302"/>
    <n v="0"/>
    <s v="Y"/>
    <x v="1"/>
    <n v="15"/>
    <n v="3"/>
    <n v="4"/>
    <n v="80"/>
    <n v="1"/>
    <n v="11"/>
    <n v="3"/>
    <n v="3"/>
    <x v="1"/>
    <n v="8"/>
    <n v="0"/>
    <n v="7"/>
  </r>
  <r>
    <n v="40"/>
    <x v="1"/>
    <n v="0"/>
    <s v="Travel_Rarely"/>
    <n v="884"/>
    <x v="1"/>
    <n v="15"/>
    <n v="3"/>
    <x v="0"/>
    <n v="1"/>
    <n v="1628"/>
    <n v="1"/>
    <x v="0"/>
    <n v="80"/>
    <n v="2"/>
    <x v="2"/>
    <x v="3"/>
    <n v="3"/>
    <x v="1"/>
    <n v="10435"/>
    <n v="25800"/>
    <n v="1"/>
    <s v="Y"/>
    <x v="1"/>
    <n v="13"/>
    <n v="3"/>
    <n v="4"/>
    <n v="80"/>
    <n v="2"/>
    <n v="18"/>
    <n v="2"/>
    <n v="3"/>
    <x v="29"/>
    <n v="15"/>
    <n v="14"/>
    <n v="12"/>
  </r>
  <r>
    <n v="35"/>
    <x v="1"/>
    <n v="0"/>
    <s v="Non-Travel"/>
    <n v="208"/>
    <x v="1"/>
    <n v="8"/>
    <n v="4"/>
    <x v="0"/>
    <n v="1"/>
    <n v="1630"/>
    <n v="3"/>
    <x v="0"/>
    <n v="52"/>
    <n v="3"/>
    <x v="0"/>
    <x v="4"/>
    <n v="3"/>
    <x v="1"/>
    <n v="4148"/>
    <n v="12250"/>
    <n v="1"/>
    <s v="Y"/>
    <x v="1"/>
    <n v="12"/>
    <n v="3"/>
    <n v="4"/>
    <n v="80"/>
    <n v="1"/>
    <n v="15"/>
    <n v="5"/>
    <n v="3"/>
    <x v="13"/>
    <n v="11"/>
    <n v="2"/>
    <n v="9"/>
  </r>
  <r>
    <n v="37"/>
    <x v="1"/>
    <n v="0"/>
    <s v="Travel_Rarely"/>
    <n v="671"/>
    <x v="1"/>
    <n v="19"/>
    <n v="3"/>
    <x v="0"/>
    <n v="1"/>
    <n v="1631"/>
    <n v="3"/>
    <x v="1"/>
    <n v="85"/>
    <n v="3"/>
    <x v="0"/>
    <x v="3"/>
    <n v="3"/>
    <x v="1"/>
    <n v="5768"/>
    <n v="26493"/>
    <n v="3"/>
    <s v="Y"/>
    <x v="1"/>
    <n v="17"/>
    <n v="3"/>
    <n v="1"/>
    <n v="80"/>
    <n v="3"/>
    <n v="9"/>
    <n v="2"/>
    <n v="2"/>
    <x v="9"/>
    <n v="3"/>
    <n v="0"/>
    <n v="2"/>
  </r>
  <r>
    <n v="39"/>
    <x v="1"/>
    <n v="0"/>
    <s v="Travel_Frequently"/>
    <n v="711"/>
    <x v="1"/>
    <n v="4"/>
    <n v="3"/>
    <x v="2"/>
    <n v="1"/>
    <n v="1633"/>
    <n v="1"/>
    <x v="0"/>
    <n v="81"/>
    <n v="3"/>
    <x v="0"/>
    <x v="3"/>
    <n v="3"/>
    <x v="0"/>
    <n v="5042"/>
    <n v="3140"/>
    <n v="0"/>
    <s v="Y"/>
    <x v="1"/>
    <n v="13"/>
    <n v="3"/>
    <n v="4"/>
    <n v="80"/>
    <n v="0"/>
    <n v="10"/>
    <n v="2"/>
    <n v="1"/>
    <x v="7"/>
    <n v="2"/>
    <n v="3"/>
    <n v="8"/>
  </r>
  <r>
    <n v="45"/>
    <x v="1"/>
    <n v="0"/>
    <s v="Travel_Rarely"/>
    <n v="1329"/>
    <x v="1"/>
    <n v="2"/>
    <n v="2"/>
    <x v="1"/>
    <n v="1"/>
    <n v="1635"/>
    <n v="4"/>
    <x v="0"/>
    <n v="59"/>
    <n v="2"/>
    <x v="0"/>
    <x v="3"/>
    <n v="4"/>
    <x v="2"/>
    <n v="5770"/>
    <n v="5388"/>
    <n v="1"/>
    <s v="Y"/>
    <x v="1"/>
    <n v="19"/>
    <n v="3"/>
    <n v="1"/>
    <n v="80"/>
    <n v="2"/>
    <n v="10"/>
    <n v="3"/>
    <n v="3"/>
    <x v="1"/>
    <n v="7"/>
    <n v="3"/>
    <n v="9"/>
  </r>
  <r>
    <n v="38"/>
    <x v="1"/>
    <n v="0"/>
    <s v="Travel_Rarely"/>
    <n v="397"/>
    <x v="1"/>
    <n v="2"/>
    <n v="2"/>
    <x v="2"/>
    <n v="1"/>
    <n v="1638"/>
    <n v="4"/>
    <x v="0"/>
    <n v="54"/>
    <n v="2"/>
    <x v="2"/>
    <x v="3"/>
    <n v="3"/>
    <x v="1"/>
    <n v="7756"/>
    <n v="14199"/>
    <n v="3"/>
    <s v="Y"/>
    <x v="0"/>
    <n v="19"/>
    <n v="3"/>
    <n v="4"/>
    <n v="80"/>
    <n v="1"/>
    <n v="10"/>
    <n v="6"/>
    <n v="4"/>
    <x v="8"/>
    <n v="4"/>
    <n v="0"/>
    <n v="2"/>
  </r>
  <r>
    <n v="35"/>
    <x v="0"/>
    <n v="1"/>
    <s v="Travel_Rarely"/>
    <n v="737"/>
    <x v="0"/>
    <n v="10"/>
    <n v="3"/>
    <x v="2"/>
    <n v="1"/>
    <n v="1639"/>
    <n v="4"/>
    <x v="1"/>
    <n v="55"/>
    <n v="2"/>
    <x v="2"/>
    <x v="0"/>
    <n v="1"/>
    <x v="1"/>
    <n v="10306"/>
    <n v="21530"/>
    <n v="9"/>
    <s v="Y"/>
    <x v="1"/>
    <n v="17"/>
    <n v="3"/>
    <n v="3"/>
    <n v="80"/>
    <n v="0"/>
    <n v="15"/>
    <n v="3"/>
    <n v="3"/>
    <x v="20"/>
    <n v="12"/>
    <n v="6"/>
    <n v="0"/>
  </r>
  <r>
    <n v="37"/>
    <x v="1"/>
    <n v="0"/>
    <s v="Travel_Rarely"/>
    <n v="1470"/>
    <x v="1"/>
    <n v="10"/>
    <n v="3"/>
    <x v="2"/>
    <n v="1"/>
    <n v="1640"/>
    <n v="2"/>
    <x v="0"/>
    <n v="71"/>
    <n v="3"/>
    <x v="1"/>
    <x v="1"/>
    <n v="2"/>
    <x v="1"/>
    <n v="3936"/>
    <n v="9953"/>
    <n v="1"/>
    <s v="Y"/>
    <x v="1"/>
    <n v="11"/>
    <n v="3"/>
    <n v="1"/>
    <n v="80"/>
    <n v="1"/>
    <n v="8"/>
    <n v="2"/>
    <n v="1"/>
    <x v="3"/>
    <n v="4"/>
    <n v="7"/>
    <n v="7"/>
  </r>
  <r>
    <n v="40"/>
    <x v="1"/>
    <n v="0"/>
    <s v="Travel_Rarely"/>
    <n v="448"/>
    <x v="1"/>
    <n v="16"/>
    <n v="3"/>
    <x v="0"/>
    <n v="1"/>
    <n v="1641"/>
    <n v="3"/>
    <x v="0"/>
    <n v="84"/>
    <n v="3"/>
    <x v="2"/>
    <x v="3"/>
    <n v="4"/>
    <x v="0"/>
    <n v="7945"/>
    <n v="19948"/>
    <n v="6"/>
    <s v="Y"/>
    <x v="0"/>
    <n v="15"/>
    <n v="3"/>
    <n v="4"/>
    <n v="80"/>
    <n v="0"/>
    <n v="18"/>
    <n v="2"/>
    <n v="2"/>
    <x v="9"/>
    <n v="2"/>
    <n v="3"/>
    <n v="3"/>
  </r>
  <r>
    <n v="44"/>
    <x v="1"/>
    <n v="0"/>
    <s v="Travel_Frequently"/>
    <n v="602"/>
    <x v="2"/>
    <n v="1"/>
    <n v="5"/>
    <x v="5"/>
    <n v="1"/>
    <n v="1642"/>
    <n v="1"/>
    <x v="1"/>
    <n v="37"/>
    <n v="3"/>
    <x v="0"/>
    <x v="8"/>
    <n v="4"/>
    <x v="1"/>
    <n v="5743"/>
    <n v="10503"/>
    <n v="4"/>
    <s v="Y"/>
    <x v="0"/>
    <n v="11"/>
    <n v="3"/>
    <n v="3"/>
    <n v="80"/>
    <n v="0"/>
    <n v="14"/>
    <n v="3"/>
    <n v="3"/>
    <x v="1"/>
    <n v="7"/>
    <n v="0"/>
    <n v="2"/>
  </r>
  <r>
    <n v="48"/>
    <x v="1"/>
    <n v="0"/>
    <s v="Travel_Frequently"/>
    <n v="365"/>
    <x v="1"/>
    <n v="4"/>
    <n v="5"/>
    <x v="2"/>
    <n v="1"/>
    <n v="1644"/>
    <n v="3"/>
    <x v="1"/>
    <n v="89"/>
    <n v="2"/>
    <x v="3"/>
    <x v="5"/>
    <n v="4"/>
    <x v="1"/>
    <n v="15202"/>
    <n v="5602"/>
    <n v="2"/>
    <s v="Y"/>
    <x v="1"/>
    <n v="25"/>
    <n v="4"/>
    <n v="2"/>
    <n v="80"/>
    <n v="1"/>
    <n v="23"/>
    <n v="3"/>
    <n v="3"/>
    <x v="4"/>
    <n v="2"/>
    <n v="2"/>
    <n v="2"/>
  </r>
  <r>
    <n v="35"/>
    <x v="0"/>
    <n v="1"/>
    <s v="Travel_Rarely"/>
    <n v="763"/>
    <x v="0"/>
    <n v="15"/>
    <n v="2"/>
    <x v="2"/>
    <n v="1"/>
    <n v="1645"/>
    <n v="1"/>
    <x v="1"/>
    <n v="59"/>
    <n v="1"/>
    <x v="0"/>
    <x v="0"/>
    <n v="4"/>
    <x v="2"/>
    <n v="5440"/>
    <n v="22098"/>
    <n v="6"/>
    <s v="Y"/>
    <x v="0"/>
    <n v="14"/>
    <n v="3"/>
    <n v="4"/>
    <n v="80"/>
    <n v="2"/>
    <n v="7"/>
    <n v="2"/>
    <n v="2"/>
    <x v="4"/>
    <n v="2"/>
    <n v="2"/>
    <n v="2"/>
  </r>
  <r>
    <n v="24"/>
    <x v="1"/>
    <n v="0"/>
    <s v="Travel_Frequently"/>
    <n v="567"/>
    <x v="1"/>
    <n v="2"/>
    <n v="1"/>
    <x v="4"/>
    <n v="1"/>
    <n v="1646"/>
    <n v="1"/>
    <x v="0"/>
    <n v="32"/>
    <n v="3"/>
    <x v="1"/>
    <x v="1"/>
    <n v="4"/>
    <x v="0"/>
    <n v="3760"/>
    <n v="17218"/>
    <n v="1"/>
    <s v="Y"/>
    <x v="0"/>
    <n v="13"/>
    <n v="3"/>
    <n v="3"/>
    <n v="80"/>
    <n v="0"/>
    <n v="6"/>
    <n v="2"/>
    <n v="3"/>
    <x v="0"/>
    <n v="3"/>
    <n v="1"/>
    <n v="3"/>
  </r>
  <r>
    <n v="27"/>
    <x v="1"/>
    <n v="0"/>
    <s v="Travel_Rarely"/>
    <n v="486"/>
    <x v="1"/>
    <n v="8"/>
    <n v="3"/>
    <x v="2"/>
    <n v="1"/>
    <n v="1647"/>
    <n v="2"/>
    <x v="0"/>
    <n v="86"/>
    <n v="4"/>
    <x v="1"/>
    <x v="1"/>
    <n v="3"/>
    <x v="1"/>
    <n v="3517"/>
    <n v="22490"/>
    <n v="7"/>
    <s v="Y"/>
    <x v="1"/>
    <n v="17"/>
    <n v="3"/>
    <n v="1"/>
    <n v="80"/>
    <n v="0"/>
    <n v="5"/>
    <n v="0"/>
    <n v="3"/>
    <x v="11"/>
    <n v="2"/>
    <n v="0"/>
    <n v="2"/>
  </r>
  <r>
    <n v="27"/>
    <x v="1"/>
    <n v="0"/>
    <s v="Travel_Frequently"/>
    <n v="591"/>
    <x v="1"/>
    <n v="2"/>
    <n v="3"/>
    <x v="2"/>
    <n v="1"/>
    <n v="1648"/>
    <n v="4"/>
    <x v="1"/>
    <n v="87"/>
    <n v="3"/>
    <x v="1"/>
    <x v="1"/>
    <n v="4"/>
    <x v="0"/>
    <n v="2580"/>
    <n v="6297"/>
    <n v="2"/>
    <s v="Y"/>
    <x v="1"/>
    <n v="13"/>
    <n v="3"/>
    <n v="3"/>
    <n v="80"/>
    <n v="0"/>
    <n v="6"/>
    <n v="0"/>
    <n v="2"/>
    <x v="9"/>
    <n v="2"/>
    <n v="1"/>
    <n v="2"/>
  </r>
  <r>
    <n v="40"/>
    <x v="0"/>
    <n v="1"/>
    <s v="Travel_Rarely"/>
    <n v="1329"/>
    <x v="1"/>
    <n v="7"/>
    <n v="3"/>
    <x v="0"/>
    <n v="1"/>
    <n v="1649"/>
    <n v="1"/>
    <x v="1"/>
    <n v="73"/>
    <n v="3"/>
    <x v="1"/>
    <x v="2"/>
    <n v="1"/>
    <x v="0"/>
    <n v="2166"/>
    <n v="3339"/>
    <n v="3"/>
    <s v="Y"/>
    <x v="0"/>
    <n v="14"/>
    <n v="3"/>
    <n v="2"/>
    <n v="80"/>
    <n v="0"/>
    <n v="10"/>
    <n v="3"/>
    <n v="1"/>
    <x v="9"/>
    <n v="2"/>
    <n v="0"/>
    <n v="3"/>
  </r>
  <r>
    <n v="29"/>
    <x v="1"/>
    <n v="0"/>
    <s v="Travel_Rarely"/>
    <n v="469"/>
    <x v="0"/>
    <n v="10"/>
    <n v="3"/>
    <x v="2"/>
    <n v="1"/>
    <n v="1650"/>
    <n v="3"/>
    <x v="1"/>
    <n v="42"/>
    <n v="2"/>
    <x v="0"/>
    <x v="0"/>
    <n v="3"/>
    <x v="0"/>
    <n v="5869"/>
    <n v="23413"/>
    <n v="9"/>
    <s v="Y"/>
    <x v="1"/>
    <n v="11"/>
    <n v="3"/>
    <n v="3"/>
    <n v="80"/>
    <n v="0"/>
    <n v="8"/>
    <n v="2"/>
    <n v="3"/>
    <x v="8"/>
    <n v="2"/>
    <n v="1"/>
    <n v="4"/>
  </r>
  <r>
    <n v="36"/>
    <x v="1"/>
    <n v="0"/>
    <s v="Travel_Rarely"/>
    <n v="711"/>
    <x v="1"/>
    <n v="5"/>
    <n v="4"/>
    <x v="0"/>
    <n v="1"/>
    <n v="1651"/>
    <n v="2"/>
    <x v="0"/>
    <n v="42"/>
    <n v="3"/>
    <x v="2"/>
    <x v="4"/>
    <n v="1"/>
    <x v="1"/>
    <n v="8008"/>
    <n v="22792"/>
    <n v="4"/>
    <s v="Y"/>
    <x v="1"/>
    <n v="12"/>
    <n v="3"/>
    <n v="3"/>
    <n v="80"/>
    <n v="2"/>
    <n v="9"/>
    <n v="6"/>
    <n v="3"/>
    <x v="11"/>
    <n v="2"/>
    <n v="0"/>
    <n v="2"/>
  </r>
  <r>
    <n v="25"/>
    <x v="1"/>
    <n v="0"/>
    <s v="Travel_Frequently"/>
    <n v="772"/>
    <x v="1"/>
    <n v="2"/>
    <n v="1"/>
    <x v="0"/>
    <n v="1"/>
    <n v="1653"/>
    <n v="4"/>
    <x v="1"/>
    <n v="77"/>
    <n v="4"/>
    <x v="0"/>
    <x v="3"/>
    <n v="3"/>
    <x v="2"/>
    <n v="5206"/>
    <n v="4973"/>
    <n v="1"/>
    <s v="Y"/>
    <x v="1"/>
    <n v="17"/>
    <n v="3"/>
    <n v="3"/>
    <n v="80"/>
    <n v="2"/>
    <n v="7"/>
    <n v="6"/>
    <n v="3"/>
    <x v="5"/>
    <n v="7"/>
    <n v="0"/>
    <n v="7"/>
  </r>
  <r>
    <n v="39"/>
    <x v="1"/>
    <n v="0"/>
    <s v="Travel_Rarely"/>
    <n v="492"/>
    <x v="1"/>
    <n v="12"/>
    <n v="3"/>
    <x v="2"/>
    <n v="1"/>
    <n v="1654"/>
    <n v="4"/>
    <x v="1"/>
    <n v="66"/>
    <n v="3"/>
    <x v="0"/>
    <x v="3"/>
    <n v="2"/>
    <x v="1"/>
    <n v="5295"/>
    <n v="7693"/>
    <n v="4"/>
    <s v="Y"/>
    <x v="1"/>
    <n v="21"/>
    <n v="4"/>
    <n v="3"/>
    <n v="80"/>
    <n v="0"/>
    <n v="7"/>
    <n v="3"/>
    <n v="3"/>
    <x v="8"/>
    <n v="4"/>
    <n v="1"/>
    <n v="0"/>
  </r>
  <r>
    <n v="49"/>
    <x v="1"/>
    <n v="0"/>
    <s v="Travel_Rarely"/>
    <n v="301"/>
    <x v="1"/>
    <n v="22"/>
    <n v="4"/>
    <x v="1"/>
    <n v="1"/>
    <n v="1655"/>
    <n v="1"/>
    <x v="0"/>
    <n v="72"/>
    <n v="3"/>
    <x v="3"/>
    <x v="7"/>
    <n v="2"/>
    <x v="1"/>
    <n v="16413"/>
    <n v="3498"/>
    <n v="3"/>
    <s v="Y"/>
    <x v="1"/>
    <n v="16"/>
    <n v="3"/>
    <n v="2"/>
    <n v="80"/>
    <n v="2"/>
    <n v="27"/>
    <n v="2"/>
    <n v="3"/>
    <x v="9"/>
    <n v="2"/>
    <n v="1"/>
    <n v="2"/>
  </r>
  <r>
    <n v="50"/>
    <x v="1"/>
    <n v="0"/>
    <s v="Travel_Rarely"/>
    <n v="813"/>
    <x v="1"/>
    <n v="17"/>
    <n v="5"/>
    <x v="0"/>
    <n v="1"/>
    <n v="1656"/>
    <n v="4"/>
    <x v="0"/>
    <n v="50"/>
    <n v="2"/>
    <x v="2"/>
    <x v="7"/>
    <n v="1"/>
    <x v="2"/>
    <n v="13269"/>
    <n v="21981"/>
    <n v="5"/>
    <s v="Y"/>
    <x v="1"/>
    <n v="15"/>
    <n v="3"/>
    <n v="3"/>
    <n v="80"/>
    <n v="3"/>
    <n v="19"/>
    <n v="3"/>
    <n v="3"/>
    <x v="13"/>
    <n v="11"/>
    <n v="1"/>
    <n v="11"/>
  </r>
  <r>
    <n v="20"/>
    <x v="1"/>
    <n v="0"/>
    <s v="Travel_Rarely"/>
    <n v="1141"/>
    <x v="0"/>
    <n v="2"/>
    <n v="3"/>
    <x v="2"/>
    <n v="1"/>
    <n v="1657"/>
    <n v="3"/>
    <x v="0"/>
    <n v="31"/>
    <n v="3"/>
    <x v="1"/>
    <x v="6"/>
    <n v="3"/>
    <x v="0"/>
    <n v="2783"/>
    <n v="13251"/>
    <n v="1"/>
    <s v="Y"/>
    <x v="1"/>
    <n v="19"/>
    <n v="3"/>
    <n v="1"/>
    <n v="80"/>
    <n v="0"/>
    <n v="2"/>
    <n v="3"/>
    <n v="3"/>
    <x v="4"/>
    <n v="2"/>
    <n v="2"/>
    <n v="2"/>
  </r>
  <r>
    <n v="34"/>
    <x v="1"/>
    <n v="0"/>
    <s v="Travel_Rarely"/>
    <n v="1130"/>
    <x v="1"/>
    <n v="3"/>
    <n v="3"/>
    <x v="0"/>
    <n v="1"/>
    <n v="1658"/>
    <n v="4"/>
    <x v="0"/>
    <n v="66"/>
    <n v="3"/>
    <x v="0"/>
    <x v="1"/>
    <n v="2"/>
    <x v="2"/>
    <n v="5433"/>
    <n v="19332"/>
    <n v="1"/>
    <s v="Y"/>
    <x v="1"/>
    <n v="12"/>
    <n v="3"/>
    <n v="3"/>
    <n v="80"/>
    <n v="1"/>
    <n v="11"/>
    <n v="2"/>
    <n v="3"/>
    <x v="19"/>
    <n v="8"/>
    <n v="7"/>
    <n v="9"/>
  </r>
  <r>
    <n v="36"/>
    <x v="1"/>
    <n v="0"/>
    <s v="Travel_Rarely"/>
    <n v="311"/>
    <x v="1"/>
    <n v="7"/>
    <n v="3"/>
    <x v="0"/>
    <n v="1"/>
    <n v="1659"/>
    <n v="1"/>
    <x v="1"/>
    <n v="77"/>
    <n v="3"/>
    <x v="1"/>
    <x v="2"/>
    <n v="2"/>
    <x v="0"/>
    <n v="2013"/>
    <n v="10950"/>
    <n v="2"/>
    <s v="Y"/>
    <x v="1"/>
    <n v="11"/>
    <n v="3"/>
    <n v="3"/>
    <n v="80"/>
    <n v="0"/>
    <n v="15"/>
    <n v="4"/>
    <n v="3"/>
    <x v="9"/>
    <n v="3"/>
    <n v="1"/>
    <n v="3"/>
  </r>
  <r>
    <n v="49"/>
    <x v="1"/>
    <n v="0"/>
    <s v="Travel_Rarely"/>
    <n v="465"/>
    <x v="1"/>
    <n v="6"/>
    <n v="1"/>
    <x v="0"/>
    <n v="1"/>
    <n v="1661"/>
    <n v="3"/>
    <x v="0"/>
    <n v="41"/>
    <n v="2"/>
    <x v="3"/>
    <x v="4"/>
    <n v="3"/>
    <x v="1"/>
    <n v="13966"/>
    <n v="11652"/>
    <n v="2"/>
    <s v="Y"/>
    <x v="0"/>
    <n v="19"/>
    <n v="3"/>
    <n v="2"/>
    <n v="80"/>
    <n v="1"/>
    <n v="30"/>
    <n v="3"/>
    <n v="3"/>
    <x v="15"/>
    <n v="11"/>
    <n v="2"/>
    <n v="12"/>
  </r>
  <r>
    <n v="36"/>
    <x v="1"/>
    <n v="0"/>
    <s v="Non-Travel"/>
    <n v="894"/>
    <x v="1"/>
    <n v="1"/>
    <n v="4"/>
    <x v="2"/>
    <n v="1"/>
    <n v="1662"/>
    <n v="4"/>
    <x v="0"/>
    <n v="33"/>
    <n v="2"/>
    <x v="0"/>
    <x v="3"/>
    <n v="3"/>
    <x v="1"/>
    <n v="4374"/>
    <n v="15411"/>
    <n v="0"/>
    <s v="Y"/>
    <x v="1"/>
    <n v="15"/>
    <n v="3"/>
    <n v="3"/>
    <n v="80"/>
    <n v="0"/>
    <n v="4"/>
    <n v="6"/>
    <n v="3"/>
    <x v="11"/>
    <n v="2"/>
    <n v="1"/>
    <n v="2"/>
  </r>
  <r>
    <n v="36"/>
    <x v="1"/>
    <n v="0"/>
    <s v="Travel_Rarely"/>
    <n v="1040"/>
    <x v="1"/>
    <n v="3"/>
    <n v="2"/>
    <x v="0"/>
    <n v="1"/>
    <n v="1664"/>
    <n v="4"/>
    <x v="1"/>
    <n v="79"/>
    <n v="4"/>
    <x v="0"/>
    <x v="4"/>
    <n v="1"/>
    <x v="2"/>
    <n v="6842"/>
    <n v="26308"/>
    <n v="6"/>
    <s v="Y"/>
    <x v="1"/>
    <n v="20"/>
    <n v="4"/>
    <n v="1"/>
    <n v="80"/>
    <n v="1"/>
    <n v="13"/>
    <n v="3"/>
    <n v="3"/>
    <x v="8"/>
    <n v="4"/>
    <n v="0"/>
    <n v="4"/>
  </r>
  <r>
    <n v="54"/>
    <x v="1"/>
    <n v="0"/>
    <s v="Travel_Rarely"/>
    <n v="584"/>
    <x v="1"/>
    <n v="22"/>
    <n v="5"/>
    <x v="2"/>
    <n v="1"/>
    <n v="1665"/>
    <n v="2"/>
    <x v="0"/>
    <n v="91"/>
    <n v="3"/>
    <x v="3"/>
    <x v="5"/>
    <n v="3"/>
    <x v="1"/>
    <n v="17426"/>
    <n v="18685"/>
    <n v="3"/>
    <s v="Y"/>
    <x v="1"/>
    <n v="25"/>
    <n v="4"/>
    <n v="3"/>
    <n v="80"/>
    <n v="1"/>
    <n v="36"/>
    <n v="6"/>
    <n v="3"/>
    <x v="1"/>
    <n v="8"/>
    <n v="4"/>
    <n v="7"/>
  </r>
  <r>
    <n v="43"/>
    <x v="1"/>
    <n v="0"/>
    <s v="Travel_Rarely"/>
    <n v="1291"/>
    <x v="1"/>
    <n v="15"/>
    <n v="2"/>
    <x v="0"/>
    <n v="1"/>
    <n v="1666"/>
    <n v="3"/>
    <x v="1"/>
    <n v="65"/>
    <n v="2"/>
    <x v="3"/>
    <x v="7"/>
    <n v="3"/>
    <x v="1"/>
    <n v="17603"/>
    <n v="3525"/>
    <n v="1"/>
    <s v="Y"/>
    <x v="1"/>
    <n v="24"/>
    <n v="4"/>
    <n v="1"/>
    <n v="80"/>
    <n v="1"/>
    <n v="14"/>
    <n v="3"/>
    <n v="3"/>
    <x v="13"/>
    <n v="10"/>
    <n v="6"/>
    <n v="11"/>
  </r>
  <r>
    <n v="35"/>
    <x v="0"/>
    <n v="1"/>
    <s v="Travel_Frequently"/>
    <n v="880"/>
    <x v="0"/>
    <n v="12"/>
    <n v="4"/>
    <x v="1"/>
    <n v="1"/>
    <n v="1667"/>
    <n v="4"/>
    <x v="1"/>
    <n v="36"/>
    <n v="3"/>
    <x v="0"/>
    <x v="0"/>
    <n v="4"/>
    <x v="0"/>
    <n v="4581"/>
    <n v="10414"/>
    <n v="3"/>
    <s v="Y"/>
    <x v="0"/>
    <n v="24"/>
    <n v="4"/>
    <n v="1"/>
    <n v="80"/>
    <n v="0"/>
    <n v="13"/>
    <n v="2"/>
    <n v="4"/>
    <x v="19"/>
    <n v="9"/>
    <n v="6"/>
    <n v="7"/>
  </r>
  <r>
    <n v="38"/>
    <x v="1"/>
    <n v="0"/>
    <s v="Travel_Frequently"/>
    <n v="1189"/>
    <x v="1"/>
    <n v="1"/>
    <n v="3"/>
    <x v="0"/>
    <n v="1"/>
    <n v="1668"/>
    <n v="4"/>
    <x v="1"/>
    <n v="90"/>
    <n v="3"/>
    <x v="0"/>
    <x v="1"/>
    <n v="4"/>
    <x v="1"/>
    <n v="4735"/>
    <n v="9867"/>
    <n v="7"/>
    <s v="Y"/>
    <x v="1"/>
    <n v="15"/>
    <n v="3"/>
    <n v="4"/>
    <n v="80"/>
    <n v="2"/>
    <n v="19"/>
    <n v="4"/>
    <n v="4"/>
    <x v="20"/>
    <n v="11"/>
    <n v="2"/>
    <n v="9"/>
  </r>
  <r>
    <n v="29"/>
    <x v="1"/>
    <n v="0"/>
    <s v="Travel_Rarely"/>
    <n v="991"/>
    <x v="0"/>
    <n v="5"/>
    <n v="3"/>
    <x v="2"/>
    <n v="1"/>
    <n v="1669"/>
    <n v="1"/>
    <x v="1"/>
    <n v="43"/>
    <n v="2"/>
    <x v="0"/>
    <x v="0"/>
    <n v="2"/>
    <x v="2"/>
    <n v="4187"/>
    <n v="3356"/>
    <n v="1"/>
    <s v="Y"/>
    <x v="0"/>
    <n v="13"/>
    <n v="3"/>
    <n v="2"/>
    <n v="80"/>
    <n v="1"/>
    <n v="10"/>
    <n v="3"/>
    <n v="2"/>
    <x v="1"/>
    <n v="0"/>
    <n v="0"/>
    <n v="9"/>
  </r>
  <r>
    <n v="33"/>
    <x v="1"/>
    <n v="0"/>
    <s v="Travel_Rarely"/>
    <n v="392"/>
    <x v="0"/>
    <n v="2"/>
    <n v="4"/>
    <x v="2"/>
    <n v="1"/>
    <n v="1670"/>
    <n v="4"/>
    <x v="1"/>
    <n v="93"/>
    <n v="3"/>
    <x v="0"/>
    <x v="0"/>
    <n v="4"/>
    <x v="2"/>
    <n v="5505"/>
    <n v="3921"/>
    <n v="1"/>
    <s v="Y"/>
    <x v="1"/>
    <n v="14"/>
    <n v="3"/>
    <n v="3"/>
    <n v="80"/>
    <n v="2"/>
    <n v="6"/>
    <n v="5"/>
    <n v="3"/>
    <x v="0"/>
    <n v="2"/>
    <n v="0"/>
    <n v="4"/>
  </r>
  <r>
    <n v="32"/>
    <x v="1"/>
    <n v="0"/>
    <s v="Travel_Rarely"/>
    <n v="977"/>
    <x v="1"/>
    <n v="2"/>
    <n v="3"/>
    <x v="2"/>
    <n v="1"/>
    <n v="1671"/>
    <n v="4"/>
    <x v="1"/>
    <n v="45"/>
    <n v="3"/>
    <x v="0"/>
    <x v="1"/>
    <n v="2"/>
    <x v="2"/>
    <n v="5470"/>
    <n v="25518"/>
    <n v="0"/>
    <s v="Y"/>
    <x v="1"/>
    <n v="13"/>
    <n v="3"/>
    <n v="3"/>
    <n v="80"/>
    <n v="2"/>
    <n v="10"/>
    <n v="4"/>
    <n v="2"/>
    <x v="7"/>
    <n v="5"/>
    <n v="1"/>
    <n v="6"/>
  </r>
  <r>
    <n v="31"/>
    <x v="1"/>
    <n v="0"/>
    <s v="Travel_Rarely"/>
    <n v="1112"/>
    <x v="0"/>
    <n v="5"/>
    <n v="4"/>
    <x v="0"/>
    <n v="1"/>
    <n v="1673"/>
    <n v="1"/>
    <x v="0"/>
    <n v="67"/>
    <n v="3"/>
    <x v="0"/>
    <x v="0"/>
    <n v="4"/>
    <x v="1"/>
    <n v="5476"/>
    <n v="22589"/>
    <n v="1"/>
    <s v="Y"/>
    <x v="1"/>
    <n v="11"/>
    <n v="3"/>
    <n v="1"/>
    <n v="80"/>
    <n v="2"/>
    <n v="10"/>
    <n v="2"/>
    <n v="3"/>
    <x v="1"/>
    <n v="0"/>
    <n v="0"/>
    <n v="2"/>
  </r>
  <r>
    <n v="49"/>
    <x v="1"/>
    <n v="0"/>
    <s v="Travel_Rarely"/>
    <n v="464"/>
    <x v="1"/>
    <n v="16"/>
    <n v="3"/>
    <x v="2"/>
    <n v="1"/>
    <n v="1674"/>
    <n v="4"/>
    <x v="0"/>
    <n v="74"/>
    <n v="3"/>
    <x v="1"/>
    <x v="2"/>
    <n v="1"/>
    <x v="2"/>
    <n v="2587"/>
    <n v="24941"/>
    <n v="4"/>
    <s v="Y"/>
    <x v="0"/>
    <n v="16"/>
    <n v="3"/>
    <n v="2"/>
    <n v="80"/>
    <n v="1"/>
    <n v="17"/>
    <n v="2"/>
    <n v="2"/>
    <x v="4"/>
    <n v="2"/>
    <n v="2"/>
    <n v="2"/>
  </r>
  <r>
    <n v="38"/>
    <x v="1"/>
    <n v="0"/>
    <s v="Travel_Frequently"/>
    <n v="148"/>
    <x v="1"/>
    <n v="2"/>
    <n v="3"/>
    <x v="2"/>
    <n v="1"/>
    <n v="1675"/>
    <n v="4"/>
    <x v="0"/>
    <n v="42"/>
    <n v="2"/>
    <x v="1"/>
    <x v="2"/>
    <n v="2"/>
    <x v="0"/>
    <n v="2440"/>
    <n v="23826"/>
    <n v="1"/>
    <s v="Y"/>
    <x v="1"/>
    <n v="22"/>
    <n v="4"/>
    <n v="2"/>
    <n v="80"/>
    <n v="0"/>
    <n v="4"/>
    <n v="3"/>
    <n v="3"/>
    <x v="9"/>
    <n v="3"/>
    <n v="3"/>
    <n v="3"/>
  </r>
  <r>
    <n v="47"/>
    <x v="1"/>
    <n v="0"/>
    <s v="Travel_Rarely"/>
    <n v="1225"/>
    <x v="0"/>
    <n v="2"/>
    <n v="4"/>
    <x v="0"/>
    <n v="1"/>
    <n v="1676"/>
    <n v="2"/>
    <x v="0"/>
    <n v="47"/>
    <n v="4"/>
    <x v="3"/>
    <x v="5"/>
    <n v="2"/>
    <x v="2"/>
    <n v="15972"/>
    <n v="21086"/>
    <n v="6"/>
    <s v="Y"/>
    <x v="1"/>
    <n v="14"/>
    <n v="3"/>
    <n v="3"/>
    <n v="80"/>
    <n v="3"/>
    <n v="29"/>
    <n v="2"/>
    <n v="3"/>
    <x v="11"/>
    <n v="2"/>
    <n v="1"/>
    <n v="2"/>
  </r>
  <r>
    <n v="49"/>
    <x v="1"/>
    <n v="0"/>
    <s v="Travel_Rarely"/>
    <n v="809"/>
    <x v="1"/>
    <n v="1"/>
    <n v="3"/>
    <x v="0"/>
    <n v="1"/>
    <n v="1677"/>
    <n v="3"/>
    <x v="1"/>
    <n v="36"/>
    <n v="3"/>
    <x v="3"/>
    <x v="5"/>
    <n v="3"/>
    <x v="0"/>
    <n v="15379"/>
    <n v="22384"/>
    <n v="4"/>
    <s v="Y"/>
    <x v="1"/>
    <n v="14"/>
    <n v="3"/>
    <n v="1"/>
    <n v="80"/>
    <n v="0"/>
    <n v="23"/>
    <n v="2"/>
    <n v="3"/>
    <x v="3"/>
    <n v="7"/>
    <n v="0"/>
    <n v="0"/>
  </r>
  <r>
    <n v="41"/>
    <x v="1"/>
    <n v="0"/>
    <s v="Travel_Rarely"/>
    <n v="1206"/>
    <x v="0"/>
    <n v="23"/>
    <n v="2"/>
    <x v="0"/>
    <n v="1"/>
    <n v="1678"/>
    <n v="4"/>
    <x v="1"/>
    <n v="80"/>
    <n v="3"/>
    <x v="2"/>
    <x v="0"/>
    <n v="3"/>
    <x v="0"/>
    <n v="7082"/>
    <n v="11591"/>
    <n v="3"/>
    <s v="Y"/>
    <x v="0"/>
    <n v="16"/>
    <n v="3"/>
    <n v="4"/>
    <n v="80"/>
    <n v="0"/>
    <n v="21"/>
    <n v="2"/>
    <n v="3"/>
    <x v="4"/>
    <n v="0"/>
    <n v="0"/>
    <n v="2"/>
  </r>
  <r>
    <n v="20"/>
    <x v="1"/>
    <n v="0"/>
    <s v="Travel_Rarely"/>
    <n v="727"/>
    <x v="0"/>
    <n v="9"/>
    <n v="1"/>
    <x v="0"/>
    <n v="1"/>
    <n v="1680"/>
    <n v="4"/>
    <x v="1"/>
    <n v="54"/>
    <n v="3"/>
    <x v="1"/>
    <x v="6"/>
    <n v="1"/>
    <x v="0"/>
    <n v="2728"/>
    <n v="21082"/>
    <n v="1"/>
    <s v="Y"/>
    <x v="1"/>
    <n v="11"/>
    <n v="3"/>
    <n v="1"/>
    <n v="80"/>
    <n v="0"/>
    <n v="2"/>
    <n v="3"/>
    <n v="3"/>
    <x v="4"/>
    <n v="2"/>
    <n v="0"/>
    <n v="2"/>
  </r>
  <r>
    <n v="33"/>
    <x v="1"/>
    <n v="0"/>
    <s v="Non-Travel"/>
    <n v="530"/>
    <x v="0"/>
    <n v="16"/>
    <n v="3"/>
    <x v="0"/>
    <n v="1"/>
    <n v="1681"/>
    <n v="3"/>
    <x v="0"/>
    <n v="36"/>
    <n v="3"/>
    <x v="0"/>
    <x v="0"/>
    <n v="4"/>
    <x v="2"/>
    <n v="5368"/>
    <n v="16130"/>
    <n v="1"/>
    <s v="Y"/>
    <x v="0"/>
    <n v="25"/>
    <n v="4"/>
    <n v="3"/>
    <n v="80"/>
    <n v="1"/>
    <n v="7"/>
    <n v="2"/>
    <n v="3"/>
    <x v="0"/>
    <n v="5"/>
    <n v="1"/>
    <n v="2"/>
  </r>
  <r>
    <n v="36"/>
    <x v="1"/>
    <n v="0"/>
    <s v="Travel_Rarely"/>
    <n v="1351"/>
    <x v="1"/>
    <n v="26"/>
    <n v="4"/>
    <x v="0"/>
    <n v="1"/>
    <n v="1682"/>
    <n v="1"/>
    <x v="1"/>
    <n v="80"/>
    <n v="3"/>
    <x v="0"/>
    <x v="4"/>
    <n v="3"/>
    <x v="1"/>
    <n v="5347"/>
    <n v="7419"/>
    <n v="6"/>
    <s v="Y"/>
    <x v="1"/>
    <n v="14"/>
    <n v="3"/>
    <n v="2"/>
    <n v="80"/>
    <n v="2"/>
    <n v="10"/>
    <n v="2"/>
    <n v="2"/>
    <x v="11"/>
    <n v="2"/>
    <n v="0"/>
    <n v="2"/>
  </r>
  <r>
    <n v="44"/>
    <x v="1"/>
    <n v="0"/>
    <s v="Travel_Rarely"/>
    <n v="528"/>
    <x v="2"/>
    <n v="1"/>
    <n v="3"/>
    <x v="0"/>
    <n v="1"/>
    <n v="1683"/>
    <n v="3"/>
    <x v="0"/>
    <n v="44"/>
    <n v="3"/>
    <x v="1"/>
    <x v="8"/>
    <n v="4"/>
    <x v="2"/>
    <n v="3195"/>
    <n v="4167"/>
    <n v="4"/>
    <s v="Y"/>
    <x v="0"/>
    <n v="18"/>
    <n v="3"/>
    <n v="1"/>
    <n v="80"/>
    <n v="3"/>
    <n v="8"/>
    <n v="2"/>
    <n v="3"/>
    <x v="4"/>
    <n v="2"/>
    <n v="2"/>
    <n v="2"/>
  </r>
  <r>
    <n v="23"/>
    <x v="0"/>
    <n v="1"/>
    <s v="Travel_Rarely"/>
    <n v="1320"/>
    <x v="1"/>
    <n v="8"/>
    <n v="1"/>
    <x v="2"/>
    <n v="1"/>
    <n v="1684"/>
    <n v="4"/>
    <x v="1"/>
    <n v="93"/>
    <n v="2"/>
    <x v="1"/>
    <x v="2"/>
    <n v="3"/>
    <x v="0"/>
    <n v="3989"/>
    <n v="20586"/>
    <n v="1"/>
    <s v="Y"/>
    <x v="0"/>
    <n v="11"/>
    <n v="3"/>
    <n v="1"/>
    <n v="80"/>
    <n v="0"/>
    <n v="5"/>
    <n v="2"/>
    <n v="3"/>
    <x v="8"/>
    <n v="4"/>
    <n v="1"/>
    <n v="2"/>
  </r>
  <r>
    <n v="38"/>
    <x v="1"/>
    <n v="0"/>
    <s v="Travel_Rarely"/>
    <n v="1495"/>
    <x v="1"/>
    <n v="4"/>
    <n v="2"/>
    <x v="2"/>
    <n v="1"/>
    <n v="1687"/>
    <n v="4"/>
    <x v="0"/>
    <n v="87"/>
    <n v="3"/>
    <x v="1"/>
    <x v="2"/>
    <n v="3"/>
    <x v="1"/>
    <n v="3306"/>
    <n v="26176"/>
    <n v="7"/>
    <s v="Y"/>
    <x v="1"/>
    <n v="19"/>
    <n v="3"/>
    <n v="4"/>
    <n v="80"/>
    <n v="1"/>
    <n v="7"/>
    <n v="5"/>
    <n v="2"/>
    <x v="2"/>
    <n v="0"/>
    <n v="0"/>
    <n v="0"/>
  </r>
  <r>
    <n v="53"/>
    <x v="1"/>
    <n v="0"/>
    <s v="Travel_Rarely"/>
    <n v="1395"/>
    <x v="1"/>
    <n v="24"/>
    <n v="4"/>
    <x v="2"/>
    <n v="1"/>
    <n v="1689"/>
    <n v="2"/>
    <x v="1"/>
    <n v="48"/>
    <n v="4"/>
    <x v="2"/>
    <x v="4"/>
    <n v="4"/>
    <x v="1"/>
    <n v="7005"/>
    <n v="3458"/>
    <n v="3"/>
    <s v="Y"/>
    <x v="1"/>
    <n v="15"/>
    <n v="3"/>
    <n v="3"/>
    <n v="80"/>
    <n v="0"/>
    <n v="11"/>
    <n v="2"/>
    <n v="3"/>
    <x v="9"/>
    <n v="3"/>
    <n v="1"/>
    <n v="2"/>
  </r>
  <r>
    <n v="48"/>
    <x v="0"/>
    <n v="1"/>
    <s v="Travel_Frequently"/>
    <n v="708"/>
    <x v="0"/>
    <n v="7"/>
    <n v="2"/>
    <x v="2"/>
    <n v="1"/>
    <n v="1691"/>
    <n v="4"/>
    <x v="0"/>
    <n v="95"/>
    <n v="3"/>
    <x v="1"/>
    <x v="6"/>
    <n v="3"/>
    <x v="1"/>
    <n v="2655"/>
    <n v="11740"/>
    <n v="2"/>
    <s v="Y"/>
    <x v="0"/>
    <n v="11"/>
    <n v="3"/>
    <n v="3"/>
    <n v="80"/>
    <n v="2"/>
    <n v="19"/>
    <n v="3"/>
    <n v="3"/>
    <x v="7"/>
    <n v="7"/>
    <n v="7"/>
    <n v="7"/>
  </r>
  <r>
    <n v="32"/>
    <x v="0"/>
    <n v="1"/>
    <s v="Travel_Rarely"/>
    <n v="1259"/>
    <x v="1"/>
    <n v="2"/>
    <n v="4"/>
    <x v="0"/>
    <n v="1"/>
    <n v="1692"/>
    <n v="4"/>
    <x v="1"/>
    <n v="95"/>
    <n v="3"/>
    <x v="1"/>
    <x v="2"/>
    <n v="2"/>
    <x v="0"/>
    <n v="1393"/>
    <n v="24852"/>
    <n v="1"/>
    <s v="Y"/>
    <x v="1"/>
    <n v="12"/>
    <n v="3"/>
    <n v="1"/>
    <n v="80"/>
    <n v="0"/>
    <n v="1"/>
    <n v="2"/>
    <n v="3"/>
    <x v="6"/>
    <n v="0"/>
    <n v="0"/>
    <n v="0"/>
  </r>
  <r>
    <n v="26"/>
    <x v="1"/>
    <n v="0"/>
    <s v="Non-Travel"/>
    <n v="786"/>
    <x v="1"/>
    <n v="7"/>
    <n v="3"/>
    <x v="2"/>
    <n v="1"/>
    <n v="1693"/>
    <n v="4"/>
    <x v="1"/>
    <n v="76"/>
    <n v="3"/>
    <x v="1"/>
    <x v="2"/>
    <n v="4"/>
    <x v="0"/>
    <n v="2570"/>
    <n v="11925"/>
    <n v="1"/>
    <s v="Y"/>
    <x v="1"/>
    <n v="20"/>
    <n v="4"/>
    <n v="3"/>
    <n v="80"/>
    <n v="0"/>
    <n v="7"/>
    <n v="5"/>
    <n v="3"/>
    <x v="5"/>
    <n v="7"/>
    <n v="5"/>
    <n v="7"/>
  </r>
  <r>
    <n v="55"/>
    <x v="1"/>
    <n v="0"/>
    <s v="Travel_Rarely"/>
    <n v="1441"/>
    <x v="1"/>
    <n v="22"/>
    <n v="3"/>
    <x v="4"/>
    <n v="1"/>
    <n v="1694"/>
    <n v="1"/>
    <x v="1"/>
    <n v="94"/>
    <n v="2"/>
    <x v="1"/>
    <x v="1"/>
    <n v="2"/>
    <x v="2"/>
    <n v="3537"/>
    <n v="23737"/>
    <n v="5"/>
    <s v="Y"/>
    <x v="1"/>
    <n v="12"/>
    <n v="3"/>
    <n v="4"/>
    <n v="80"/>
    <n v="1"/>
    <n v="8"/>
    <n v="1"/>
    <n v="3"/>
    <x v="9"/>
    <n v="2"/>
    <n v="1"/>
    <n v="2"/>
  </r>
  <r>
    <n v="34"/>
    <x v="1"/>
    <n v="0"/>
    <s v="Travel_Rarely"/>
    <n v="1157"/>
    <x v="1"/>
    <n v="5"/>
    <n v="2"/>
    <x v="2"/>
    <n v="1"/>
    <n v="1696"/>
    <n v="2"/>
    <x v="1"/>
    <n v="57"/>
    <n v="2"/>
    <x v="0"/>
    <x v="2"/>
    <n v="4"/>
    <x v="1"/>
    <n v="3986"/>
    <n v="11912"/>
    <n v="1"/>
    <s v="Y"/>
    <x v="1"/>
    <n v="14"/>
    <n v="3"/>
    <n v="3"/>
    <n v="80"/>
    <n v="1"/>
    <n v="15"/>
    <n v="3"/>
    <n v="4"/>
    <x v="15"/>
    <n v="10"/>
    <n v="4"/>
    <n v="13"/>
  </r>
  <r>
    <n v="60"/>
    <x v="1"/>
    <n v="0"/>
    <s v="Travel_Rarely"/>
    <n v="370"/>
    <x v="1"/>
    <n v="1"/>
    <n v="4"/>
    <x v="2"/>
    <n v="1"/>
    <n v="1697"/>
    <n v="3"/>
    <x v="1"/>
    <n v="92"/>
    <n v="1"/>
    <x v="2"/>
    <x v="4"/>
    <n v="4"/>
    <x v="2"/>
    <n v="10883"/>
    <n v="20467"/>
    <n v="3"/>
    <s v="Y"/>
    <x v="1"/>
    <n v="20"/>
    <n v="4"/>
    <n v="3"/>
    <n v="80"/>
    <n v="1"/>
    <n v="19"/>
    <n v="2"/>
    <n v="4"/>
    <x v="6"/>
    <n v="0"/>
    <n v="0"/>
    <n v="0"/>
  </r>
  <r>
    <n v="33"/>
    <x v="1"/>
    <n v="0"/>
    <s v="Travel_Rarely"/>
    <n v="267"/>
    <x v="1"/>
    <n v="21"/>
    <n v="3"/>
    <x v="2"/>
    <n v="1"/>
    <n v="1698"/>
    <n v="2"/>
    <x v="1"/>
    <n v="79"/>
    <n v="4"/>
    <x v="1"/>
    <x v="2"/>
    <n v="2"/>
    <x v="1"/>
    <n v="2028"/>
    <n v="13637"/>
    <n v="1"/>
    <s v="Y"/>
    <x v="1"/>
    <n v="18"/>
    <n v="3"/>
    <n v="4"/>
    <n v="80"/>
    <n v="3"/>
    <n v="14"/>
    <n v="6"/>
    <n v="3"/>
    <x v="13"/>
    <n v="11"/>
    <n v="2"/>
    <n v="13"/>
  </r>
  <r>
    <n v="37"/>
    <x v="1"/>
    <n v="0"/>
    <s v="Travel_Frequently"/>
    <n v="1278"/>
    <x v="0"/>
    <n v="1"/>
    <n v="4"/>
    <x v="2"/>
    <n v="1"/>
    <n v="1700"/>
    <n v="3"/>
    <x v="1"/>
    <n v="31"/>
    <n v="1"/>
    <x v="0"/>
    <x v="0"/>
    <n v="4"/>
    <x v="2"/>
    <n v="9525"/>
    <n v="7677"/>
    <n v="1"/>
    <s v="Y"/>
    <x v="1"/>
    <n v="14"/>
    <n v="3"/>
    <n v="3"/>
    <n v="80"/>
    <n v="2"/>
    <n v="6"/>
    <n v="2"/>
    <n v="2"/>
    <x v="0"/>
    <n v="3"/>
    <n v="1"/>
    <n v="3"/>
  </r>
  <r>
    <n v="34"/>
    <x v="1"/>
    <n v="0"/>
    <s v="Travel_Rarely"/>
    <n v="678"/>
    <x v="1"/>
    <n v="19"/>
    <n v="3"/>
    <x v="0"/>
    <n v="1"/>
    <n v="1701"/>
    <n v="2"/>
    <x v="0"/>
    <n v="35"/>
    <n v="2"/>
    <x v="1"/>
    <x v="1"/>
    <n v="4"/>
    <x v="1"/>
    <n v="2929"/>
    <n v="20338"/>
    <n v="1"/>
    <s v="Y"/>
    <x v="1"/>
    <n v="12"/>
    <n v="3"/>
    <n v="2"/>
    <n v="80"/>
    <n v="0"/>
    <n v="10"/>
    <n v="3"/>
    <n v="3"/>
    <x v="1"/>
    <n v="9"/>
    <n v="8"/>
    <n v="7"/>
  </r>
  <r>
    <n v="23"/>
    <x v="0"/>
    <n v="1"/>
    <s v="Travel_Rarely"/>
    <n v="427"/>
    <x v="0"/>
    <n v="7"/>
    <n v="3"/>
    <x v="0"/>
    <n v="1"/>
    <n v="1702"/>
    <n v="3"/>
    <x v="1"/>
    <n v="99"/>
    <n v="3"/>
    <x v="1"/>
    <x v="6"/>
    <n v="4"/>
    <x v="2"/>
    <n v="2275"/>
    <n v="25103"/>
    <n v="1"/>
    <s v="Y"/>
    <x v="0"/>
    <n v="21"/>
    <n v="4"/>
    <n v="2"/>
    <n v="80"/>
    <n v="1"/>
    <n v="3"/>
    <n v="2"/>
    <n v="3"/>
    <x v="11"/>
    <n v="2"/>
    <n v="0"/>
    <n v="2"/>
  </r>
  <r>
    <n v="44"/>
    <x v="1"/>
    <n v="0"/>
    <s v="Travel_Rarely"/>
    <n v="921"/>
    <x v="1"/>
    <n v="2"/>
    <n v="3"/>
    <x v="0"/>
    <n v="1"/>
    <n v="1703"/>
    <n v="3"/>
    <x v="0"/>
    <n v="96"/>
    <n v="4"/>
    <x v="2"/>
    <x v="4"/>
    <n v="4"/>
    <x v="1"/>
    <n v="7879"/>
    <n v="14810"/>
    <n v="1"/>
    <s v="Y"/>
    <x v="0"/>
    <n v="19"/>
    <n v="3"/>
    <n v="2"/>
    <n v="80"/>
    <n v="1"/>
    <n v="9"/>
    <n v="2"/>
    <n v="3"/>
    <x v="3"/>
    <n v="7"/>
    <n v="6"/>
    <n v="7"/>
  </r>
  <r>
    <n v="35"/>
    <x v="1"/>
    <n v="0"/>
    <s v="Travel_Frequently"/>
    <n v="146"/>
    <x v="1"/>
    <n v="2"/>
    <n v="4"/>
    <x v="2"/>
    <n v="1"/>
    <n v="1704"/>
    <n v="1"/>
    <x v="1"/>
    <n v="79"/>
    <n v="2"/>
    <x v="1"/>
    <x v="1"/>
    <n v="4"/>
    <x v="0"/>
    <n v="4930"/>
    <n v="13970"/>
    <n v="0"/>
    <s v="Y"/>
    <x v="0"/>
    <n v="14"/>
    <n v="3"/>
    <n v="3"/>
    <n v="80"/>
    <n v="0"/>
    <n v="6"/>
    <n v="2"/>
    <n v="4"/>
    <x v="8"/>
    <n v="4"/>
    <n v="1"/>
    <n v="4"/>
  </r>
  <r>
    <n v="43"/>
    <x v="1"/>
    <n v="0"/>
    <s v="Travel_Rarely"/>
    <n v="1179"/>
    <x v="0"/>
    <n v="2"/>
    <n v="3"/>
    <x v="2"/>
    <n v="1"/>
    <n v="1706"/>
    <n v="4"/>
    <x v="1"/>
    <n v="73"/>
    <n v="3"/>
    <x v="0"/>
    <x v="0"/>
    <n v="4"/>
    <x v="1"/>
    <n v="7847"/>
    <n v="6069"/>
    <n v="1"/>
    <s v="Y"/>
    <x v="0"/>
    <n v="17"/>
    <n v="3"/>
    <n v="1"/>
    <n v="80"/>
    <n v="1"/>
    <n v="10"/>
    <n v="3"/>
    <n v="3"/>
    <x v="1"/>
    <n v="9"/>
    <n v="8"/>
    <n v="8"/>
  </r>
  <r>
    <n v="24"/>
    <x v="1"/>
    <n v="0"/>
    <s v="Travel_Rarely"/>
    <n v="581"/>
    <x v="1"/>
    <n v="9"/>
    <n v="3"/>
    <x v="2"/>
    <n v="1"/>
    <n v="1707"/>
    <n v="3"/>
    <x v="1"/>
    <n v="62"/>
    <n v="4"/>
    <x v="1"/>
    <x v="1"/>
    <n v="3"/>
    <x v="1"/>
    <n v="4401"/>
    <n v="17616"/>
    <n v="1"/>
    <s v="Y"/>
    <x v="1"/>
    <n v="16"/>
    <n v="3"/>
    <n v="4"/>
    <n v="80"/>
    <n v="1"/>
    <n v="5"/>
    <n v="1"/>
    <n v="3"/>
    <x v="8"/>
    <n v="3"/>
    <n v="0"/>
    <n v="4"/>
  </r>
  <r>
    <n v="41"/>
    <x v="1"/>
    <n v="0"/>
    <s v="Travel_Rarely"/>
    <n v="918"/>
    <x v="0"/>
    <n v="6"/>
    <n v="3"/>
    <x v="3"/>
    <n v="1"/>
    <n v="1708"/>
    <n v="4"/>
    <x v="1"/>
    <n v="35"/>
    <n v="3"/>
    <x v="2"/>
    <x v="0"/>
    <n v="3"/>
    <x v="0"/>
    <n v="9241"/>
    <n v="15869"/>
    <n v="1"/>
    <s v="Y"/>
    <x v="1"/>
    <n v="12"/>
    <n v="3"/>
    <n v="2"/>
    <n v="80"/>
    <n v="0"/>
    <n v="10"/>
    <n v="3"/>
    <n v="3"/>
    <x v="1"/>
    <n v="8"/>
    <n v="8"/>
    <n v="7"/>
  </r>
  <r>
    <n v="29"/>
    <x v="1"/>
    <n v="0"/>
    <s v="Travel_Rarely"/>
    <n v="1082"/>
    <x v="1"/>
    <n v="9"/>
    <n v="4"/>
    <x v="2"/>
    <n v="1"/>
    <n v="1709"/>
    <n v="4"/>
    <x v="0"/>
    <n v="43"/>
    <n v="3"/>
    <x v="1"/>
    <x v="2"/>
    <n v="3"/>
    <x v="1"/>
    <n v="2974"/>
    <n v="25412"/>
    <n v="9"/>
    <s v="Y"/>
    <x v="1"/>
    <n v="17"/>
    <n v="3"/>
    <n v="3"/>
    <n v="80"/>
    <n v="1"/>
    <n v="9"/>
    <n v="2"/>
    <n v="3"/>
    <x v="8"/>
    <n v="3"/>
    <n v="1"/>
    <n v="2"/>
  </r>
  <r>
    <n v="36"/>
    <x v="1"/>
    <n v="0"/>
    <s v="Travel_Rarely"/>
    <n v="530"/>
    <x v="0"/>
    <n v="2"/>
    <n v="4"/>
    <x v="0"/>
    <n v="1"/>
    <n v="1710"/>
    <n v="3"/>
    <x v="0"/>
    <n v="51"/>
    <n v="3"/>
    <x v="0"/>
    <x v="6"/>
    <n v="4"/>
    <x v="0"/>
    <n v="4502"/>
    <n v="7439"/>
    <n v="3"/>
    <s v="Y"/>
    <x v="1"/>
    <n v="15"/>
    <n v="3"/>
    <n v="3"/>
    <n v="80"/>
    <n v="0"/>
    <n v="17"/>
    <n v="2"/>
    <n v="2"/>
    <x v="20"/>
    <n v="7"/>
    <n v="6"/>
    <n v="7"/>
  </r>
  <r>
    <n v="45"/>
    <x v="1"/>
    <n v="0"/>
    <s v="Non-Travel"/>
    <n v="1238"/>
    <x v="1"/>
    <n v="1"/>
    <n v="1"/>
    <x v="0"/>
    <n v="1"/>
    <n v="1712"/>
    <n v="3"/>
    <x v="1"/>
    <n v="74"/>
    <n v="2"/>
    <x v="2"/>
    <x v="4"/>
    <n v="3"/>
    <x v="1"/>
    <n v="10748"/>
    <n v="3395"/>
    <n v="3"/>
    <s v="Y"/>
    <x v="1"/>
    <n v="23"/>
    <n v="4"/>
    <n v="4"/>
    <n v="80"/>
    <n v="1"/>
    <n v="25"/>
    <n v="3"/>
    <n v="2"/>
    <x v="36"/>
    <n v="15"/>
    <n v="14"/>
    <n v="4"/>
  </r>
  <r>
    <n v="24"/>
    <x v="0"/>
    <n v="1"/>
    <s v="Travel_Rarely"/>
    <n v="240"/>
    <x v="2"/>
    <n v="22"/>
    <n v="1"/>
    <x v="5"/>
    <n v="1"/>
    <n v="1714"/>
    <n v="4"/>
    <x v="1"/>
    <n v="58"/>
    <n v="1"/>
    <x v="1"/>
    <x v="8"/>
    <n v="3"/>
    <x v="1"/>
    <n v="1555"/>
    <n v="11585"/>
    <n v="1"/>
    <s v="Y"/>
    <x v="1"/>
    <n v="11"/>
    <n v="3"/>
    <n v="3"/>
    <n v="80"/>
    <n v="1"/>
    <n v="1"/>
    <n v="2"/>
    <n v="3"/>
    <x v="6"/>
    <n v="0"/>
    <n v="0"/>
    <n v="0"/>
  </r>
  <r>
    <n v="47"/>
    <x v="0"/>
    <n v="1"/>
    <s v="Travel_Frequently"/>
    <n v="1093"/>
    <x v="0"/>
    <n v="9"/>
    <n v="3"/>
    <x v="0"/>
    <n v="1"/>
    <n v="1716"/>
    <n v="3"/>
    <x v="1"/>
    <n v="82"/>
    <n v="1"/>
    <x v="3"/>
    <x v="0"/>
    <n v="3"/>
    <x v="1"/>
    <n v="12936"/>
    <n v="24164"/>
    <n v="7"/>
    <s v="Y"/>
    <x v="1"/>
    <n v="11"/>
    <n v="3"/>
    <n v="3"/>
    <n v="80"/>
    <n v="0"/>
    <n v="25"/>
    <n v="3"/>
    <n v="1"/>
    <x v="36"/>
    <n v="5"/>
    <n v="14"/>
    <n v="10"/>
  </r>
  <r>
    <n v="26"/>
    <x v="1"/>
    <n v="0"/>
    <s v="Travel_Rarely"/>
    <n v="390"/>
    <x v="1"/>
    <n v="17"/>
    <n v="4"/>
    <x v="2"/>
    <n v="1"/>
    <n v="1718"/>
    <n v="4"/>
    <x v="1"/>
    <n v="62"/>
    <n v="1"/>
    <x v="1"/>
    <x v="2"/>
    <n v="3"/>
    <x v="1"/>
    <n v="2305"/>
    <n v="6217"/>
    <n v="1"/>
    <s v="Y"/>
    <x v="1"/>
    <n v="15"/>
    <n v="3"/>
    <n v="3"/>
    <n v="80"/>
    <n v="3"/>
    <n v="3"/>
    <n v="3"/>
    <n v="4"/>
    <x v="11"/>
    <n v="2"/>
    <n v="0"/>
    <n v="2"/>
  </r>
  <r>
    <n v="45"/>
    <x v="1"/>
    <n v="0"/>
    <s v="Travel_Rarely"/>
    <n v="1005"/>
    <x v="1"/>
    <n v="28"/>
    <n v="2"/>
    <x v="4"/>
    <n v="1"/>
    <n v="1719"/>
    <n v="4"/>
    <x v="0"/>
    <n v="48"/>
    <n v="2"/>
    <x v="3"/>
    <x v="7"/>
    <n v="2"/>
    <x v="0"/>
    <n v="16704"/>
    <n v="17119"/>
    <n v="1"/>
    <s v="Y"/>
    <x v="1"/>
    <n v="11"/>
    <n v="3"/>
    <n v="3"/>
    <n v="80"/>
    <n v="0"/>
    <n v="21"/>
    <n v="2"/>
    <n v="3"/>
    <x v="17"/>
    <n v="6"/>
    <n v="8"/>
    <n v="6"/>
  </r>
  <r>
    <n v="32"/>
    <x v="1"/>
    <n v="0"/>
    <s v="Travel_Frequently"/>
    <n v="585"/>
    <x v="1"/>
    <n v="10"/>
    <n v="3"/>
    <x v="0"/>
    <n v="1"/>
    <n v="1720"/>
    <n v="1"/>
    <x v="1"/>
    <n v="56"/>
    <n v="3"/>
    <x v="1"/>
    <x v="1"/>
    <n v="3"/>
    <x v="1"/>
    <n v="3433"/>
    <n v="17360"/>
    <n v="6"/>
    <s v="Y"/>
    <x v="1"/>
    <n v="13"/>
    <n v="3"/>
    <n v="1"/>
    <n v="80"/>
    <n v="1"/>
    <n v="10"/>
    <n v="3"/>
    <n v="2"/>
    <x v="8"/>
    <n v="2"/>
    <n v="1"/>
    <n v="3"/>
  </r>
  <r>
    <n v="31"/>
    <x v="1"/>
    <n v="0"/>
    <s v="Travel_Rarely"/>
    <n v="741"/>
    <x v="1"/>
    <n v="2"/>
    <n v="4"/>
    <x v="0"/>
    <n v="1"/>
    <n v="1721"/>
    <n v="2"/>
    <x v="1"/>
    <n v="69"/>
    <n v="3"/>
    <x v="1"/>
    <x v="2"/>
    <n v="3"/>
    <x v="1"/>
    <n v="3477"/>
    <n v="18103"/>
    <n v="1"/>
    <s v="Y"/>
    <x v="1"/>
    <n v="14"/>
    <n v="3"/>
    <n v="4"/>
    <n v="80"/>
    <n v="1"/>
    <n v="6"/>
    <n v="2"/>
    <n v="4"/>
    <x v="8"/>
    <n v="2"/>
    <n v="0"/>
    <n v="3"/>
  </r>
  <r>
    <n v="41"/>
    <x v="1"/>
    <n v="0"/>
    <s v="Non-Travel"/>
    <n v="552"/>
    <x v="2"/>
    <n v="4"/>
    <n v="3"/>
    <x v="5"/>
    <n v="1"/>
    <n v="1722"/>
    <n v="3"/>
    <x v="1"/>
    <n v="60"/>
    <n v="1"/>
    <x v="0"/>
    <x v="8"/>
    <n v="2"/>
    <x v="1"/>
    <n v="6430"/>
    <n v="20794"/>
    <n v="6"/>
    <s v="Y"/>
    <x v="1"/>
    <n v="19"/>
    <n v="3"/>
    <n v="2"/>
    <n v="80"/>
    <n v="1"/>
    <n v="10"/>
    <n v="4"/>
    <n v="3"/>
    <x v="11"/>
    <n v="2"/>
    <n v="1"/>
    <n v="2"/>
  </r>
  <r>
    <n v="40"/>
    <x v="1"/>
    <n v="0"/>
    <s v="Travel_Rarely"/>
    <n v="369"/>
    <x v="1"/>
    <n v="8"/>
    <n v="2"/>
    <x v="0"/>
    <n v="1"/>
    <n v="1724"/>
    <n v="2"/>
    <x v="0"/>
    <n v="92"/>
    <n v="3"/>
    <x v="0"/>
    <x v="3"/>
    <n v="1"/>
    <x v="1"/>
    <n v="6516"/>
    <n v="5041"/>
    <n v="2"/>
    <s v="Y"/>
    <x v="0"/>
    <n v="16"/>
    <n v="3"/>
    <n v="2"/>
    <n v="80"/>
    <n v="1"/>
    <n v="18"/>
    <n v="3"/>
    <n v="3"/>
    <x v="6"/>
    <n v="0"/>
    <n v="0"/>
    <n v="0"/>
  </r>
  <r>
    <n v="24"/>
    <x v="1"/>
    <n v="0"/>
    <s v="Travel_Rarely"/>
    <n v="506"/>
    <x v="1"/>
    <n v="29"/>
    <n v="1"/>
    <x v="2"/>
    <n v="1"/>
    <n v="1725"/>
    <n v="2"/>
    <x v="1"/>
    <n v="91"/>
    <n v="3"/>
    <x v="1"/>
    <x v="2"/>
    <n v="1"/>
    <x v="2"/>
    <n v="3907"/>
    <n v="3622"/>
    <n v="1"/>
    <s v="Y"/>
    <x v="1"/>
    <n v="13"/>
    <n v="3"/>
    <n v="2"/>
    <n v="80"/>
    <n v="3"/>
    <n v="6"/>
    <n v="2"/>
    <n v="4"/>
    <x v="0"/>
    <n v="2"/>
    <n v="1"/>
    <n v="2"/>
  </r>
  <r>
    <n v="46"/>
    <x v="1"/>
    <n v="0"/>
    <s v="Travel_Rarely"/>
    <n v="717"/>
    <x v="1"/>
    <n v="13"/>
    <n v="4"/>
    <x v="0"/>
    <n v="1"/>
    <n v="1727"/>
    <n v="3"/>
    <x v="1"/>
    <n v="34"/>
    <n v="3"/>
    <x v="0"/>
    <x v="4"/>
    <n v="2"/>
    <x v="0"/>
    <n v="5562"/>
    <n v="9697"/>
    <n v="6"/>
    <s v="Y"/>
    <x v="1"/>
    <n v="14"/>
    <n v="3"/>
    <n v="4"/>
    <n v="80"/>
    <n v="0"/>
    <n v="19"/>
    <n v="3"/>
    <n v="3"/>
    <x v="1"/>
    <n v="7"/>
    <n v="0"/>
    <n v="9"/>
  </r>
  <r>
    <n v="35"/>
    <x v="1"/>
    <n v="0"/>
    <s v="Travel_Rarely"/>
    <n v="1370"/>
    <x v="1"/>
    <n v="27"/>
    <n v="4"/>
    <x v="0"/>
    <n v="1"/>
    <n v="1728"/>
    <n v="4"/>
    <x v="1"/>
    <n v="49"/>
    <n v="3"/>
    <x v="0"/>
    <x v="3"/>
    <n v="3"/>
    <x v="1"/>
    <n v="6883"/>
    <n v="5151"/>
    <n v="2"/>
    <s v="Y"/>
    <x v="1"/>
    <n v="16"/>
    <n v="3"/>
    <n v="2"/>
    <n v="80"/>
    <n v="1"/>
    <n v="17"/>
    <n v="3"/>
    <n v="3"/>
    <x v="5"/>
    <n v="7"/>
    <n v="0"/>
    <n v="7"/>
  </r>
  <r>
    <n v="30"/>
    <x v="1"/>
    <n v="0"/>
    <s v="Travel_Rarely"/>
    <n v="793"/>
    <x v="1"/>
    <n v="16"/>
    <n v="1"/>
    <x v="0"/>
    <n v="1"/>
    <n v="1729"/>
    <n v="2"/>
    <x v="1"/>
    <n v="33"/>
    <n v="3"/>
    <x v="1"/>
    <x v="1"/>
    <n v="4"/>
    <x v="1"/>
    <n v="2862"/>
    <n v="3811"/>
    <n v="1"/>
    <s v="Y"/>
    <x v="1"/>
    <n v="12"/>
    <n v="3"/>
    <n v="2"/>
    <n v="80"/>
    <n v="1"/>
    <n v="10"/>
    <n v="2"/>
    <n v="2"/>
    <x v="1"/>
    <n v="0"/>
    <n v="0"/>
    <n v="8"/>
  </r>
  <r>
    <n v="47"/>
    <x v="1"/>
    <n v="0"/>
    <s v="Non-Travel"/>
    <n v="543"/>
    <x v="0"/>
    <n v="2"/>
    <n v="4"/>
    <x v="3"/>
    <n v="1"/>
    <n v="1731"/>
    <n v="3"/>
    <x v="1"/>
    <n v="87"/>
    <n v="3"/>
    <x v="0"/>
    <x v="0"/>
    <n v="2"/>
    <x v="1"/>
    <n v="4978"/>
    <n v="3536"/>
    <n v="7"/>
    <s v="Y"/>
    <x v="1"/>
    <n v="11"/>
    <n v="3"/>
    <n v="4"/>
    <n v="80"/>
    <n v="1"/>
    <n v="4"/>
    <n v="3"/>
    <n v="1"/>
    <x v="6"/>
    <n v="0"/>
    <n v="0"/>
    <n v="0"/>
  </r>
  <r>
    <n v="46"/>
    <x v="1"/>
    <n v="0"/>
    <s v="Travel_Rarely"/>
    <n v="1277"/>
    <x v="0"/>
    <n v="2"/>
    <n v="3"/>
    <x v="0"/>
    <n v="1"/>
    <n v="1732"/>
    <n v="3"/>
    <x v="1"/>
    <n v="74"/>
    <n v="3"/>
    <x v="2"/>
    <x v="0"/>
    <n v="4"/>
    <x v="2"/>
    <n v="10368"/>
    <n v="5596"/>
    <n v="4"/>
    <s v="Y"/>
    <x v="0"/>
    <n v="12"/>
    <n v="3"/>
    <n v="2"/>
    <n v="80"/>
    <n v="1"/>
    <n v="13"/>
    <n v="5"/>
    <n v="2"/>
    <x v="1"/>
    <n v="6"/>
    <n v="0"/>
    <n v="3"/>
  </r>
  <r>
    <n v="36"/>
    <x v="0"/>
    <n v="1"/>
    <s v="Travel_Rarely"/>
    <n v="1456"/>
    <x v="0"/>
    <n v="13"/>
    <n v="5"/>
    <x v="3"/>
    <n v="1"/>
    <n v="1733"/>
    <n v="2"/>
    <x v="1"/>
    <n v="96"/>
    <n v="2"/>
    <x v="0"/>
    <x v="0"/>
    <n v="1"/>
    <x v="2"/>
    <n v="6134"/>
    <n v="8658"/>
    <n v="5"/>
    <s v="Y"/>
    <x v="0"/>
    <n v="13"/>
    <n v="3"/>
    <n v="2"/>
    <n v="80"/>
    <n v="3"/>
    <n v="16"/>
    <n v="3"/>
    <n v="3"/>
    <x v="4"/>
    <n v="2"/>
    <n v="2"/>
    <n v="2"/>
  </r>
  <r>
    <n v="32"/>
    <x v="0"/>
    <n v="1"/>
    <s v="Travel_Rarely"/>
    <n v="964"/>
    <x v="0"/>
    <n v="1"/>
    <n v="2"/>
    <x v="0"/>
    <n v="1"/>
    <n v="1734"/>
    <n v="1"/>
    <x v="1"/>
    <n v="34"/>
    <n v="1"/>
    <x v="0"/>
    <x v="0"/>
    <n v="2"/>
    <x v="0"/>
    <n v="6735"/>
    <n v="12147"/>
    <n v="6"/>
    <s v="Y"/>
    <x v="1"/>
    <n v="15"/>
    <n v="3"/>
    <n v="2"/>
    <n v="80"/>
    <n v="0"/>
    <n v="10"/>
    <n v="2"/>
    <n v="3"/>
    <x v="2"/>
    <n v="0"/>
    <n v="0"/>
    <n v="0"/>
  </r>
  <r>
    <n v="23"/>
    <x v="1"/>
    <n v="0"/>
    <s v="Travel_Rarely"/>
    <n v="160"/>
    <x v="1"/>
    <n v="4"/>
    <n v="1"/>
    <x v="2"/>
    <n v="1"/>
    <n v="1735"/>
    <n v="3"/>
    <x v="0"/>
    <n v="51"/>
    <n v="3"/>
    <x v="1"/>
    <x v="2"/>
    <n v="2"/>
    <x v="0"/>
    <n v="3295"/>
    <n v="12862"/>
    <n v="1"/>
    <s v="Y"/>
    <x v="1"/>
    <n v="13"/>
    <n v="3"/>
    <n v="3"/>
    <n v="80"/>
    <n v="0"/>
    <n v="3"/>
    <n v="3"/>
    <n v="1"/>
    <x v="11"/>
    <n v="2"/>
    <n v="1"/>
    <n v="2"/>
  </r>
  <r>
    <n v="31"/>
    <x v="1"/>
    <n v="0"/>
    <s v="Travel_Frequently"/>
    <n v="163"/>
    <x v="1"/>
    <n v="24"/>
    <n v="1"/>
    <x v="4"/>
    <n v="1"/>
    <n v="1736"/>
    <n v="4"/>
    <x v="0"/>
    <n v="30"/>
    <n v="3"/>
    <x v="0"/>
    <x v="3"/>
    <n v="4"/>
    <x v="0"/>
    <n v="5238"/>
    <n v="6670"/>
    <n v="2"/>
    <s v="Y"/>
    <x v="1"/>
    <n v="20"/>
    <n v="4"/>
    <n v="4"/>
    <n v="80"/>
    <n v="0"/>
    <n v="9"/>
    <n v="3"/>
    <n v="2"/>
    <x v="8"/>
    <n v="4"/>
    <n v="1"/>
    <n v="4"/>
  </r>
  <r>
    <n v="39"/>
    <x v="1"/>
    <n v="0"/>
    <s v="Non-Travel"/>
    <n v="792"/>
    <x v="1"/>
    <n v="1"/>
    <n v="3"/>
    <x v="0"/>
    <n v="1"/>
    <n v="1737"/>
    <n v="4"/>
    <x v="1"/>
    <n v="77"/>
    <n v="3"/>
    <x v="0"/>
    <x v="2"/>
    <n v="4"/>
    <x v="1"/>
    <n v="6472"/>
    <n v="8989"/>
    <n v="1"/>
    <s v="Y"/>
    <x v="0"/>
    <n v="15"/>
    <n v="3"/>
    <n v="4"/>
    <n v="80"/>
    <n v="1"/>
    <n v="9"/>
    <n v="2"/>
    <n v="3"/>
    <x v="7"/>
    <n v="8"/>
    <n v="5"/>
    <n v="8"/>
  </r>
  <r>
    <n v="32"/>
    <x v="1"/>
    <n v="0"/>
    <s v="Travel_Rarely"/>
    <n v="371"/>
    <x v="0"/>
    <n v="19"/>
    <n v="3"/>
    <x v="0"/>
    <n v="1"/>
    <n v="1739"/>
    <n v="4"/>
    <x v="1"/>
    <n v="80"/>
    <n v="1"/>
    <x v="2"/>
    <x v="0"/>
    <n v="3"/>
    <x v="1"/>
    <n v="9610"/>
    <n v="3840"/>
    <n v="3"/>
    <s v="Y"/>
    <x v="1"/>
    <n v="13"/>
    <n v="3"/>
    <n v="3"/>
    <n v="80"/>
    <n v="1"/>
    <n v="10"/>
    <n v="2"/>
    <n v="1"/>
    <x v="9"/>
    <n v="3"/>
    <n v="0"/>
    <n v="2"/>
  </r>
  <r>
    <n v="40"/>
    <x v="1"/>
    <n v="0"/>
    <s v="Travel_Rarely"/>
    <n v="611"/>
    <x v="0"/>
    <n v="7"/>
    <n v="4"/>
    <x v="2"/>
    <n v="1"/>
    <n v="1740"/>
    <n v="2"/>
    <x v="1"/>
    <n v="88"/>
    <n v="3"/>
    <x v="4"/>
    <x v="5"/>
    <n v="2"/>
    <x v="0"/>
    <n v="19833"/>
    <n v="4349"/>
    <n v="1"/>
    <s v="Y"/>
    <x v="1"/>
    <n v="14"/>
    <n v="3"/>
    <n v="2"/>
    <n v="80"/>
    <n v="0"/>
    <n v="21"/>
    <n v="3"/>
    <n v="2"/>
    <x v="17"/>
    <n v="8"/>
    <n v="12"/>
    <n v="8"/>
  </r>
  <r>
    <n v="45"/>
    <x v="1"/>
    <n v="0"/>
    <s v="Travel_Rarely"/>
    <n v="176"/>
    <x v="2"/>
    <n v="4"/>
    <n v="3"/>
    <x v="0"/>
    <n v="1"/>
    <n v="1744"/>
    <n v="3"/>
    <x v="0"/>
    <n v="56"/>
    <n v="1"/>
    <x v="2"/>
    <x v="8"/>
    <n v="3"/>
    <x v="1"/>
    <n v="9756"/>
    <n v="6595"/>
    <n v="4"/>
    <s v="Y"/>
    <x v="1"/>
    <n v="21"/>
    <n v="4"/>
    <n v="3"/>
    <n v="80"/>
    <n v="2"/>
    <n v="9"/>
    <n v="2"/>
    <n v="4"/>
    <x v="8"/>
    <n v="0"/>
    <n v="0"/>
    <n v="3"/>
  </r>
  <r>
    <n v="30"/>
    <x v="1"/>
    <n v="0"/>
    <s v="Travel_Frequently"/>
    <n v="1312"/>
    <x v="1"/>
    <n v="2"/>
    <n v="4"/>
    <x v="4"/>
    <n v="1"/>
    <n v="1745"/>
    <n v="4"/>
    <x v="0"/>
    <n v="78"/>
    <n v="2"/>
    <x v="1"/>
    <x v="1"/>
    <n v="1"/>
    <x v="0"/>
    <n v="4968"/>
    <n v="26427"/>
    <n v="0"/>
    <s v="Y"/>
    <x v="1"/>
    <n v="16"/>
    <n v="3"/>
    <n v="4"/>
    <n v="80"/>
    <n v="0"/>
    <n v="10"/>
    <n v="2"/>
    <n v="3"/>
    <x v="7"/>
    <n v="7"/>
    <n v="0"/>
    <n v="7"/>
  </r>
  <r>
    <n v="24"/>
    <x v="1"/>
    <n v="0"/>
    <s v="Travel_Frequently"/>
    <n v="897"/>
    <x v="2"/>
    <n v="10"/>
    <n v="3"/>
    <x v="2"/>
    <n v="1"/>
    <n v="1746"/>
    <n v="1"/>
    <x v="1"/>
    <n v="59"/>
    <n v="3"/>
    <x v="1"/>
    <x v="8"/>
    <n v="4"/>
    <x v="1"/>
    <n v="2145"/>
    <n v="2097"/>
    <n v="0"/>
    <s v="Y"/>
    <x v="1"/>
    <n v="14"/>
    <n v="3"/>
    <n v="4"/>
    <n v="80"/>
    <n v="1"/>
    <n v="3"/>
    <n v="2"/>
    <n v="3"/>
    <x v="4"/>
    <n v="2"/>
    <n v="2"/>
    <n v="1"/>
  </r>
  <r>
    <n v="30"/>
    <x v="0"/>
    <n v="1"/>
    <s v="Travel_Frequently"/>
    <n v="600"/>
    <x v="2"/>
    <n v="8"/>
    <n v="3"/>
    <x v="5"/>
    <n v="1"/>
    <n v="1747"/>
    <n v="3"/>
    <x v="0"/>
    <n v="66"/>
    <n v="2"/>
    <x v="1"/>
    <x v="8"/>
    <n v="4"/>
    <x v="2"/>
    <n v="2180"/>
    <n v="9732"/>
    <n v="6"/>
    <s v="Y"/>
    <x v="1"/>
    <n v="11"/>
    <n v="3"/>
    <n v="3"/>
    <n v="80"/>
    <n v="1"/>
    <n v="6"/>
    <n v="0"/>
    <n v="2"/>
    <x v="9"/>
    <n v="2"/>
    <n v="1"/>
    <n v="2"/>
  </r>
  <r>
    <n v="31"/>
    <x v="1"/>
    <n v="0"/>
    <s v="Travel_Rarely"/>
    <n v="1003"/>
    <x v="0"/>
    <n v="5"/>
    <n v="3"/>
    <x v="4"/>
    <n v="1"/>
    <n v="1749"/>
    <n v="1"/>
    <x v="1"/>
    <n v="51"/>
    <n v="3"/>
    <x v="0"/>
    <x v="0"/>
    <n v="3"/>
    <x v="1"/>
    <n v="8346"/>
    <n v="20943"/>
    <n v="1"/>
    <s v="Y"/>
    <x v="1"/>
    <n v="19"/>
    <n v="3"/>
    <n v="3"/>
    <n v="80"/>
    <n v="1"/>
    <n v="6"/>
    <n v="3"/>
    <n v="3"/>
    <x v="8"/>
    <n v="2"/>
    <n v="0"/>
    <n v="2"/>
  </r>
  <r>
    <n v="27"/>
    <x v="1"/>
    <n v="0"/>
    <s v="Travel_Rarely"/>
    <n v="1054"/>
    <x v="1"/>
    <n v="8"/>
    <n v="3"/>
    <x v="2"/>
    <n v="1"/>
    <n v="1751"/>
    <n v="3"/>
    <x v="0"/>
    <n v="67"/>
    <n v="3"/>
    <x v="1"/>
    <x v="1"/>
    <n v="4"/>
    <x v="0"/>
    <n v="3445"/>
    <n v="6152"/>
    <n v="1"/>
    <s v="Y"/>
    <x v="1"/>
    <n v="11"/>
    <n v="3"/>
    <n v="3"/>
    <n v="80"/>
    <n v="0"/>
    <n v="6"/>
    <n v="5"/>
    <n v="2"/>
    <x v="0"/>
    <n v="2"/>
    <n v="1"/>
    <n v="4"/>
  </r>
  <r>
    <n v="29"/>
    <x v="0"/>
    <n v="1"/>
    <s v="Travel_Rarely"/>
    <n v="428"/>
    <x v="0"/>
    <n v="9"/>
    <n v="3"/>
    <x v="3"/>
    <n v="1"/>
    <n v="1752"/>
    <n v="2"/>
    <x v="0"/>
    <n v="52"/>
    <n v="1"/>
    <x v="1"/>
    <x v="6"/>
    <n v="2"/>
    <x v="0"/>
    <n v="2760"/>
    <n v="14630"/>
    <n v="1"/>
    <s v="Y"/>
    <x v="1"/>
    <n v="13"/>
    <n v="3"/>
    <n v="3"/>
    <n v="80"/>
    <n v="0"/>
    <n v="2"/>
    <n v="3"/>
    <n v="3"/>
    <x v="4"/>
    <n v="2"/>
    <n v="2"/>
    <n v="2"/>
  </r>
  <r>
    <n v="29"/>
    <x v="1"/>
    <n v="0"/>
    <s v="Travel_Frequently"/>
    <n v="461"/>
    <x v="1"/>
    <n v="1"/>
    <n v="3"/>
    <x v="0"/>
    <n v="1"/>
    <n v="1753"/>
    <n v="4"/>
    <x v="1"/>
    <n v="70"/>
    <n v="4"/>
    <x v="0"/>
    <x v="4"/>
    <n v="3"/>
    <x v="0"/>
    <n v="6294"/>
    <n v="23060"/>
    <n v="8"/>
    <s v="Y"/>
    <x v="0"/>
    <n v="12"/>
    <n v="3"/>
    <n v="4"/>
    <n v="80"/>
    <n v="0"/>
    <n v="10"/>
    <n v="5"/>
    <n v="4"/>
    <x v="11"/>
    <n v="2"/>
    <n v="0"/>
    <n v="2"/>
  </r>
  <r>
    <n v="30"/>
    <x v="1"/>
    <n v="0"/>
    <s v="Travel_Rarely"/>
    <n v="979"/>
    <x v="0"/>
    <n v="15"/>
    <n v="2"/>
    <x v="3"/>
    <n v="1"/>
    <n v="1754"/>
    <n v="3"/>
    <x v="1"/>
    <n v="94"/>
    <n v="2"/>
    <x v="2"/>
    <x v="0"/>
    <n v="1"/>
    <x v="2"/>
    <n v="7140"/>
    <n v="3088"/>
    <n v="2"/>
    <s v="Y"/>
    <x v="1"/>
    <n v="11"/>
    <n v="3"/>
    <n v="1"/>
    <n v="80"/>
    <n v="1"/>
    <n v="12"/>
    <n v="2"/>
    <n v="3"/>
    <x v="5"/>
    <n v="7"/>
    <n v="1"/>
    <n v="7"/>
  </r>
  <r>
    <n v="34"/>
    <x v="1"/>
    <n v="0"/>
    <s v="Travel_Rarely"/>
    <n v="181"/>
    <x v="1"/>
    <n v="2"/>
    <n v="4"/>
    <x v="2"/>
    <n v="1"/>
    <n v="1755"/>
    <n v="4"/>
    <x v="1"/>
    <n v="97"/>
    <n v="4"/>
    <x v="1"/>
    <x v="1"/>
    <n v="4"/>
    <x v="1"/>
    <n v="2932"/>
    <n v="5586"/>
    <n v="0"/>
    <s v="Y"/>
    <x v="0"/>
    <n v="14"/>
    <n v="3"/>
    <n v="1"/>
    <n v="80"/>
    <n v="3"/>
    <n v="6"/>
    <n v="3"/>
    <n v="3"/>
    <x v="8"/>
    <n v="0"/>
    <n v="1"/>
    <n v="2"/>
  </r>
  <r>
    <n v="33"/>
    <x v="1"/>
    <n v="0"/>
    <s v="Non-Travel"/>
    <n v="1283"/>
    <x v="0"/>
    <n v="2"/>
    <n v="3"/>
    <x v="3"/>
    <n v="1"/>
    <n v="1756"/>
    <n v="4"/>
    <x v="0"/>
    <n v="62"/>
    <n v="3"/>
    <x v="0"/>
    <x v="0"/>
    <n v="2"/>
    <x v="0"/>
    <n v="5147"/>
    <n v="10697"/>
    <n v="8"/>
    <s v="Y"/>
    <x v="1"/>
    <n v="15"/>
    <n v="3"/>
    <n v="4"/>
    <n v="80"/>
    <n v="0"/>
    <n v="13"/>
    <n v="2"/>
    <n v="2"/>
    <x v="19"/>
    <n v="7"/>
    <n v="1"/>
    <n v="7"/>
  </r>
  <r>
    <n v="49"/>
    <x v="1"/>
    <n v="0"/>
    <s v="Travel_Rarely"/>
    <n v="1313"/>
    <x v="0"/>
    <n v="11"/>
    <n v="4"/>
    <x v="3"/>
    <n v="1"/>
    <n v="1757"/>
    <n v="4"/>
    <x v="0"/>
    <n v="80"/>
    <n v="3"/>
    <x v="0"/>
    <x v="0"/>
    <n v="4"/>
    <x v="0"/>
    <n v="4507"/>
    <n v="8191"/>
    <n v="3"/>
    <s v="Y"/>
    <x v="1"/>
    <n v="12"/>
    <n v="3"/>
    <n v="3"/>
    <n v="80"/>
    <n v="0"/>
    <n v="8"/>
    <n v="1"/>
    <n v="4"/>
    <x v="8"/>
    <n v="1"/>
    <n v="0"/>
    <n v="4"/>
  </r>
  <r>
    <n v="33"/>
    <x v="0"/>
    <n v="1"/>
    <s v="Travel_Rarely"/>
    <n v="211"/>
    <x v="0"/>
    <n v="16"/>
    <n v="3"/>
    <x v="0"/>
    <n v="1"/>
    <n v="1758"/>
    <n v="1"/>
    <x v="0"/>
    <n v="74"/>
    <n v="3"/>
    <x v="2"/>
    <x v="0"/>
    <n v="1"/>
    <x v="0"/>
    <n v="8564"/>
    <n v="10092"/>
    <n v="2"/>
    <s v="Y"/>
    <x v="0"/>
    <n v="20"/>
    <n v="4"/>
    <n v="3"/>
    <n v="80"/>
    <n v="0"/>
    <n v="11"/>
    <n v="2"/>
    <n v="2"/>
    <x v="2"/>
    <n v="0"/>
    <n v="0"/>
    <n v="0"/>
  </r>
  <r>
    <n v="38"/>
    <x v="1"/>
    <n v="0"/>
    <s v="Travel_Frequently"/>
    <n v="594"/>
    <x v="1"/>
    <n v="2"/>
    <n v="2"/>
    <x v="2"/>
    <n v="1"/>
    <n v="1760"/>
    <n v="3"/>
    <x v="0"/>
    <n v="75"/>
    <n v="2"/>
    <x v="1"/>
    <x v="2"/>
    <n v="2"/>
    <x v="1"/>
    <n v="2468"/>
    <n v="15963"/>
    <n v="4"/>
    <s v="Y"/>
    <x v="1"/>
    <n v="14"/>
    <n v="3"/>
    <n v="2"/>
    <n v="80"/>
    <n v="1"/>
    <n v="9"/>
    <n v="4"/>
    <n v="2"/>
    <x v="0"/>
    <n v="1"/>
    <n v="0"/>
    <n v="5"/>
  </r>
  <r>
    <n v="31"/>
    <x v="0"/>
    <n v="1"/>
    <s v="Travel_Rarely"/>
    <n v="1079"/>
    <x v="0"/>
    <n v="16"/>
    <n v="4"/>
    <x v="3"/>
    <n v="1"/>
    <n v="1761"/>
    <n v="1"/>
    <x v="1"/>
    <n v="70"/>
    <n v="3"/>
    <x v="2"/>
    <x v="0"/>
    <n v="3"/>
    <x v="1"/>
    <n v="8161"/>
    <n v="19002"/>
    <n v="2"/>
    <s v="Y"/>
    <x v="1"/>
    <n v="13"/>
    <n v="3"/>
    <n v="1"/>
    <n v="80"/>
    <n v="3"/>
    <n v="10"/>
    <n v="2"/>
    <n v="3"/>
    <x v="6"/>
    <n v="0"/>
    <n v="0"/>
    <n v="0"/>
  </r>
  <r>
    <n v="29"/>
    <x v="1"/>
    <n v="0"/>
    <s v="Travel_Rarely"/>
    <n v="590"/>
    <x v="1"/>
    <n v="4"/>
    <n v="3"/>
    <x v="4"/>
    <n v="1"/>
    <n v="1762"/>
    <n v="4"/>
    <x v="0"/>
    <n v="91"/>
    <n v="2"/>
    <x v="1"/>
    <x v="1"/>
    <n v="1"/>
    <x v="2"/>
    <n v="2109"/>
    <n v="10007"/>
    <n v="1"/>
    <s v="Y"/>
    <x v="1"/>
    <n v="13"/>
    <n v="3"/>
    <n v="3"/>
    <n v="80"/>
    <n v="1"/>
    <n v="1"/>
    <n v="2"/>
    <n v="3"/>
    <x v="6"/>
    <n v="0"/>
    <n v="0"/>
    <n v="0"/>
  </r>
  <r>
    <n v="30"/>
    <x v="1"/>
    <n v="0"/>
    <s v="Travel_Rarely"/>
    <n v="305"/>
    <x v="1"/>
    <n v="16"/>
    <n v="3"/>
    <x v="0"/>
    <n v="1"/>
    <n v="1763"/>
    <n v="3"/>
    <x v="1"/>
    <n v="58"/>
    <n v="4"/>
    <x v="0"/>
    <x v="4"/>
    <n v="3"/>
    <x v="1"/>
    <n v="5294"/>
    <n v="9128"/>
    <n v="3"/>
    <s v="Y"/>
    <x v="1"/>
    <n v="16"/>
    <n v="3"/>
    <n v="3"/>
    <n v="80"/>
    <n v="1"/>
    <n v="10"/>
    <n v="3"/>
    <n v="3"/>
    <x v="5"/>
    <n v="0"/>
    <n v="1"/>
    <n v="7"/>
  </r>
  <r>
    <n v="32"/>
    <x v="1"/>
    <n v="0"/>
    <s v="Non-Travel"/>
    <n v="953"/>
    <x v="1"/>
    <n v="5"/>
    <n v="4"/>
    <x v="4"/>
    <n v="1"/>
    <n v="1764"/>
    <n v="2"/>
    <x v="1"/>
    <n v="65"/>
    <n v="3"/>
    <x v="1"/>
    <x v="1"/>
    <n v="2"/>
    <x v="0"/>
    <n v="2718"/>
    <n v="17674"/>
    <n v="2"/>
    <s v="Y"/>
    <x v="1"/>
    <n v="14"/>
    <n v="3"/>
    <n v="2"/>
    <n v="80"/>
    <n v="0"/>
    <n v="12"/>
    <n v="3"/>
    <n v="3"/>
    <x v="5"/>
    <n v="7"/>
    <n v="0"/>
    <n v="7"/>
  </r>
  <r>
    <n v="38"/>
    <x v="1"/>
    <n v="0"/>
    <s v="Travel_Rarely"/>
    <n v="833"/>
    <x v="1"/>
    <n v="18"/>
    <n v="3"/>
    <x v="2"/>
    <n v="1"/>
    <n v="1766"/>
    <n v="2"/>
    <x v="1"/>
    <n v="60"/>
    <n v="1"/>
    <x v="0"/>
    <x v="4"/>
    <n v="4"/>
    <x v="1"/>
    <n v="5811"/>
    <n v="24539"/>
    <n v="3"/>
    <s v="Y"/>
    <x v="0"/>
    <n v="16"/>
    <n v="3"/>
    <n v="3"/>
    <n v="80"/>
    <n v="1"/>
    <n v="15"/>
    <n v="2"/>
    <n v="3"/>
    <x v="6"/>
    <n v="0"/>
    <n v="1"/>
    <n v="0"/>
  </r>
  <r>
    <n v="43"/>
    <x v="0"/>
    <n v="1"/>
    <s v="Travel_Frequently"/>
    <n v="807"/>
    <x v="1"/>
    <n v="17"/>
    <n v="3"/>
    <x v="4"/>
    <n v="1"/>
    <n v="1767"/>
    <n v="3"/>
    <x v="1"/>
    <n v="38"/>
    <n v="2"/>
    <x v="1"/>
    <x v="1"/>
    <n v="3"/>
    <x v="1"/>
    <n v="2437"/>
    <n v="15587"/>
    <n v="9"/>
    <s v="Y"/>
    <x v="0"/>
    <n v="16"/>
    <n v="3"/>
    <n v="4"/>
    <n v="80"/>
    <n v="1"/>
    <n v="6"/>
    <n v="4"/>
    <n v="3"/>
    <x v="6"/>
    <n v="0"/>
    <n v="0"/>
    <n v="0"/>
  </r>
  <r>
    <n v="42"/>
    <x v="1"/>
    <n v="0"/>
    <s v="Travel_Rarely"/>
    <n v="855"/>
    <x v="1"/>
    <n v="12"/>
    <n v="3"/>
    <x v="2"/>
    <n v="1"/>
    <n v="1768"/>
    <n v="2"/>
    <x v="1"/>
    <n v="57"/>
    <n v="3"/>
    <x v="1"/>
    <x v="2"/>
    <n v="2"/>
    <x v="2"/>
    <n v="2766"/>
    <n v="8952"/>
    <n v="8"/>
    <s v="Y"/>
    <x v="1"/>
    <n v="22"/>
    <n v="4"/>
    <n v="2"/>
    <n v="80"/>
    <n v="3"/>
    <n v="7"/>
    <n v="6"/>
    <n v="2"/>
    <x v="8"/>
    <n v="3"/>
    <n v="0"/>
    <n v="4"/>
  </r>
  <r>
    <n v="55"/>
    <x v="1"/>
    <n v="0"/>
    <s v="Travel_Rarely"/>
    <n v="478"/>
    <x v="1"/>
    <n v="2"/>
    <n v="3"/>
    <x v="2"/>
    <n v="1"/>
    <n v="1770"/>
    <n v="3"/>
    <x v="1"/>
    <n v="60"/>
    <n v="2"/>
    <x v="4"/>
    <x v="7"/>
    <n v="1"/>
    <x v="1"/>
    <n v="19038"/>
    <n v="19805"/>
    <n v="8"/>
    <s v="Y"/>
    <x v="1"/>
    <n v="12"/>
    <n v="3"/>
    <n v="2"/>
    <n v="80"/>
    <n v="3"/>
    <n v="34"/>
    <n v="2"/>
    <n v="3"/>
    <x v="6"/>
    <n v="0"/>
    <n v="0"/>
    <n v="0"/>
  </r>
  <r>
    <n v="33"/>
    <x v="1"/>
    <n v="0"/>
    <s v="Non-Travel"/>
    <n v="775"/>
    <x v="1"/>
    <n v="4"/>
    <n v="3"/>
    <x v="4"/>
    <n v="1"/>
    <n v="1771"/>
    <n v="4"/>
    <x v="1"/>
    <n v="90"/>
    <n v="3"/>
    <x v="0"/>
    <x v="1"/>
    <n v="2"/>
    <x v="2"/>
    <n v="3055"/>
    <n v="6194"/>
    <n v="5"/>
    <s v="Y"/>
    <x v="1"/>
    <n v="15"/>
    <n v="3"/>
    <n v="4"/>
    <n v="80"/>
    <n v="2"/>
    <n v="11"/>
    <n v="2"/>
    <n v="2"/>
    <x v="7"/>
    <n v="8"/>
    <n v="1"/>
    <n v="7"/>
  </r>
  <r>
    <n v="41"/>
    <x v="1"/>
    <n v="0"/>
    <s v="Travel_Rarely"/>
    <n v="548"/>
    <x v="1"/>
    <n v="9"/>
    <n v="4"/>
    <x v="0"/>
    <n v="1"/>
    <n v="1772"/>
    <n v="3"/>
    <x v="1"/>
    <n v="94"/>
    <n v="3"/>
    <x v="1"/>
    <x v="2"/>
    <n v="1"/>
    <x v="2"/>
    <n v="2289"/>
    <n v="20520"/>
    <n v="1"/>
    <s v="Y"/>
    <x v="1"/>
    <n v="20"/>
    <n v="4"/>
    <n v="2"/>
    <n v="80"/>
    <n v="2"/>
    <n v="5"/>
    <n v="2"/>
    <n v="3"/>
    <x v="8"/>
    <n v="3"/>
    <n v="0"/>
    <n v="4"/>
  </r>
  <r>
    <n v="34"/>
    <x v="1"/>
    <n v="0"/>
    <s v="Non-Travel"/>
    <n v="1375"/>
    <x v="0"/>
    <n v="10"/>
    <n v="3"/>
    <x v="0"/>
    <n v="1"/>
    <n v="1774"/>
    <n v="4"/>
    <x v="1"/>
    <n v="87"/>
    <n v="3"/>
    <x v="0"/>
    <x v="0"/>
    <n v="3"/>
    <x v="2"/>
    <n v="4001"/>
    <n v="12313"/>
    <n v="1"/>
    <s v="Y"/>
    <x v="0"/>
    <n v="14"/>
    <n v="3"/>
    <n v="3"/>
    <n v="80"/>
    <n v="1"/>
    <n v="15"/>
    <n v="3"/>
    <n v="3"/>
    <x v="15"/>
    <n v="14"/>
    <n v="0"/>
    <n v="7"/>
  </r>
  <r>
    <n v="53"/>
    <x v="1"/>
    <n v="0"/>
    <s v="Non-Travel"/>
    <n v="661"/>
    <x v="1"/>
    <n v="1"/>
    <n v="4"/>
    <x v="2"/>
    <n v="1"/>
    <n v="1775"/>
    <n v="1"/>
    <x v="0"/>
    <n v="60"/>
    <n v="2"/>
    <x v="3"/>
    <x v="3"/>
    <n v="3"/>
    <x v="1"/>
    <n v="12965"/>
    <n v="22308"/>
    <n v="4"/>
    <s v="Y"/>
    <x v="0"/>
    <n v="20"/>
    <n v="4"/>
    <n v="4"/>
    <n v="80"/>
    <n v="3"/>
    <n v="27"/>
    <n v="2"/>
    <n v="2"/>
    <x v="11"/>
    <n v="2"/>
    <n v="0"/>
    <n v="2"/>
  </r>
  <r>
    <n v="43"/>
    <x v="1"/>
    <n v="0"/>
    <s v="Travel_Rarely"/>
    <n v="244"/>
    <x v="2"/>
    <n v="2"/>
    <n v="3"/>
    <x v="0"/>
    <n v="1"/>
    <n v="1778"/>
    <n v="2"/>
    <x v="1"/>
    <n v="97"/>
    <n v="3"/>
    <x v="1"/>
    <x v="8"/>
    <n v="4"/>
    <x v="0"/>
    <n v="3539"/>
    <n v="5033"/>
    <n v="0"/>
    <s v="Y"/>
    <x v="1"/>
    <n v="13"/>
    <n v="3"/>
    <n v="2"/>
    <n v="80"/>
    <n v="0"/>
    <n v="10"/>
    <n v="5"/>
    <n v="3"/>
    <x v="7"/>
    <n v="7"/>
    <n v="1"/>
    <n v="8"/>
  </r>
  <r>
    <n v="34"/>
    <x v="1"/>
    <n v="0"/>
    <s v="Travel_Rarely"/>
    <n v="511"/>
    <x v="0"/>
    <n v="3"/>
    <n v="2"/>
    <x v="0"/>
    <n v="1"/>
    <n v="1779"/>
    <n v="4"/>
    <x v="0"/>
    <n v="32"/>
    <n v="1"/>
    <x v="0"/>
    <x v="0"/>
    <n v="4"/>
    <x v="0"/>
    <n v="6029"/>
    <n v="25353"/>
    <n v="5"/>
    <s v="Y"/>
    <x v="1"/>
    <n v="12"/>
    <n v="3"/>
    <n v="1"/>
    <n v="80"/>
    <n v="0"/>
    <n v="6"/>
    <n v="3"/>
    <n v="3"/>
    <x v="4"/>
    <n v="2"/>
    <n v="2"/>
    <n v="2"/>
  </r>
  <r>
    <n v="21"/>
    <x v="0"/>
    <n v="1"/>
    <s v="Travel_Rarely"/>
    <n v="337"/>
    <x v="0"/>
    <n v="7"/>
    <n v="1"/>
    <x v="3"/>
    <n v="1"/>
    <n v="1780"/>
    <n v="2"/>
    <x v="1"/>
    <n v="31"/>
    <n v="3"/>
    <x v="1"/>
    <x v="6"/>
    <n v="2"/>
    <x v="0"/>
    <n v="2679"/>
    <n v="4567"/>
    <n v="1"/>
    <s v="Y"/>
    <x v="1"/>
    <n v="13"/>
    <n v="3"/>
    <n v="2"/>
    <n v="80"/>
    <n v="0"/>
    <n v="1"/>
    <n v="3"/>
    <n v="3"/>
    <x v="6"/>
    <n v="0"/>
    <n v="1"/>
    <n v="0"/>
  </r>
  <r>
    <n v="38"/>
    <x v="1"/>
    <n v="0"/>
    <s v="Travel_Rarely"/>
    <n v="1153"/>
    <x v="1"/>
    <n v="6"/>
    <n v="2"/>
    <x v="1"/>
    <n v="1"/>
    <n v="1782"/>
    <n v="4"/>
    <x v="0"/>
    <n v="40"/>
    <n v="2"/>
    <x v="1"/>
    <x v="2"/>
    <n v="3"/>
    <x v="1"/>
    <n v="3702"/>
    <n v="16376"/>
    <n v="1"/>
    <s v="Y"/>
    <x v="1"/>
    <n v="11"/>
    <n v="3"/>
    <n v="2"/>
    <n v="80"/>
    <n v="1"/>
    <n v="5"/>
    <n v="3"/>
    <n v="3"/>
    <x v="8"/>
    <n v="4"/>
    <n v="0"/>
    <n v="4"/>
  </r>
  <r>
    <n v="22"/>
    <x v="0"/>
    <n v="1"/>
    <s v="Travel_Rarely"/>
    <n v="1294"/>
    <x v="1"/>
    <n v="8"/>
    <n v="1"/>
    <x v="2"/>
    <n v="1"/>
    <n v="1783"/>
    <n v="3"/>
    <x v="0"/>
    <n v="79"/>
    <n v="3"/>
    <x v="1"/>
    <x v="2"/>
    <n v="1"/>
    <x v="1"/>
    <n v="2398"/>
    <n v="15999"/>
    <n v="1"/>
    <s v="Y"/>
    <x v="0"/>
    <n v="17"/>
    <n v="3"/>
    <n v="3"/>
    <n v="80"/>
    <n v="0"/>
    <n v="1"/>
    <n v="6"/>
    <n v="3"/>
    <x v="6"/>
    <n v="0"/>
    <n v="0"/>
    <n v="0"/>
  </r>
  <r>
    <n v="31"/>
    <x v="1"/>
    <n v="0"/>
    <s v="Travel_Rarely"/>
    <n v="196"/>
    <x v="0"/>
    <n v="29"/>
    <n v="4"/>
    <x v="3"/>
    <n v="1"/>
    <n v="1784"/>
    <n v="1"/>
    <x v="0"/>
    <n v="91"/>
    <n v="2"/>
    <x v="0"/>
    <x v="0"/>
    <n v="4"/>
    <x v="1"/>
    <n v="5468"/>
    <n v="13402"/>
    <n v="1"/>
    <s v="Y"/>
    <x v="1"/>
    <n v="14"/>
    <n v="3"/>
    <n v="1"/>
    <n v="80"/>
    <n v="2"/>
    <n v="13"/>
    <n v="3"/>
    <n v="3"/>
    <x v="12"/>
    <n v="7"/>
    <n v="5"/>
    <n v="7"/>
  </r>
  <r>
    <n v="51"/>
    <x v="1"/>
    <n v="0"/>
    <s v="Travel_Rarely"/>
    <n v="942"/>
    <x v="1"/>
    <n v="3"/>
    <n v="3"/>
    <x v="4"/>
    <n v="1"/>
    <n v="1786"/>
    <n v="1"/>
    <x v="0"/>
    <n v="53"/>
    <n v="3"/>
    <x v="2"/>
    <x v="5"/>
    <n v="3"/>
    <x v="1"/>
    <n v="13116"/>
    <n v="22984"/>
    <n v="2"/>
    <s v="Y"/>
    <x v="1"/>
    <n v="11"/>
    <n v="3"/>
    <n v="4"/>
    <n v="80"/>
    <n v="0"/>
    <n v="15"/>
    <n v="2"/>
    <n v="3"/>
    <x v="4"/>
    <n v="2"/>
    <n v="2"/>
    <n v="2"/>
  </r>
  <r>
    <n v="37"/>
    <x v="1"/>
    <n v="0"/>
    <s v="Travel_Rarely"/>
    <n v="589"/>
    <x v="0"/>
    <n v="9"/>
    <n v="2"/>
    <x v="3"/>
    <n v="1"/>
    <n v="1787"/>
    <n v="2"/>
    <x v="1"/>
    <n v="46"/>
    <n v="2"/>
    <x v="0"/>
    <x v="0"/>
    <n v="2"/>
    <x v="1"/>
    <n v="4189"/>
    <n v="8800"/>
    <n v="1"/>
    <s v="Y"/>
    <x v="1"/>
    <n v="14"/>
    <n v="3"/>
    <n v="1"/>
    <n v="80"/>
    <n v="2"/>
    <n v="5"/>
    <n v="2"/>
    <n v="3"/>
    <x v="8"/>
    <n v="2"/>
    <n v="0"/>
    <n v="3"/>
  </r>
  <r>
    <n v="46"/>
    <x v="1"/>
    <n v="0"/>
    <s v="Travel_Rarely"/>
    <n v="734"/>
    <x v="1"/>
    <n v="2"/>
    <n v="4"/>
    <x v="2"/>
    <n v="1"/>
    <n v="1789"/>
    <n v="3"/>
    <x v="1"/>
    <n v="46"/>
    <n v="3"/>
    <x v="4"/>
    <x v="7"/>
    <n v="4"/>
    <x v="2"/>
    <n v="19328"/>
    <n v="14218"/>
    <n v="7"/>
    <s v="Y"/>
    <x v="0"/>
    <n v="17"/>
    <n v="3"/>
    <n v="3"/>
    <n v="80"/>
    <n v="1"/>
    <n v="24"/>
    <n v="3"/>
    <n v="3"/>
    <x v="4"/>
    <n v="1"/>
    <n v="2"/>
    <n v="2"/>
  </r>
  <r>
    <n v="36"/>
    <x v="1"/>
    <n v="0"/>
    <s v="Travel_Rarely"/>
    <n v="1383"/>
    <x v="1"/>
    <n v="10"/>
    <n v="3"/>
    <x v="0"/>
    <n v="1"/>
    <n v="1790"/>
    <n v="4"/>
    <x v="1"/>
    <n v="90"/>
    <n v="3"/>
    <x v="2"/>
    <x v="4"/>
    <n v="1"/>
    <x v="1"/>
    <n v="8321"/>
    <n v="25949"/>
    <n v="7"/>
    <s v="Y"/>
    <x v="0"/>
    <n v="13"/>
    <n v="3"/>
    <n v="4"/>
    <n v="80"/>
    <n v="1"/>
    <n v="15"/>
    <n v="1"/>
    <n v="3"/>
    <x v="12"/>
    <n v="8"/>
    <n v="5"/>
    <n v="7"/>
  </r>
  <r>
    <n v="44"/>
    <x v="0"/>
    <n v="1"/>
    <s v="Travel_Frequently"/>
    <n v="429"/>
    <x v="1"/>
    <n v="1"/>
    <n v="2"/>
    <x v="2"/>
    <n v="1"/>
    <n v="1792"/>
    <n v="3"/>
    <x v="1"/>
    <n v="99"/>
    <n v="3"/>
    <x v="1"/>
    <x v="1"/>
    <n v="2"/>
    <x v="2"/>
    <n v="2342"/>
    <n v="11092"/>
    <n v="1"/>
    <s v="Y"/>
    <x v="0"/>
    <n v="12"/>
    <n v="3"/>
    <n v="3"/>
    <n v="80"/>
    <n v="3"/>
    <n v="6"/>
    <n v="2"/>
    <n v="2"/>
    <x v="8"/>
    <n v="3"/>
    <n v="2"/>
    <n v="3"/>
  </r>
  <r>
    <n v="37"/>
    <x v="1"/>
    <n v="0"/>
    <s v="Travel_Rarely"/>
    <n v="1239"/>
    <x v="2"/>
    <n v="8"/>
    <n v="2"/>
    <x v="1"/>
    <n v="1"/>
    <n v="1794"/>
    <n v="3"/>
    <x v="1"/>
    <n v="89"/>
    <n v="3"/>
    <x v="0"/>
    <x v="8"/>
    <n v="2"/>
    <x v="2"/>
    <n v="4071"/>
    <n v="12832"/>
    <n v="2"/>
    <s v="Y"/>
    <x v="1"/>
    <n v="13"/>
    <n v="3"/>
    <n v="3"/>
    <n v="80"/>
    <n v="0"/>
    <n v="19"/>
    <n v="4"/>
    <n v="2"/>
    <x v="1"/>
    <n v="0"/>
    <n v="4"/>
    <n v="7"/>
  </r>
  <r>
    <n v="35"/>
    <x v="0"/>
    <n v="1"/>
    <s v="Travel_Rarely"/>
    <n v="303"/>
    <x v="0"/>
    <n v="27"/>
    <n v="3"/>
    <x v="0"/>
    <n v="1"/>
    <n v="1797"/>
    <n v="3"/>
    <x v="1"/>
    <n v="84"/>
    <n v="3"/>
    <x v="0"/>
    <x v="0"/>
    <n v="4"/>
    <x v="0"/>
    <n v="5813"/>
    <n v="13492"/>
    <n v="1"/>
    <s v="Y"/>
    <x v="0"/>
    <n v="18"/>
    <n v="3"/>
    <n v="4"/>
    <n v="80"/>
    <n v="0"/>
    <n v="10"/>
    <n v="2"/>
    <n v="3"/>
    <x v="1"/>
    <n v="7"/>
    <n v="7"/>
    <n v="7"/>
  </r>
  <r>
    <n v="33"/>
    <x v="1"/>
    <n v="0"/>
    <s v="Travel_Rarely"/>
    <n v="867"/>
    <x v="1"/>
    <n v="8"/>
    <n v="4"/>
    <x v="0"/>
    <n v="1"/>
    <n v="1798"/>
    <n v="4"/>
    <x v="1"/>
    <n v="90"/>
    <n v="4"/>
    <x v="1"/>
    <x v="1"/>
    <n v="1"/>
    <x v="1"/>
    <n v="3143"/>
    <n v="6076"/>
    <n v="6"/>
    <s v="Y"/>
    <x v="1"/>
    <n v="19"/>
    <n v="3"/>
    <n v="2"/>
    <n v="80"/>
    <n v="1"/>
    <n v="14"/>
    <n v="1"/>
    <n v="3"/>
    <x v="1"/>
    <n v="8"/>
    <n v="7"/>
    <n v="6"/>
  </r>
  <r>
    <n v="28"/>
    <x v="1"/>
    <n v="0"/>
    <s v="Travel_Rarely"/>
    <n v="1181"/>
    <x v="1"/>
    <n v="1"/>
    <n v="3"/>
    <x v="0"/>
    <n v="1"/>
    <n v="1799"/>
    <n v="3"/>
    <x v="1"/>
    <n v="82"/>
    <n v="3"/>
    <x v="1"/>
    <x v="1"/>
    <n v="4"/>
    <x v="1"/>
    <n v="2044"/>
    <n v="5531"/>
    <n v="1"/>
    <s v="Y"/>
    <x v="1"/>
    <n v="11"/>
    <n v="3"/>
    <n v="3"/>
    <n v="80"/>
    <n v="1"/>
    <n v="5"/>
    <n v="6"/>
    <n v="4"/>
    <x v="8"/>
    <n v="3"/>
    <n v="0"/>
    <n v="3"/>
  </r>
  <r>
    <n v="39"/>
    <x v="1"/>
    <n v="0"/>
    <s v="Travel_Rarely"/>
    <n v="1253"/>
    <x v="1"/>
    <n v="10"/>
    <n v="1"/>
    <x v="2"/>
    <n v="1"/>
    <n v="1800"/>
    <n v="3"/>
    <x v="1"/>
    <n v="65"/>
    <n v="3"/>
    <x v="2"/>
    <x v="7"/>
    <n v="3"/>
    <x v="0"/>
    <n v="13464"/>
    <n v="7914"/>
    <n v="7"/>
    <s v="Y"/>
    <x v="1"/>
    <n v="21"/>
    <n v="4"/>
    <n v="3"/>
    <n v="80"/>
    <n v="0"/>
    <n v="9"/>
    <n v="3"/>
    <n v="3"/>
    <x v="9"/>
    <n v="3"/>
    <n v="2"/>
    <n v="2"/>
  </r>
  <r>
    <n v="46"/>
    <x v="1"/>
    <n v="0"/>
    <s v="Non-Travel"/>
    <n v="849"/>
    <x v="0"/>
    <n v="26"/>
    <n v="2"/>
    <x v="0"/>
    <n v="1"/>
    <n v="1801"/>
    <n v="2"/>
    <x v="1"/>
    <n v="98"/>
    <n v="2"/>
    <x v="0"/>
    <x v="0"/>
    <n v="2"/>
    <x v="0"/>
    <n v="7991"/>
    <n v="25166"/>
    <n v="8"/>
    <s v="Y"/>
    <x v="1"/>
    <n v="15"/>
    <n v="3"/>
    <n v="3"/>
    <n v="80"/>
    <n v="0"/>
    <n v="6"/>
    <n v="3"/>
    <n v="3"/>
    <x v="4"/>
    <n v="2"/>
    <n v="2"/>
    <n v="2"/>
  </r>
  <r>
    <n v="40"/>
    <x v="1"/>
    <n v="0"/>
    <s v="Travel_Rarely"/>
    <n v="616"/>
    <x v="1"/>
    <n v="2"/>
    <n v="2"/>
    <x v="0"/>
    <n v="1"/>
    <n v="1802"/>
    <n v="3"/>
    <x v="0"/>
    <n v="99"/>
    <n v="3"/>
    <x v="1"/>
    <x v="2"/>
    <n v="1"/>
    <x v="1"/>
    <n v="3377"/>
    <n v="25605"/>
    <n v="4"/>
    <s v="Y"/>
    <x v="1"/>
    <n v="17"/>
    <n v="3"/>
    <n v="4"/>
    <n v="80"/>
    <n v="1"/>
    <n v="7"/>
    <n v="5"/>
    <n v="2"/>
    <x v="9"/>
    <n v="3"/>
    <n v="0"/>
    <n v="2"/>
  </r>
  <r>
    <n v="42"/>
    <x v="1"/>
    <n v="0"/>
    <s v="Travel_Rarely"/>
    <n v="1128"/>
    <x v="1"/>
    <n v="13"/>
    <n v="3"/>
    <x v="2"/>
    <n v="1"/>
    <n v="1803"/>
    <n v="2"/>
    <x v="1"/>
    <n v="95"/>
    <n v="4"/>
    <x v="0"/>
    <x v="4"/>
    <n v="1"/>
    <x v="1"/>
    <n v="5538"/>
    <n v="5696"/>
    <n v="5"/>
    <s v="Y"/>
    <x v="1"/>
    <n v="18"/>
    <n v="3"/>
    <n v="3"/>
    <n v="80"/>
    <n v="2"/>
    <n v="10"/>
    <n v="2"/>
    <n v="2"/>
    <x v="2"/>
    <n v="0"/>
    <n v="0"/>
    <n v="0"/>
  </r>
  <r>
    <n v="35"/>
    <x v="1"/>
    <n v="0"/>
    <s v="Non-Travel"/>
    <n v="1180"/>
    <x v="1"/>
    <n v="2"/>
    <n v="2"/>
    <x v="2"/>
    <n v="1"/>
    <n v="1804"/>
    <n v="2"/>
    <x v="1"/>
    <n v="90"/>
    <n v="3"/>
    <x v="0"/>
    <x v="3"/>
    <n v="4"/>
    <x v="2"/>
    <n v="5762"/>
    <n v="24442"/>
    <n v="2"/>
    <s v="Y"/>
    <x v="1"/>
    <n v="14"/>
    <n v="3"/>
    <n v="3"/>
    <n v="80"/>
    <n v="1"/>
    <n v="15"/>
    <n v="6"/>
    <n v="3"/>
    <x v="5"/>
    <n v="7"/>
    <n v="1"/>
    <n v="7"/>
  </r>
  <r>
    <n v="38"/>
    <x v="1"/>
    <n v="0"/>
    <s v="Non-Travel"/>
    <n v="1336"/>
    <x v="2"/>
    <n v="2"/>
    <n v="3"/>
    <x v="5"/>
    <n v="1"/>
    <n v="1805"/>
    <n v="1"/>
    <x v="1"/>
    <n v="100"/>
    <n v="3"/>
    <x v="1"/>
    <x v="8"/>
    <n v="2"/>
    <x v="2"/>
    <n v="2592"/>
    <n v="7129"/>
    <n v="5"/>
    <s v="Y"/>
    <x v="1"/>
    <n v="13"/>
    <n v="3"/>
    <n v="4"/>
    <n v="80"/>
    <n v="3"/>
    <n v="13"/>
    <n v="3"/>
    <n v="3"/>
    <x v="19"/>
    <n v="10"/>
    <n v="3"/>
    <n v="8"/>
  </r>
  <r>
    <n v="34"/>
    <x v="0"/>
    <n v="1"/>
    <s v="Travel_Frequently"/>
    <n v="234"/>
    <x v="1"/>
    <n v="9"/>
    <n v="4"/>
    <x v="0"/>
    <n v="1"/>
    <n v="1807"/>
    <n v="4"/>
    <x v="1"/>
    <n v="93"/>
    <n v="3"/>
    <x v="0"/>
    <x v="2"/>
    <n v="1"/>
    <x v="1"/>
    <n v="5346"/>
    <n v="6208"/>
    <n v="4"/>
    <s v="Y"/>
    <x v="1"/>
    <n v="17"/>
    <n v="3"/>
    <n v="3"/>
    <n v="80"/>
    <n v="1"/>
    <n v="11"/>
    <n v="3"/>
    <n v="2"/>
    <x v="5"/>
    <n v="1"/>
    <n v="0"/>
    <n v="7"/>
  </r>
  <r>
    <n v="37"/>
    <x v="0"/>
    <n v="1"/>
    <s v="Travel_Rarely"/>
    <n v="370"/>
    <x v="1"/>
    <n v="10"/>
    <n v="4"/>
    <x v="2"/>
    <n v="1"/>
    <n v="1809"/>
    <n v="4"/>
    <x v="1"/>
    <n v="58"/>
    <n v="3"/>
    <x v="0"/>
    <x v="3"/>
    <n v="1"/>
    <x v="0"/>
    <n v="4213"/>
    <n v="4992"/>
    <n v="1"/>
    <s v="Y"/>
    <x v="1"/>
    <n v="15"/>
    <n v="3"/>
    <n v="2"/>
    <n v="80"/>
    <n v="0"/>
    <n v="10"/>
    <n v="4"/>
    <n v="1"/>
    <x v="1"/>
    <n v="3"/>
    <n v="0"/>
    <n v="8"/>
  </r>
  <r>
    <n v="39"/>
    <x v="1"/>
    <n v="0"/>
    <s v="Travel_Frequently"/>
    <n v="766"/>
    <x v="0"/>
    <n v="20"/>
    <n v="3"/>
    <x v="0"/>
    <n v="1"/>
    <n v="1812"/>
    <n v="3"/>
    <x v="1"/>
    <n v="83"/>
    <n v="3"/>
    <x v="0"/>
    <x v="0"/>
    <n v="4"/>
    <x v="2"/>
    <n v="4127"/>
    <n v="19188"/>
    <n v="2"/>
    <s v="Y"/>
    <x v="1"/>
    <n v="18"/>
    <n v="3"/>
    <n v="4"/>
    <n v="80"/>
    <n v="1"/>
    <n v="7"/>
    <n v="6"/>
    <n v="3"/>
    <x v="4"/>
    <n v="1"/>
    <n v="2"/>
    <n v="2"/>
  </r>
  <r>
    <n v="43"/>
    <x v="1"/>
    <n v="0"/>
    <s v="Non-Travel"/>
    <n v="343"/>
    <x v="1"/>
    <n v="9"/>
    <n v="3"/>
    <x v="0"/>
    <n v="1"/>
    <n v="1813"/>
    <n v="1"/>
    <x v="1"/>
    <n v="52"/>
    <n v="3"/>
    <x v="1"/>
    <x v="1"/>
    <n v="3"/>
    <x v="0"/>
    <n v="2438"/>
    <n v="24978"/>
    <n v="4"/>
    <s v="Y"/>
    <x v="1"/>
    <n v="13"/>
    <n v="3"/>
    <n v="3"/>
    <n v="80"/>
    <n v="0"/>
    <n v="7"/>
    <n v="2"/>
    <n v="2"/>
    <x v="11"/>
    <n v="2"/>
    <n v="1"/>
    <n v="2"/>
  </r>
  <r>
    <n v="41"/>
    <x v="1"/>
    <n v="0"/>
    <s v="Travel_Rarely"/>
    <n v="447"/>
    <x v="1"/>
    <n v="5"/>
    <n v="3"/>
    <x v="0"/>
    <n v="1"/>
    <n v="1814"/>
    <n v="2"/>
    <x v="1"/>
    <n v="85"/>
    <n v="4"/>
    <x v="0"/>
    <x v="4"/>
    <n v="2"/>
    <x v="0"/>
    <n v="6870"/>
    <n v="15530"/>
    <n v="3"/>
    <s v="Y"/>
    <x v="1"/>
    <n v="12"/>
    <n v="3"/>
    <n v="1"/>
    <n v="80"/>
    <n v="0"/>
    <n v="11"/>
    <n v="3"/>
    <n v="1"/>
    <x v="11"/>
    <n v="2"/>
    <n v="1"/>
    <n v="2"/>
  </r>
  <r>
    <n v="41"/>
    <x v="1"/>
    <n v="0"/>
    <s v="Travel_Rarely"/>
    <n v="796"/>
    <x v="0"/>
    <n v="4"/>
    <n v="1"/>
    <x v="3"/>
    <n v="1"/>
    <n v="1815"/>
    <n v="3"/>
    <x v="0"/>
    <n v="81"/>
    <n v="3"/>
    <x v="2"/>
    <x v="0"/>
    <n v="3"/>
    <x v="2"/>
    <n v="10447"/>
    <n v="26458"/>
    <n v="0"/>
    <s v="Y"/>
    <x v="0"/>
    <n v="13"/>
    <n v="3"/>
    <n v="4"/>
    <n v="80"/>
    <n v="1"/>
    <n v="23"/>
    <n v="3"/>
    <n v="4"/>
    <x v="14"/>
    <n v="14"/>
    <n v="13"/>
    <n v="5"/>
  </r>
  <r>
    <n v="30"/>
    <x v="1"/>
    <n v="0"/>
    <s v="Travel_Rarely"/>
    <n v="1092"/>
    <x v="1"/>
    <n v="10"/>
    <n v="3"/>
    <x v="2"/>
    <n v="1"/>
    <n v="1816"/>
    <n v="1"/>
    <x v="0"/>
    <n v="64"/>
    <n v="3"/>
    <x v="2"/>
    <x v="3"/>
    <n v="3"/>
    <x v="0"/>
    <n v="9667"/>
    <n v="2739"/>
    <n v="9"/>
    <s v="Y"/>
    <x v="1"/>
    <n v="14"/>
    <n v="3"/>
    <n v="2"/>
    <n v="80"/>
    <n v="0"/>
    <n v="9"/>
    <n v="3"/>
    <n v="3"/>
    <x v="5"/>
    <n v="7"/>
    <n v="0"/>
    <n v="2"/>
  </r>
  <r>
    <n v="26"/>
    <x v="0"/>
    <n v="1"/>
    <s v="Travel_Rarely"/>
    <n v="920"/>
    <x v="2"/>
    <n v="20"/>
    <n v="2"/>
    <x v="2"/>
    <n v="1"/>
    <n v="1818"/>
    <n v="4"/>
    <x v="0"/>
    <n v="69"/>
    <n v="3"/>
    <x v="1"/>
    <x v="8"/>
    <n v="2"/>
    <x v="1"/>
    <n v="2148"/>
    <n v="6889"/>
    <n v="0"/>
    <s v="Y"/>
    <x v="0"/>
    <n v="11"/>
    <n v="3"/>
    <n v="3"/>
    <n v="80"/>
    <n v="0"/>
    <n v="6"/>
    <n v="3"/>
    <n v="3"/>
    <x v="8"/>
    <n v="1"/>
    <n v="1"/>
    <n v="4"/>
  </r>
  <r>
    <n v="46"/>
    <x v="0"/>
    <n v="1"/>
    <s v="Travel_Rarely"/>
    <n v="261"/>
    <x v="1"/>
    <n v="21"/>
    <n v="2"/>
    <x v="2"/>
    <n v="1"/>
    <n v="1821"/>
    <n v="4"/>
    <x v="0"/>
    <n v="66"/>
    <n v="3"/>
    <x v="0"/>
    <x v="4"/>
    <n v="2"/>
    <x v="1"/>
    <n v="8926"/>
    <n v="10842"/>
    <n v="4"/>
    <s v="Y"/>
    <x v="1"/>
    <n v="22"/>
    <n v="4"/>
    <n v="4"/>
    <n v="80"/>
    <n v="1"/>
    <n v="13"/>
    <n v="2"/>
    <n v="4"/>
    <x v="7"/>
    <n v="7"/>
    <n v="3"/>
    <n v="7"/>
  </r>
  <r>
    <n v="40"/>
    <x v="1"/>
    <n v="0"/>
    <s v="Travel_Rarely"/>
    <n v="1194"/>
    <x v="1"/>
    <n v="1"/>
    <n v="3"/>
    <x v="0"/>
    <n v="1"/>
    <n v="1822"/>
    <n v="3"/>
    <x v="0"/>
    <n v="52"/>
    <n v="3"/>
    <x v="0"/>
    <x v="4"/>
    <n v="4"/>
    <x v="2"/>
    <n v="6513"/>
    <n v="9060"/>
    <n v="4"/>
    <s v="Y"/>
    <x v="1"/>
    <n v="17"/>
    <n v="3"/>
    <n v="4"/>
    <n v="80"/>
    <n v="1"/>
    <n v="12"/>
    <n v="3"/>
    <n v="3"/>
    <x v="8"/>
    <n v="3"/>
    <n v="0"/>
    <n v="3"/>
  </r>
  <r>
    <n v="34"/>
    <x v="1"/>
    <n v="0"/>
    <s v="Travel_Rarely"/>
    <n v="810"/>
    <x v="0"/>
    <n v="8"/>
    <n v="2"/>
    <x v="4"/>
    <n v="1"/>
    <n v="1823"/>
    <n v="2"/>
    <x v="1"/>
    <n v="92"/>
    <n v="4"/>
    <x v="0"/>
    <x v="0"/>
    <n v="3"/>
    <x v="1"/>
    <n v="6799"/>
    <n v="22128"/>
    <n v="1"/>
    <s v="Y"/>
    <x v="1"/>
    <n v="21"/>
    <n v="4"/>
    <n v="3"/>
    <n v="80"/>
    <n v="2"/>
    <n v="10"/>
    <n v="5"/>
    <n v="3"/>
    <x v="1"/>
    <n v="8"/>
    <n v="4"/>
    <n v="8"/>
  </r>
  <r>
    <n v="58"/>
    <x v="1"/>
    <n v="0"/>
    <s v="Non-Travel"/>
    <n v="350"/>
    <x v="0"/>
    <n v="2"/>
    <n v="3"/>
    <x v="2"/>
    <n v="1"/>
    <n v="1824"/>
    <n v="2"/>
    <x v="1"/>
    <n v="52"/>
    <n v="3"/>
    <x v="3"/>
    <x v="5"/>
    <n v="2"/>
    <x v="2"/>
    <n v="16291"/>
    <n v="22577"/>
    <n v="4"/>
    <s v="Y"/>
    <x v="1"/>
    <n v="22"/>
    <n v="4"/>
    <n v="4"/>
    <n v="80"/>
    <n v="1"/>
    <n v="37"/>
    <n v="0"/>
    <n v="2"/>
    <x v="22"/>
    <n v="9"/>
    <n v="14"/>
    <n v="14"/>
  </r>
  <r>
    <n v="35"/>
    <x v="1"/>
    <n v="0"/>
    <s v="Travel_Rarely"/>
    <n v="185"/>
    <x v="1"/>
    <n v="23"/>
    <n v="4"/>
    <x v="2"/>
    <n v="1"/>
    <n v="1826"/>
    <n v="2"/>
    <x v="1"/>
    <n v="91"/>
    <n v="1"/>
    <x v="1"/>
    <x v="2"/>
    <n v="3"/>
    <x v="1"/>
    <n v="2705"/>
    <n v="9696"/>
    <n v="0"/>
    <s v="Y"/>
    <x v="1"/>
    <n v="16"/>
    <n v="3"/>
    <n v="2"/>
    <n v="80"/>
    <n v="1"/>
    <n v="6"/>
    <n v="2"/>
    <n v="4"/>
    <x v="8"/>
    <n v="4"/>
    <n v="0"/>
    <n v="3"/>
  </r>
  <r>
    <n v="47"/>
    <x v="1"/>
    <n v="0"/>
    <s v="Travel_Rarely"/>
    <n v="1001"/>
    <x v="1"/>
    <n v="4"/>
    <n v="3"/>
    <x v="0"/>
    <n v="1"/>
    <n v="1827"/>
    <n v="3"/>
    <x v="0"/>
    <n v="92"/>
    <n v="2"/>
    <x v="2"/>
    <x v="3"/>
    <n v="2"/>
    <x v="2"/>
    <n v="10333"/>
    <n v="19271"/>
    <n v="8"/>
    <s v="Y"/>
    <x v="0"/>
    <n v="12"/>
    <n v="3"/>
    <n v="3"/>
    <n v="80"/>
    <n v="1"/>
    <n v="28"/>
    <n v="4"/>
    <n v="3"/>
    <x v="14"/>
    <n v="11"/>
    <n v="14"/>
    <n v="10"/>
  </r>
  <r>
    <n v="40"/>
    <x v="1"/>
    <n v="0"/>
    <s v="Travel_Rarely"/>
    <n v="750"/>
    <x v="1"/>
    <n v="12"/>
    <n v="3"/>
    <x v="0"/>
    <n v="1"/>
    <n v="1829"/>
    <n v="2"/>
    <x v="0"/>
    <n v="47"/>
    <n v="3"/>
    <x v="0"/>
    <x v="4"/>
    <n v="1"/>
    <x v="2"/>
    <n v="4448"/>
    <n v="10748"/>
    <n v="2"/>
    <s v="Y"/>
    <x v="1"/>
    <n v="12"/>
    <n v="3"/>
    <n v="2"/>
    <n v="80"/>
    <n v="1"/>
    <n v="15"/>
    <n v="3"/>
    <n v="3"/>
    <x v="5"/>
    <n v="4"/>
    <n v="7"/>
    <n v="7"/>
  </r>
  <r>
    <n v="54"/>
    <x v="1"/>
    <n v="0"/>
    <s v="Travel_Rarely"/>
    <n v="431"/>
    <x v="1"/>
    <n v="7"/>
    <n v="4"/>
    <x v="2"/>
    <n v="1"/>
    <n v="1830"/>
    <n v="4"/>
    <x v="0"/>
    <n v="68"/>
    <n v="3"/>
    <x v="0"/>
    <x v="1"/>
    <n v="4"/>
    <x v="1"/>
    <n v="6854"/>
    <n v="15696"/>
    <n v="4"/>
    <s v="Y"/>
    <x v="1"/>
    <n v="15"/>
    <n v="3"/>
    <n v="2"/>
    <n v="80"/>
    <n v="1"/>
    <n v="14"/>
    <n v="2"/>
    <n v="2"/>
    <x v="5"/>
    <n v="1"/>
    <n v="1"/>
    <n v="7"/>
  </r>
  <r>
    <n v="31"/>
    <x v="1"/>
    <n v="0"/>
    <s v="Travel_Frequently"/>
    <n v="1125"/>
    <x v="0"/>
    <n v="7"/>
    <n v="4"/>
    <x v="3"/>
    <n v="1"/>
    <n v="1833"/>
    <n v="1"/>
    <x v="0"/>
    <n v="68"/>
    <n v="3"/>
    <x v="2"/>
    <x v="0"/>
    <n v="1"/>
    <x v="1"/>
    <n v="9637"/>
    <n v="8277"/>
    <n v="2"/>
    <s v="Y"/>
    <x v="1"/>
    <n v="14"/>
    <n v="3"/>
    <n v="4"/>
    <n v="80"/>
    <n v="2"/>
    <n v="9"/>
    <n v="3"/>
    <n v="3"/>
    <x v="11"/>
    <n v="2"/>
    <n v="2"/>
    <n v="2"/>
  </r>
  <r>
    <n v="28"/>
    <x v="1"/>
    <n v="0"/>
    <s v="Travel_Rarely"/>
    <n v="1217"/>
    <x v="1"/>
    <n v="1"/>
    <n v="3"/>
    <x v="2"/>
    <n v="1"/>
    <n v="1834"/>
    <n v="3"/>
    <x v="0"/>
    <n v="67"/>
    <n v="3"/>
    <x v="1"/>
    <x v="1"/>
    <n v="1"/>
    <x v="1"/>
    <n v="3591"/>
    <n v="12719"/>
    <n v="1"/>
    <s v="Y"/>
    <x v="1"/>
    <n v="25"/>
    <n v="4"/>
    <n v="3"/>
    <n v="80"/>
    <n v="1"/>
    <n v="3"/>
    <n v="3"/>
    <n v="3"/>
    <x v="11"/>
    <n v="2"/>
    <n v="1"/>
    <n v="2"/>
  </r>
  <r>
    <n v="38"/>
    <x v="1"/>
    <n v="0"/>
    <s v="Travel_Rarely"/>
    <n v="723"/>
    <x v="0"/>
    <n v="2"/>
    <n v="4"/>
    <x v="3"/>
    <n v="1"/>
    <n v="1835"/>
    <n v="2"/>
    <x v="0"/>
    <n v="77"/>
    <n v="1"/>
    <x v="0"/>
    <x v="6"/>
    <n v="4"/>
    <x v="1"/>
    <n v="5405"/>
    <n v="4244"/>
    <n v="2"/>
    <s v="Y"/>
    <x v="0"/>
    <n v="20"/>
    <n v="4"/>
    <n v="1"/>
    <n v="80"/>
    <n v="2"/>
    <n v="20"/>
    <n v="4"/>
    <n v="2"/>
    <x v="9"/>
    <n v="2"/>
    <n v="0"/>
    <n v="3"/>
  </r>
  <r>
    <n v="26"/>
    <x v="1"/>
    <n v="0"/>
    <s v="Travel_Rarely"/>
    <n v="572"/>
    <x v="0"/>
    <n v="10"/>
    <n v="3"/>
    <x v="2"/>
    <n v="1"/>
    <n v="1836"/>
    <n v="3"/>
    <x v="1"/>
    <n v="46"/>
    <n v="3"/>
    <x v="0"/>
    <x v="0"/>
    <n v="4"/>
    <x v="0"/>
    <n v="4684"/>
    <n v="9125"/>
    <n v="1"/>
    <s v="Y"/>
    <x v="1"/>
    <n v="13"/>
    <n v="3"/>
    <n v="1"/>
    <n v="80"/>
    <n v="0"/>
    <n v="5"/>
    <n v="4"/>
    <n v="3"/>
    <x v="8"/>
    <n v="3"/>
    <n v="1"/>
    <n v="2"/>
  </r>
  <r>
    <n v="58"/>
    <x v="1"/>
    <n v="0"/>
    <s v="Travel_Frequently"/>
    <n v="1216"/>
    <x v="1"/>
    <n v="15"/>
    <n v="4"/>
    <x v="0"/>
    <n v="1"/>
    <n v="1837"/>
    <n v="1"/>
    <x v="1"/>
    <n v="87"/>
    <n v="3"/>
    <x v="3"/>
    <x v="7"/>
    <n v="3"/>
    <x v="1"/>
    <n v="15787"/>
    <n v="21624"/>
    <n v="2"/>
    <s v="Y"/>
    <x v="0"/>
    <n v="14"/>
    <n v="3"/>
    <n v="2"/>
    <n v="80"/>
    <n v="0"/>
    <n v="23"/>
    <n v="3"/>
    <n v="3"/>
    <x v="4"/>
    <n v="2"/>
    <n v="2"/>
    <n v="2"/>
  </r>
  <r>
    <n v="18"/>
    <x v="1"/>
    <n v="0"/>
    <s v="Non-Travel"/>
    <n v="1431"/>
    <x v="1"/>
    <n v="14"/>
    <n v="3"/>
    <x v="2"/>
    <n v="1"/>
    <n v="1839"/>
    <n v="2"/>
    <x v="0"/>
    <n v="33"/>
    <n v="3"/>
    <x v="1"/>
    <x v="1"/>
    <n v="3"/>
    <x v="0"/>
    <n v="1514"/>
    <n v="8018"/>
    <n v="1"/>
    <s v="Y"/>
    <x v="1"/>
    <n v="16"/>
    <n v="3"/>
    <n v="3"/>
    <n v="80"/>
    <n v="0"/>
    <n v="0"/>
    <n v="4"/>
    <n v="1"/>
    <x v="2"/>
    <n v="0"/>
    <n v="0"/>
    <n v="0"/>
  </r>
  <r>
    <n v="31"/>
    <x v="0"/>
    <n v="1"/>
    <s v="Travel_Rarely"/>
    <n v="359"/>
    <x v="2"/>
    <n v="18"/>
    <n v="5"/>
    <x v="5"/>
    <n v="1"/>
    <n v="1842"/>
    <n v="4"/>
    <x v="1"/>
    <n v="89"/>
    <n v="4"/>
    <x v="1"/>
    <x v="8"/>
    <n v="1"/>
    <x v="1"/>
    <n v="2956"/>
    <n v="21495"/>
    <n v="0"/>
    <s v="Y"/>
    <x v="1"/>
    <n v="17"/>
    <n v="3"/>
    <n v="3"/>
    <n v="80"/>
    <n v="0"/>
    <n v="2"/>
    <n v="4"/>
    <n v="3"/>
    <x v="6"/>
    <n v="0"/>
    <n v="0"/>
    <n v="0"/>
  </r>
  <r>
    <n v="29"/>
    <x v="0"/>
    <n v="1"/>
    <s v="Travel_Rarely"/>
    <n v="350"/>
    <x v="2"/>
    <n v="13"/>
    <n v="3"/>
    <x v="5"/>
    <n v="1"/>
    <n v="1844"/>
    <n v="1"/>
    <x v="1"/>
    <n v="56"/>
    <n v="2"/>
    <x v="1"/>
    <x v="8"/>
    <n v="1"/>
    <x v="2"/>
    <n v="2335"/>
    <n v="3157"/>
    <n v="4"/>
    <s v="Y"/>
    <x v="0"/>
    <n v="15"/>
    <n v="3"/>
    <n v="4"/>
    <n v="80"/>
    <n v="3"/>
    <n v="4"/>
    <n v="3"/>
    <n v="3"/>
    <x v="4"/>
    <n v="2"/>
    <n v="2"/>
    <n v="0"/>
  </r>
  <r>
    <n v="45"/>
    <x v="1"/>
    <n v="0"/>
    <s v="Non-Travel"/>
    <n v="589"/>
    <x v="0"/>
    <n v="2"/>
    <n v="4"/>
    <x v="0"/>
    <n v="1"/>
    <n v="1845"/>
    <n v="3"/>
    <x v="0"/>
    <n v="67"/>
    <n v="3"/>
    <x v="0"/>
    <x v="0"/>
    <n v="3"/>
    <x v="1"/>
    <n v="5154"/>
    <n v="19665"/>
    <n v="4"/>
    <s v="Y"/>
    <x v="1"/>
    <n v="22"/>
    <n v="4"/>
    <n v="2"/>
    <n v="80"/>
    <n v="2"/>
    <n v="10"/>
    <n v="3"/>
    <n v="4"/>
    <x v="3"/>
    <n v="7"/>
    <n v="5"/>
    <n v="7"/>
  </r>
  <r>
    <n v="36"/>
    <x v="1"/>
    <n v="0"/>
    <s v="Travel_Rarely"/>
    <n v="430"/>
    <x v="1"/>
    <n v="2"/>
    <n v="4"/>
    <x v="1"/>
    <n v="1"/>
    <n v="1847"/>
    <n v="4"/>
    <x v="0"/>
    <n v="73"/>
    <n v="3"/>
    <x v="0"/>
    <x v="1"/>
    <n v="2"/>
    <x v="1"/>
    <n v="6962"/>
    <n v="19573"/>
    <n v="4"/>
    <s v="Y"/>
    <x v="0"/>
    <n v="22"/>
    <n v="4"/>
    <n v="4"/>
    <n v="80"/>
    <n v="1"/>
    <n v="15"/>
    <n v="2"/>
    <n v="3"/>
    <x v="6"/>
    <n v="0"/>
    <n v="0"/>
    <n v="0"/>
  </r>
  <r>
    <n v="43"/>
    <x v="1"/>
    <n v="0"/>
    <s v="Travel_Frequently"/>
    <n v="1422"/>
    <x v="0"/>
    <n v="2"/>
    <n v="4"/>
    <x v="0"/>
    <n v="1"/>
    <n v="1849"/>
    <n v="1"/>
    <x v="1"/>
    <n v="92"/>
    <n v="3"/>
    <x v="0"/>
    <x v="0"/>
    <n v="4"/>
    <x v="1"/>
    <n v="5675"/>
    <n v="19246"/>
    <n v="1"/>
    <s v="Y"/>
    <x v="1"/>
    <n v="20"/>
    <n v="4"/>
    <n v="3"/>
    <n v="80"/>
    <n v="1"/>
    <n v="7"/>
    <n v="5"/>
    <n v="3"/>
    <x v="5"/>
    <n v="7"/>
    <n v="7"/>
    <n v="7"/>
  </r>
  <r>
    <n v="27"/>
    <x v="1"/>
    <n v="0"/>
    <s v="Travel_Frequently"/>
    <n v="1297"/>
    <x v="1"/>
    <n v="5"/>
    <n v="2"/>
    <x v="0"/>
    <n v="1"/>
    <n v="1850"/>
    <n v="4"/>
    <x v="0"/>
    <n v="53"/>
    <n v="3"/>
    <x v="1"/>
    <x v="2"/>
    <n v="4"/>
    <x v="0"/>
    <n v="2379"/>
    <n v="19826"/>
    <n v="0"/>
    <s v="Y"/>
    <x v="0"/>
    <n v="14"/>
    <n v="3"/>
    <n v="3"/>
    <n v="80"/>
    <n v="0"/>
    <n v="6"/>
    <n v="3"/>
    <n v="2"/>
    <x v="8"/>
    <n v="4"/>
    <n v="0"/>
    <n v="2"/>
  </r>
  <r>
    <n v="29"/>
    <x v="1"/>
    <n v="0"/>
    <s v="Travel_Frequently"/>
    <n v="574"/>
    <x v="1"/>
    <n v="20"/>
    <n v="1"/>
    <x v="2"/>
    <n v="1"/>
    <n v="1852"/>
    <n v="4"/>
    <x v="1"/>
    <n v="40"/>
    <n v="3"/>
    <x v="1"/>
    <x v="2"/>
    <n v="4"/>
    <x v="1"/>
    <n v="3812"/>
    <n v="7003"/>
    <n v="1"/>
    <s v="Y"/>
    <x v="1"/>
    <n v="13"/>
    <n v="3"/>
    <n v="2"/>
    <n v="80"/>
    <n v="0"/>
    <n v="11"/>
    <n v="3"/>
    <n v="4"/>
    <x v="19"/>
    <n v="8"/>
    <n v="3"/>
    <n v="10"/>
  </r>
  <r>
    <n v="32"/>
    <x v="1"/>
    <n v="0"/>
    <s v="Travel_Frequently"/>
    <n v="1318"/>
    <x v="0"/>
    <n v="10"/>
    <n v="4"/>
    <x v="3"/>
    <n v="1"/>
    <n v="1853"/>
    <n v="4"/>
    <x v="1"/>
    <n v="79"/>
    <n v="3"/>
    <x v="0"/>
    <x v="0"/>
    <n v="4"/>
    <x v="0"/>
    <n v="4648"/>
    <n v="26075"/>
    <n v="8"/>
    <s v="Y"/>
    <x v="1"/>
    <n v="13"/>
    <n v="3"/>
    <n v="3"/>
    <n v="80"/>
    <n v="0"/>
    <n v="4"/>
    <n v="2"/>
    <n v="4"/>
    <x v="2"/>
    <n v="0"/>
    <n v="0"/>
    <n v="0"/>
  </r>
  <r>
    <n v="42"/>
    <x v="1"/>
    <n v="0"/>
    <s v="Non-Travel"/>
    <n v="355"/>
    <x v="1"/>
    <n v="10"/>
    <n v="4"/>
    <x v="4"/>
    <n v="1"/>
    <n v="1854"/>
    <n v="3"/>
    <x v="1"/>
    <n v="38"/>
    <n v="3"/>
    <x v="1"/>
    <x v="1"/>
    <n v="3"/>
    <x v="1"/>
    <n v="2936"/>
    <n v="6161"/>
    <n v="3"/>
    <s v="Y"/>
    <x v="1"/>
    <n v="22"/>
    <n v="4"/>
    <n v="2"/>
    <n v="80"/>
    <n v="2"/>
    <n v="10"/>
    <n v="1"/>
    <n v="2"/>
    <x v="0"/>
    <n v="3"/>
    <n v="3"/>
    <n v="3"/>
  </r>
  <r>
    <n v="47"/>
    <x v="1"/>
    <n v="0"/>
    <s v="Travel_Rarely"/>
    <n v="207"/>
    <x v="1"/>
    <n v="9"/>
    <n v="4"/>
    <x v="0"/>
    <n v="1"/>
    <n v="1856"/>
    <n v="2"/>
    <x v="0"/>
    <n v="64"/>
    <n v="3"/>
    <x v="1"/>
    <x v="2"/>
    <n v="3"/>
    <x v="0"/>
    <n v="2105"/>
    <n v="5411"/>
    <n v="4"/>
    <s v="Y"/>
    <x v="1"/>
    <n v="12"/>
    <n v="3"/>
    <n v="3"/>
    <n v="80"/>
    <n v="0"/>
    <n v="7"/>
    <n v="2"/>
    <n v="3"/>
    <x v="4"/>
    <n v="2"/>
    <n v="2"/>
    <n v="0"/>
  </r>
  <r>
    <n v="46"/>
    <x v="1"/>
    <n v="0"/>
    <s v="Travel_Rarely"/>
    <n v="706"/>
    <x v="1"/>
    <n v="2"/>
    <n v="2"/>
    <x v="0"/>
    <n v="1"/>
    <n v="1857"/>
    <n v="4"/>
    <x v="1"/>
    <n v="82"/>
    <n v="3"/>
    <x v="2"/>
    <x v="3"/>
    <n v="4"/>
    <x v="2"/>
    <n v="8578"/>
    <n v="19989"/>
    <n v="3"/>
    <s v="Y"/>
    <x v="1"/>
    <n v="14"/>
    <n v="3"/>
    <n v="3"/>
    <n v="80"/>
    <n v="1"/>
    <n v="12"/>
    <n v="4"/>
    <n v="2"/>
    <x v="7"/>
    <n v="8"/>
    <n v="4"/>
    <n v="7"/>
  </r>
  <r>
    <n v="28"/>
    <x v="1"/>
    <n v="0"/>
    <s v="Non-Travel"/>
    <n v="280"/>
    <x v="2"/>
    <n v="1"/>
    <n v="2"/>
    <x v="0"/>
    <n v="1"/>
    <n v="1858"/>
    <n v="3"/>
    <x v="1"/>
    <n v="43"/>
    <n v="3"/>
    <x v="1"/>
    <x v="8"/>
    <n v="4"/>
    <x v="2"/>
    <n v="2706"/>
    <n v="10494"/>
    <n v="1"/>
    <s v="Y"/>
    <x v="1"/>
    <n v="15"/>
    <n v="3"/>
    <n v="2"/>
    <n v="80"/>
    <n v="1"/>
    <n v="3"/>
    <n v="2"/>
    <n v="3"/>
    <x v="11"/>
    <n v="2"/>
    <n v="2"/>
    <n v="2"/>
  </r>
  <r>
    <n v="29"/>
    <x v="1"/>
    <n v="0"/>
    <s v="Travel_Rarely"/>
    <n v="726"/>
    <x v="1"/>
    <n v="29"/>
    <n v="1"/>
    <x v="0"/>
    <n v="1"/>
    <n v="1859"/>
    <n v="4"/>
    <x v="1"/>
    <n v="93"/>
    <n v="1"/>
    <x v="0"/>
    <x v="4"/>
    <n v="3"/>
    <x v="2"/>
    <n v="6384"/>
    <n v="21143"/>
    <n v="8"/>
    <s v="Y"/>
    <x v="1"/>
    <n v="17"/>
    <n v="3"/>
    <n v="4"/>
    <n v="80"/>
    <n v="2"/>
    <n v="11"/>
    <n v="3"/>
    <n v="3"/>
    <x v="5"/>
    <n v="0"/>
    <n v="1"/>
    <n v="6"/>
  </r>
  <r>
    <n v="42"/>
    <x v="1"/>
    <n v="0"/>
    <s v="Travel_Rarely"/>
    <n v="1142"/>
    <x v="1"/>
    <n v="8"/>
    <n v="3"/>
    <x v="0"/>
    <n v="1"/>
    <n v="1860"/>
    <n v="4"/>
    <x v="1"/>
    <n v="81"/>
    <n v="3"/>
    <x v="1"/>
    <x v="2"/>
    <n v="3"/>
    <x v="0"/>
    <n v="3968"/>
    <n v="13624"/>
    <n v="4"/>
    <s v="Y"/>
    <x v="1"/>
    <n v="13"/>
    <n v="3"/>
    <n v="4"/>
    <n v="80"/>
    <n v="0"/>
    <n v="8"/>
    <n v="3"/>
    <n v="3"/>
    <x v="2"/>
    <n v="0"/>
    <n v="0"/>
    <n v="0"/>
  </r>
  <r>
    <n v="32"/>
    <x v="0"/>
    <n v="1"/>
    <s v="Travel_Rarely"/>
    <n v="414"/>
    <x v="0"/>
    <n v="2"/>
    <n v="4"/>
    <x v="3"/>
    <n v="1"/>
    <n v="1862"/>
    <n v="3"/>
    <x v="1"/>
    <n v="82"/>
    <n v="2"/>
    <x v="0"/>
    <x v="0"/>
    <n v="2"/>
    <x v="0"/>
    <n v="9907"/>
    <n v="26186"/>
    <n v="7"/>
    <s v="Y"/>
    <x v="0"/>
    <n v="12"/>
    <n v="3"/>
    <n v="3"/>
    <n v="80"/>
    <n v="0"/>
    <n v="7"/>
    <n v="3"/>
    <n v="2"/>
    <x v="4"/>
    <n v="2"/>
    <n v="2"/>
    <n v="2"/>
  </r>
  <r>
    <n v="46"/>
    <x v="1"/>
    <n v="0"/>
    <s v="Travel_Rarely"/>
    <n v="1319"/>
    <x v="0"/>
    <n v="3"/>
    <n v="3"/>
    <x v="4"/>
    <n v="1"/>
    <n v="1863"/>
    <n v="1"/>
    <x v="0"/>
    <n v="45"/>
    <n v="4"/>
    <x v="3"/>
    <x v="0"/>
    <n v="1"/>
    <x v="2"/>
    <n v="13225"/>
    <n v="7739"/>
    <n v="2"/>
    <s v="Y"/>
    <x v="1"/>
    <n v="12"/>
    <n v="3"/>
    <n v="4"/>
    <n v="80"/>
    <n v="1"/>
    <n v="25"/>
    <n v="5"/>
    <n v="3"/>
    <x v="27"/>
    <n v="17"/>
    <n v="2"/>
    <n v="8"/>
  </r>
  <r>
    <n v="27"/>
    <x v="1"/>
    <n v="0"/>
    <s v="Travel_Rarely"/>
    <n v="728"/>
    <x v="0"/>
    <n v="23"/>
    <n v="1"/>
    <x v="2"/>
    <n v="1"/>
    <n v="1864"/>
    <n v="2"/>
    <x v="0"/>
    <n v="36"/>
    <n v="2"/>
    <x v="0"/>
    <x v="6"/>
    <n v="3"/>
    <x v="1"/>
    <n v="3540"/>
    <n v="7018"/>
    <n v="1"/>
    <s v="Y"/>
    <x v="1"/>
    <n v="21"/>
    <n v="4"/>
    <n v="4"/>
    <n v="80"/>
    <n v="1"/>
    <n v="9"/>
    <n v="5"/>
    <n v="3"/>
    <x v="7"/>
    <n v="8"/>
    <n v="5"/>
    <n v="8"/>
  </r>
  <r>
    <n v="29"/>
    <x v="1"/>
    <n v="0"/>
    <s v="Travel_Rarely"/>
    <n v="352"/>
    <x v="2"/>
    <n v="6"/>
    <n v="1"/>
    <x v="2"/>
    <n v="1"/>
    <n v="1865"/>
    <n v="4"/>
    <x v="1"/>
    <n v="87"/>
    <n v="2"/>
    <x v="1"/>
    <x v="8"/>
    <n v="2"/>
    <x v="1"/>
    <n v="2804"/>
    <n v="15434"/>
    <n v="1"/>
    <s v="Y"/>
    <x v="1"/>
    <n v="11"/>
    <n v="3"/>
    <n v="4"/>
    <n v="80"/>
    <n v="0"/>
    <n v="1"/>
    <n v="3"/>
    <n v="3"/>
    <x v="6"/>
    <n v="0"/>
    <n v="0"/>
    <n v="0"/>
  </r>
  <r>
    <n v="43"/>
    <x v="1"/>
    <n v="0"/>
    <s v="Travel_Rarely"/>
    <n v="823"/>
    <x v="1"/>
    <n v="6"/>
    <n v="3"/>
    <x v="2"/>
    <n v="1"/>
    <n v="1866"/>
    <n v="1"/>
    <x v="0"/>
    <n v="81"/>
    <n v="2"/>
    <x v="4"/>
    <x v="5"/>
    <n v="3"/>
    <x v="1"/>
    <n v="19392"/>
    <n v="22539"/>
    <n v="7"/>
    <s v="Y"/>
    <x v="1"/>
    <n v="13"/>
    <n v="3"/>
    <n v="4"/>
    <n v="80"/>
    <n v="0"/>
    <n v="21"/>
    <n v="2"/>
    <n v="3"/>
    <x v="22"/>
    <n v="12"/>
    <n v="6"/>
    <n v="14"/>
  </r>
  <r>
    <n v="48"/>
    <x v="1"/>
    <n v="0"/>
    <s v="Travel_Rarely"/>
    <n v="1224"/>
    <x v="1"/>
    <n v="10"/>
    <n v="3"/>
    <x v="0"/>
    <n v="1"/>
    <n v="1867"/>
    <n v="4"/>
    <x v="1"/>
    <n v="91"/>
    <n v="2"/>
    <x v="4"/>
    <x v="7"/>
    <n v="2"/>
    <x v="1"/>
    <n v="19665"/>
    <n v="13583"/>
    <n v="4"/>
    <s v="Y"/>
    <x v="1"/>
    <n v="12"/>
    <n v="3"/>
    <n v="4"/>
    <n v="80"/>
    <n v="0"/>
    <n v="29"/>
    <n v="3"/>
    <n v="3"/>
    <x v="14"/>
    <n v="10"/>
    <n v="12"/>
    <n v="9"/>
  </r>
  <r>
    <n v="29"/>
    <x v="0"/>
    <n v="1"/>
    <s v="Travel_Frequently"/>
    <n v="459"/>
    <x v="1"/>
    <n v="24"/>
    <n v="2"/>
    <x v="0"/>
    <n v="1"/>
    <n v="1868"/>
    <n v="4"/>
    <x v="1"/>
    <n v="73"/>
    <n v="2"/>
    <x v="1"/>
    <x v="1"/>
    <n v="4"/>
    <x v="0"/>
    <n v="2439"/>
    <n v="14753"/>
    <n v="1"/>
    <s v="Y"/>
    <x v="0"/>
    <n v="24"/>
    <n v="4"/>
    <n v="2"/>
    <n v="80"/>
    <n v="0"/>
    <n v="1"/>
    <n v="3"/>
    <n v="2"/>
    <x v="6"/>
    <n v="0"/>
    <n v="1"/>
    <n v="0"/>
  </r>
  <r>
    <n v="46"/>
    <x v="0"/>
    <n v="1"/>
    <s v="Travel_Rarely"/>
    <n v="1254"/>
    <x v="0"/>
    <n v="10"/>
    <n v="3"/>
    <x v="0"/>
    <n v="1"/>
    <n v="1869"/>
    <n v="3"/>
    <x v="0"/>
    <n v="64"/>
    <n v="3"/>
    <x v="2"/>
    <x v="0"/>
    <n v="2"/>
    <x v="1"/>
    <n v="7314"/>
    <n v="14011"/>
    <n v="5"/>
    <s v="Y"/>
    <x v="1"/>
    <n v="21"/>
    <n v="4"/>
    <n v="3"/>
    <n v="80"/>
    <n v="3"/>
    <n v="14"/>
    <n v="2"/>
    <n v="3"/>
    <x v="3"/>
    <n v="7"/>
    <n v="0"/>
    <n v="7"/>
  </r>
  <r>
    <n v="27"/>
    <x v="1"/>
    <n v="0"/>
    <s v="Travel_Frequently"/>
    <n v="1131"/>
    <x v="1"/>
    <n v="15"/>
    <n v="3"/>
    <x v="0"/>
    <n v="1"/>
    <n v="1870"/>
    <n v="4"/>
    <x v="0"/>
    <n v="77"/>
    <n v="2"/>
    <x v="1"/>
    <x v="1"/>
    <n v="1"/>
    <x v="1"/>
    <n v="4774"/>
    <n v="23844"/>
    <n v="0"/>
    <s v="Y"/>
    <x v="1"/>
    <n v="19"/>
    <n v="3"/>
    <n v="4"/>
    <n v="80"/>
    <n v="1"/>
    <n v="8"/>
    <n v="2"/>
    <n v="2"/>
    <x v="5"/>
    <n v="6"/>
    <n v="7"/>
    <n v="3"/>
  </r>
  <r>
    <n v="39"/>
    <x v="1"/>
    <n v="0"/>
    <s v="Travel_Rarely"/>
    <n v="835"/>
    <x v="1"/>
    <n v="19"/>
    <n v="4"/>
    <x v="1"/>
    <n v="1"/>
    <n v="1871"/>
    <n v="4"/>
    <x v="1"/>
    <n v="41"/>
    <n v="3"/>
    <x v="0"/>
    <x v="1"/>
    <n v="4"/>
    <x v="2"/>
    <n v="3902"/>
    <n v="5141"/>
    <n v="8"/>
    <s v="Y"/>
    <x v="1"/>
    <n v="14"/>
    <n v="3"/>
    <n v="2"/>
    <n v="80"/>
    <n v="3"/>
    <n v="7"/>
    <n v="2"/>
    <n v="3"/>
    <x v="4"/>
    <n v="2"/>
    <n v="2"/>
    <n v="2"/>
  </r>
  <r>
    <n v="55"/>
    <x v="1"/>
    <n v="0"/>
    <s v="Travel_Rarely"/>
    <n v="836"/>
    <x v="1"/>
    <n v="2"/>
    <n v="4"/>
    <x v="4"/>
    <n v="1"/>
    <n v="1873"/>
    <n v="2"/>
    <x v="1"/>
    <n v="98"/>
    <n v="2"/>
    <x v="1"/>
    <x v="1"/>
    <n v="4"/>
    <x v="1"/>
    <n v="2662"/>
    <n v="7975"/>
    <n v="8"/>
    <s v="Y"/>
    <x v="1"/>
    <n v="20"/>
    <n v="4"/>
    <n v="2"/>
    <n v="80"/>
    <n v="1"/>
    <n v="19"/>
    <n v="2"/>
    <n v="4"/>
    <x v="8"/>
    <n v="2"/>
    <n v="0"/>
    <n v="4"/>
  </r>
  <r>
    <n v="28"/>
    <x v="1"/>
    <n v="0"/>
    <s v="Travel_Rarely"/>
    <n v="1172"/>
    <x v="0"/>
    <n v="3"/>
    <n v="3"/>
    <x v="2"/>
    <n v="1"/>
    <n v="1875"/>
    <n v="2"/>
    <x v="0"/>
    <n v="78"/>
    <n v="3"/>
    <x v="1"/>
    <x v="6"/>
    <n v="2"/>
    <x v="1"/>
    <n v="2856"/>
    <n v="3692"/>
    <n v="1"/>
    <s v="Y"/>
    <x v="1"/>
    <n v="19"/>
    <n v="3"/>
    <n v="4"/>
    <n v="80"/>
    <n v="1"/>
    <n v="1"/>
    <n v="3"/>
    <n v="3"/>
    <x v="6"/>
    <n v="0"/>
    <n v="0"/>
    <n v="0"/>
  </r>
  <r>
    <n v="30"/>
    <x v="0"/>
    <n v="1"/>
    <s v="Travel_Rarely"/>
    <n v="945"/>
    <x v="0"/>
    <n v="9"/>
    <n v="3"/>
    <x v="2"/>
    <n v="1"/>
    <n v="1876"/>
    <n v="2"/>
    <x v="1"/>
    <n v="89"/>
    <n v="3"/>
    <x v="1"/>
    <x v="6"/>
    <n v="4"/>
    <x v="0"/>
    <n v="1081"/>
    <n v="16019"/>
    <n v="1"/>
    <s v="Y"/>
    <x v="1"/>
    <n v="13"/>
    <n v="3"/>
    <n v="3"/>
    <n v="80"/>
    <n v="0"/>
    <n v="1"/>
    <n v="3"/>
    <n v="2"/>
    <x v="6"/>
    <n v="0"/>
    <n v="0"/>
    <n v="0"/>
  </r>
  <r>
    <n v="22"/>
    <x v="0"/>
    <n v="1"/>
    <s v="Travel_Rarely"/>
    <n v="391"/>
    <x v="1"/>
    <n v="7"/>
    <n v="1"/>
    <x v="0"/>
    <n v="1"/>
    <n v="1878"/>
    <n v="4"/>
    <x v="1"/>
    <n v="75"/>
    <n v="3"/>
    <x v="1"/>
    <x v="1"/>
    <n v="2"/>
    <x v="0"/>
    <n v="2472"/>
    <n v="26092"/>
    <n v="1"/>
    <s v="Y"/>
    <x v="0"/>
    <n v="23"/>
    <n v="4"/>
    <n v="1"/>
    <n v="80"/>
    <n v="0"/>
    <n v="1"/>
    <n v="2"/>
    <n v="3"/>
    <x v="6"/>
    <n v="0"/>
    <n v="0"/>
    <n v="0"/>
  </r>
  <r>
    <n v="36"/>
    <x v="1"/>
    <n v="0"/>
    <s v="Travel_Rarely"/>
    <n v="1266"/>
    <x v="0"/>
    <n v="10"/>
    <n v="4"/>
    <x v="4"/>
    <n v="1"/>
    <n v="1880"/>
    <n v="2"/>
    <x v="0"/>
    <n v="63"/>
    <n v="2"/>
    <x v="0"/>
    <x v="0"/>
    <n v="3"/>
    <x v="1"/>
    <n v="5673"/>
    <n v="6060"/>
    <n v="1"/>
    <s v="Y"/>
    <x v="0"/>
    <n v="13"/>
    <n v="3"/>
    <n v="1"/>
    <n v="80"/>
    <n v="1"/>
    <n v="10"/>
    <n v="4"/>
    <n v="3"/>
    <x v="1"/>
    <n v="9"/>
    <n v="1"/>
    <n v="7"/>
  </r>
  <r>
    <n v="31"/>
    <x v="1"/>
    <n v="0"/>
    <s v="Travel_Rarely"/>
    <n v="311"/>
    <x v="1"/>
    <n v="20"/>
    <n v="3"/>
    <x v="0"/>
    <n v="1"/>
    <n v="1881"/>
    <n v="2"/>
    <x v="1"/>
    <n v="89"/>
    <n v="3"/>
    <x v="0"/>
    <x v="2"/>
    <n v="3"/>
    <x v="2"/>
    <n v="4197"/>
    <n v="18624"/>
    <n v="1"/>
    <s v="Y"/>
    <x v="1"/>
    <n v="11"/>
    <n v="3"/>
    <n v="1"/>
    <n v="80"/>
    <n v="1"/>
    <n v="10"/>
    <n v="2"/>
    <n v="3"/>
    <x v="1"/>
    <n v="8"/>
    <n v="0"/>
    <n v="2"/>
  </r>
  <r>
    <n v="34"/>
    <x v="1"/>
    <n v="0"/>
    <s v="Travel_Rarely"/>
    <n v="1480"/>
    <x v="0"/>
    <n v="4"/>
    <n v="3"/>
    <x v="0"/>
    <n v="1"/>
    <n v="1882"/>
    <n v="3"/>
    <x v="1"/>
    <n v="64"/>
    <n v="3"/>
    <x v="2"/>
    <x v="0"/>
    <n v="4"/>
    <x v="1"/>
    <n v="9713"/>
    <n v="24444"/>
    <n v="2"/>
    <s v="Y"/>
    <x v="0"/>
    <n v="13"/>
    <n v="3"/>
    <n v="4"/>
    <n v="80"/>
    <n v="3"/>
    <n v="9"/>
    <n v="3"/>
    <n v="3"/>
    <x v="8"/>
    <n v="3"/>
    <n v="1"/>
    <n v="0"/>
  </r>
  <r>
    <n v="29"/>
    <x v="1"/>
    <n v="0"/>
    <s v="Travel_Rarely"/>
    <n v="592"/>
    <x v="1"/>
    <n v="7"/>
    <n v="3"/>
    <x v="0"/>
    <n v="1"/>
    <n v="1883"/>
    <n v="4"/>
    <x v="1"/>
    <n v="59"/>
    <n v="3"/>
    <x v="1"/>
    <x v="2"/>
    <n v="1"/>
    <x v="0"/>
    <n v="2062"/>
    <n v="19384"/>
    <n v="3"/>
    <s v="Y"/>
    <x v="1"/>
    <n v="14"/>
    <n v="3"/>
    <n v="2"/>
    <n v="80"/>
    <n v="0"/>
    <n v="11"/>
    <n v="2"/>
    <n v="3"/>
    <x v="11"/>
    <n v="2"/>
    <n v="1"/>
    <n v="2"/>
  </r>
  <r>
    <n v="37"/>
    <x v="1"/>
    <n v="0"/>
    <s v="Travel_Rarely"/>
    <n v="783"/>
    <x v="1"/>
    <n v="7"/>
    <n v="4"/>
    <x v="2"/>
    <n v="1"/>
    <n v="1885"/>
    <n v="4"/>
    <x v="1"/>
    <n v="78"/>
    <n v="3"/>
    <x v="0"/>
    <x v="1"/>
    <n v="1"/>
    <x v="1"/>
    <n v="4284"/>
    <n v="13588"/>
    <n v="5"/>
    <s v="Y"/>
    <x v="0"/>
    <n v="22"/>
    <n v="4"/>
    <n v="3"/>
    <n v="80"/>
    <n v="1"/>
    <n v="16"/>
    <n v="2"/>
    <n v="3"/>
    <x v="8"/>
    <n v="3"/>
    <n v="0"/>
    <n v="4"/>
  </r>
  <r>
    <n v="35"/>
    <x v="1"/>
    <n v="0"/>
    <s v="Travel_Rarely"/>
    <n v="219"/>
    <x v="1"/>
    <n v="16"/>
    <n v="2"/>
    <x v="1"/>
    <n v="1"/>
    <n v="1886"/>
    <n v="4"/>
    <x v="0"/>
    <n v="44"/>
    <n v="2"/>
    <x v="0"/>
    <x v="3"/>
    <n v="2"/>
    <x v="1"/>
    <n v="4788"/>
    <n v="25388"/>
    <n v="0"/>
    <s v="Y"/>
    <x v="0"/>
    <n v="11"/>
    <n v="3"/>
    <n v="4"/>
    <n v="80"/>
    <n v="0"/>
    <n v="4"/>
    <n v="2"/>
    <n v="3"/>
    <x v="11"/>
    <n v="2"/>
    <n v="0"/>
    <n v="2"/>
  </r>
  <r>
    <n v="45"/>
    <x v="1"/>
    <n v="0"/>
    <s v="Travel_Rarely"/>
    <n v="556"/>
    <x v="1"/>
    <n v="25"/>
    <n v="2"/>
    <x v="0"/>
    <n v="1"/>
    <n v="1888"/>
    <n v="2"/>
    <x v="0"/>
    <n v="93"/>
    <n v="2"/>
    <x v="0"/>
    <x v="3"/>
    <n v="4"/>
    <x v="1"/>
    <n v="5906"/>
    <n v="23888"/>
    <n v="0"/>
    <s v="Y"/>
    <x v="1"/>
    <n v="13"/>
    <n v="3"/>
    <n v="4"/>
    <n v="80"/>
    <n v="2"/>
    <n v="10"/>
    <n v="2"/>
    <n v="2"/>
    <x v="7"/>
    <n v="8"/>
    <n v="3"/>
    <n v="8"/>
  </r>
  <r>
    <n v="36"/>
    <x v="1"/>
    <n v="0"/>
    <s v="Travel_Frequently"/>
    <n v="1213"/>
    <x v="2"/>
    <n v="2"/>
    <n v="1"/>
    <x v="5"/>
    <n v="1"/>
    <n v="1890"/>
    <n v="2"/>
    <x v="1"/>
    <n v="94"/>
    <n v="2"/>
    <x v="0"/>
    <x v="8"/>
    <n v="4"/>
    <x v="0"/>
    <n v="3886"/>
    <n v="4223"/>
    <n v="1"/>
    <s v="Y"/>
    <x v="1"/>
    <n v="21"/>
    <n v="4"/>
    <n v="4"/>
    <n v="80"/>
    <n v="0"/>
    <n v="10"/>
    <n v="2"/>
    <n v="2"/>
    <x v="1"/>
    <n v="1"/>
    <n v="0"/>
    <n v="8"/>
  </r>
  <r>
    <n v="40"/>
    <x v="1"/>
    <n v="0"/>
    <s v="Travel_Rarely"/>
    <n v="1137"/>
    <x v="1"/>
    <n v="1"/>
    <n v="4"/>
    <x v="0"/>
    <n v="1"/>
    <n v="1892"/>
    <n v="1"/>
    <x v="1"/>
    <n v="98"/>
    <n v="3"/>
    <x v="3"/>
    <x v="5"/>
    <n v="1"/>
    <x v="2"/>
    <n v="16823"/>
    <n v="18991"/>
    <n v="2"/>
    <s v="Y"/>
    <x v="1"/>
    <n v="11"/>
    <n v="3"/>
    <n v="1"/>
    <n v="80"/>
    <n v="1"/>
    <n v="22"/>
    <n v="3"/>
    <n v="3"/>
    <x v="27"/>
    <n v="7"/>
    <n v="11"/>
    <n v="16"/>
  </r>
  <r>
    <n v="26"/>
    <x v="1"/>
    <n v="0"/>
    <s v="Travel_Rarely"/>
    <n v="482"/>
    <x v="1"/>
    <n v="1"/>
    <n v="2"/>
    <x v="0"/>
    <n v="1"/>
    <n v="1893"/>
    <n v="2"/>
    <x v="0"/>
    <n v="90"/>
    <n v="2"/>
    <x v="1"/>
    <x v="1"/>
    <n v="3"/>
    <x v="1"/>
    <n v="2933"/>
    <n v="14908"/>
    <n v="1"/>
    <s v="Y"/>
    <x v="0"/>
    <n v="13"/>
    <n v="3"/>
    <n v="3"/>
    <n v="80"/>
    <n v="1"/>
    <n v="1"/>
    <n v="3"/>
    <n v="2"/>
    <x v="6"/>
    <n v="0"/>
    <n v="1"/>
    <n v="0"/>
  </r>
  <r>
    <n v="27"/>
    <x v="1"/>
    <n v="0"/>
    <s v="Travel_Rarely"/>
    <n v="511"/>
    <x v="0"/>
    <n v="2"/>
    <n v="2"/>
    <x v="2"/>
    <n v="1"/>
    <n v="1898"/>
    <n v="1"/>
    <x v="0"/>
    <n v="89"/>
    <n v="4"/>
    <x v="0"/>
    <x v="0"/>
    <n v="3"/>
    <x v="0"/>
    <n v="6500"/>
    <n v="26997"/>
    <n v="0"/>
    <s v="Y"/>
    <x v="1"/>
    <n v="14"/>
    <n v="3"/>
    <n v="2"/>
    <n v="80"/>
    <n v="0"/>
    <n v="9"/>
    <n v="5"/>
    <n v="2"/>
    <x v="3"/>
    <n v="7"/>
    <n v="0"/>
    <n v="7"/>
  </r>
  <r>
    <n v="48"/>
    <x v="1"/>
    <n v="0"/>
    <s v="Travel_Frequently"/>
    <n v="117"/>
    <x v="1"/>
    <n v="22"/>
    <n v="3"/>
    <x v="2"/>
    <n v="1"/>
    <n v="1900"/>
    <n v="4"/>
    <x v="0"/>
    <n v="58"/>
    <n v="3"/>
    <x v="3"/>
    <x v="5"/>
    <n v="4"/>
    <x v="2"/>
    <n v="17174"/>
    <n v="2437"/>
    <n v="3"/>
    <s v="Y"/>
    <x v="1"/>
    <n v="11"/>
    <n v="3"/>
    <n v="2"/>
    <n v="80"/>
    <n v="1"/>
    <n v="24"/>
    <n v="3"/>
    <n v="3"/>
    <x v="14"/>
    <n v="17"/>
    <n v="4"/>
    <n v="7"/>
  </r>
  <r>
    <n v="44"/>
    <x v="1"/>
    <n v="0"/>
    <s v="Travel_Rarely"/>
    <n v="170"/>
    <x v="1"/>
    <n v="1"/>
    <n v="4"/>
    <x v="0"/>
    <n v="1"/>
    <n v="1903"/>
    <n v="2"/>
    <x v="1"/>
    <n v="78"/>
    <n v="4"/>
    <x v="0"/>
    <x v="4"/>
    <n v="1"/>
    <x v="1"/>
    <n v="5033"/>
    <n v="9364"/>
    <n v="2"/>
    <s v="Y"/>
    <x v="1"/>
    <n v="15"/>
    <n v="3"/>
    <n v="4"/>
    <n v="80"/>
    <n v="1"/>
    <n v="10"/>
    <n v="5"/>
    <n v="3"/>
    <x v="4"/>
    <n v="0"/>
    <n v="2"/>
    <n v="2"/>
  </r>
  <r>
    <n v="34"/>
    <x v="0"/>
    <n v="1"/>
    <s v="Non-Travel"/>
    <n v="967"/>
    <x v="1"/>
    <n v="16"/>
    <n v="4"/>
    <x v="4"/>
    <n v="1"/>
    <n v="1905"/>
    <n v="4"/>
    <x v="1"/>
    <n v="85"/>
    <n v="1"/>
    <x v="1"/>
    <x v="1"/>
    <n v="1"/>
    <x v="1"/>
    <n v="2307"/>
    <n v="14460"/>
    <n v="1"/>
    <s v="Y"/>
    <x v="0"/>
    <n v="23"/>
    <n v="4"/>
    <n v="2"/>
    <n v="80"/>
    <n v="1"/>
    <n v="5"/>
    <n v="2"/>
    <n v="3"/>
    <x v="8"/>
    <n v="2"/>
    <n v="3"/>
    <n v="0"/>
  </r>
  <r>
    <n v="56"/>
    <x v="0"/>
    <n v="1"/>
    <s v="Travel_Rarely"/>
    <n v="1162"/>
    <x v="1"/>
    <n v="24"/>
    <n v="2"/>
    <x v="0"/>
    <n v="1"/>
    <n v="1907"/>
    <n v="1"/>
    <x v="1"/>
    <n v="97"/>
    <n v="3"/>
    <x v="1"/>
    <x v="2"/>
    <n v="4"/>
    <x v="0"/>
    <n v="2587"/>
    <n v="10261"/>
    <n v="1"/>
    <s v="Y"/>
    <x v="1"/>
    <n v="16"/>
    <n v="3"/>
    <n v="4"/>
    <n v="80"/>
    <n v="0"/>
    <n v="5"/>
    <n v="3"/>
    <n v="3"/>
    <x v="9"/>
    <n v="2"/>
    <n v="1"/>
    <n v="0"/>
  </r>
  <r>
    <n v="36"/>
    <x v="1"/>
    <n v="0"/>
    <s v="Travel_Rarely"/>
    <n v="335"/>
    <x v="0"/>
    <n v="17"/>
    <n v="2"/>
    <x v="3"/>
    <n v="1"/>
    <n v="1908"/>
    <n v="3"/>
    <x v="1"/>
    <n v="33"/>
    <n v="2"/>
    <x v="0"/>
    <x v="0"/>
    <n v="2"/>
    <x v="1"/>
    <n v="5507"/>
    <n v="16822"/>
    <n v="2"/>
    <s v="Y"/>
    <x v="1"/>
    <n v="16"/>
    <n v="3"/>
    <n v="3"/>
    <n v="80"/>
    <n v="2"/>
    <n v="12"/>
    <n v="1"/>
    <n v="1"/>
    <x v="9"/>
    <n v="2"/>
    <n v="1"/>
    <n v="3"/>
  </r>
  <r>
    <n v="41"/>
    <x v="1"/>
    <n v="0"/>
    <s v="Travel_Rarely"/>
    <n v="337"/>
    <x v="0"/>
    <n v="8"/>
    <n v="3"/>
    <x v="3"/>
    <n v="1"/>
    <n v="1909"/>
    <n v="3"/>
    <x v="0"/>
    <n v="54"/>
    <n v="3"/>
    <x v="0"/>
    <x v="0"/>
    <n v="2"/>
    <x v="1"/>
    <n v="4393"/>
    <n v="26841"/>
    <n v="5"/>
    <s v="Y"/>
    <x v="1"/>
    <n v="21"/>
    <n v="4"/>
    <n v="3"/>
    <n v="80"/>
    <n v="1"/>
    <n v="14"/>
    <n v="3"/>
    <n v="3"/>
    <x v="8"/>
    <n v="4"/>
    <n v="1"/>
    <n v="4"/>
  </r>
  <r>
    <n v="42"/>
    <x v="1"/>
    <n v="0"/>
    <s v="Travel_Rarely"/>
    <n v="1396"/>
    <x v="1"/>
    <n v="6"/>
    <n v="3"/>
    <x v="2"/>
    <n v="1"/>
    <n v="1911"/>
    <n v="3"/>
    <x v="1"/>
    <n v="83"/>
    <n v="3"/>
    <x v="2"/>
    <x v="7"/>
    <n v="1"/>
    <x v="1"/>
    <n v="13348"/>
    <n v="14842"/>
    <n v="9"/>
    <s v="Y"/>
    <x v="1"/>
    <n v="13"/>
    <n v="3"/>
    <n v="2"/>
    <n v="80"/>
    <n v="1"/>
    <n v="18"/>
    <n v="3"/>
    <n v="4"/>
    <x v="20"/>
    <n v="7"/>
    <n v="5"/>
    <n v="7"/>
  </r>
  <r>
    <n v="31"/>
    <x v="1"/>
    <n v="0"/>
    <s v="Travel_Rarely"/>
    <n v="1079"/>
    <x v="0"/>
    <n v="10"/>
    <n v="2"/>
    <x v="2"/>
    <n v="1"/>
    <n v="1912"/>
    <n v="3"/>
    <x v="0"/>
    <n v="86"/>
    <n v="3"/>
    <x v="0"/>
    <x v="0"/>
    <n v="4"/>
    <x v="2"/>
    <n v="6583"/>
    <n v="20115"/>
    <n v="2"/>
    <s v="Y"/>
    <x v="0"/>
    <n v="11"/>
    <n v="3"/>
    <n v="4"/>
    <n v="80"/>
    <n v="1"/>
    <n v="8"/>
    <n v="2"/>
    <n v="3"/>
    <x v="8"/>
    <n v="2"/>
    <n v="1"/>
    <n v="4"/>
  </r>
  <r>
    <n v="34"/>
    <x v="1"/>
    <n v="0"/>
    <s v="Travel_Rarely"/>
    <n v="735"/>
    <x v="0"/>
    <n v="3"/>
    <n v="1"/>
    <x v="2"/>
    <n v="1"/>
    <n v="1915"/>
    <n v="4"/>
    <x v="0"/>
    <n v="75"/>
    <n v="2"/>
    <x v="0"/>
    <x v="0"/>
    <n v="4"/>
    <x v="1"/>
    <n v="8103"/>
    <n v="16495"/>
    <n v="3"/>
    <s v="Y"/>
    <x v="0"/>
    <n v="12"/>
    <n v="3"/>
    <n v="3"/>
    <n v="80"/>
    <n v="0"/>
    <n v="9"/>
    <n v="3"/>
    <n v="2"/>
    <x v="9"/>
    <n v="2"/>
    <n v="0"/>
    <n v="1"/>
  </r>
  <r>
    <n v="31"/>
    <x v="1"/>
    <n v="0"/>
    <s v="Travel_Rarely"/>
    <n v="471"/>
    <x v="1"/>
    <n v="4"/>
    <n v="3"/>
    <x v="2"/>
    <n v="1"/>
    <n v="1916"/>
    <n v="1"/>
    <x v="0"/>
    <n v="62"/>
    <n v="4"/>
    <x v="1"/>
    <x v="2"/>
    <n v="3"/>
    <x v="2"/>
    <n v="3978"/>
    <n v="16031"/>
    <n v="8"/>
    <s v="Y"/>
    <x v="1"/>
    <n v="12"/>
    <n v="3"/>
    <n v="2"/>
    <n v="80"/>
    <n v="1"/>
    <n v="4"/>
    <n v="0"/>
    <n v="2"/>
    <x v="4"/>
    <n v="2"/>
    <n v="2"/>
    <n v="2"/>
  </r>
  <r>
    <n v="26"/>
    <x v="1"/>
    <n v="0"/>
    <s v="Travel_Frequently"/>
    <n v="1096"/>
    <x v="1"/>
    <n v="6"/>
    <n v="3"/>
    <x v="1"/>
    <n v="1"/>
    <n v="1918"/>
    <n v="3"/>
    <x v="1"/>
    <n v="61"/>
    <n v="4"/>
    <x v="1"/>
    <x v="2"/>
    <n v="4"/>
    <x v="1"/>
    <n v="2544"/>
    <n v="7102"/>
    <n v="0"/>
    <s v="Y"/>
    <x v="1"/>
    <n v="18"/>
    <n v="3"/>
    <n v="1"/>
    <n v="80"/>
    <n v="1"/>
    <n v="8"/>
    <n v="3"/>
    <n v="3"/>
    <x v="5"/>
    <n v="7"/>
    <n v="7"/>
    <n v="7"/>
  </r>
  <r>
    <n v="45"/>
    <x v="1"/>
    <n v="0"/>
    <s v="Travel_Frequently"/>
    <n v="1297"/>
    <x v="1"/>
    <n v="1"/>
    <n v="4"/>
    <x v="2"/>
    <n v="1"/>
    <n v="1922"/>
    <n v="2"/>
    <x v="1"/>
    <n v="44"/>
    <n v="3"/>
    <x v="0"/>
    <x v="4"/>
    <n v="3"/>
    <x v="0"/>
    <n v="5399"/>
    <n v="14511"/>
    <n v="4"/>
    <s v="Y"/>
    <x v="1"/>
    <n v="12"/>
    <n v="3"/>
    <n v="3"/>
    <n v="80"/>
    <n v="0"/>
    <n v="12"/>
    <n v="3"/>
    <n v="3"/>
    <x v="9"/>
    <n v="2"/>
    <n v="0"/>
    <n v="3"/>
  </r>
  <r>
    <n v="33"/>
    <x v="1"/>
    <n v="0"/>
    <s v="Travel_Rarely"/>
    <n v="217"/>
    <x v="0"/>
    <n v="10"/>
    <n v="4"/>
    <x v="3"/>
    <n v="1"/>
    <n v="1924"/>
    <n v="2"/>
    <x v="1"/>
    <n v="43"/>
    <n v="3"/>
    <x v="0"/>
    <x v="0"/>
    <n v="3"/>
    <x v="0"/>
    <n v="5487"/>
    <n v="10410"/>
    <n v="1"/>
    <s v="Y"/>
    <x v="1"/>
    <n v="14"/>
    <n v="3"/>
    <n v="2"/>
    <n v="80"/>
    <n v="0"/>
    <n v="10"/>
    <n v="2"/>
    <n v="2"/>
    <x v="1"/>
    <n v="4"/>
    <n v="0"/>
    <n v="9"/>
  </r>
  <r>
    <n v="28"/>
    <x v="1"/>
    <n v="0"/>
    <s v="Travel_Frequently"/>
    <n v="783"/>
    <x v="0"/>
    <n v="1"/>
    <n v="2"/>
    <x v="0"/>
    <n v="1"/>
    <n v="1927"/>
    <n v="3"/>
    <x v="1"/>
    <n v="42"/>
    <n v="2"/>
    <x v="0"/>
    <x v="0"/>
    <n v="4"/>
    <x v="1"/>
    <n v="6834"/>
    <n v="19255"/>
    <n v="1"/>
    <s v="Y"/>
    <x v="0"/>
    <n v="12"/>
    <n v="3"/>
    <n v="3"/>
    <n v="80"/>
    <n v="1"/>
    <n v="7"/>
    <n v="2"/>
    <n v="3"/>
    <x v="5"/>
    <n v="7"/>
    <n v="0"/>
    <n v="7"/>
  </r>
  <r>
    <n v="29"/>
    <x v="0"/>
    <n v="1"/>
    <s v="Travel_Frequently"/>
    <n v="746"/>
    <x v="0"/>
    <n v="24"/>
    <n v="3"/>
    <x v="4"/>
    <n v="1"/>
    <n v="1928"/>
    <n v="3"/>
    <x v="1"/>
    <n v="45"/>
    <n v="4"/>
    <x v="1"/>
    <x v="6"/>
    <n v="1"/>
    <x v="0"/>
    <n v="1091"/>
    <n v="10642"/>
    <n v="1"/>
    <s v="Y"/>
    <x v="1"/>
    <n v="17"/>
    <n v="3"/>
    <n v="4"/>
    <n v="80"/>
    <n v="0"/>
    <n v="1"/>
    <n v="3"/>
    <n v="3"/>
    <x v="6"/>
    <n v="0"/>
    <n v="0"/>
    <n v="0"/>
  </r>
  <r>
    <n v="39"/>
    <x v="1"/>
    <n v="0"/>
    <s v="Non-Travel"/>
    <n v="1251"/>
    <x v="0"/>
    <n v="21"/>
    <n v="4"/>
    <x v="0"/>
    <n v="1"/>
    <n v="1929"/>
    <n v="1"/>
    <x v="0"/>
    <n v="32"/>
    <n v="1"/>
    <x v="0"/>
    <x v="0"/>
    <n v="3"/>
    <x v="1"/>
    <n v="5736"/>
    <n v="3987"/>
    <n v="6"/>
    <s v="Y"/>
    <x v="1"/>
    <n v="19"/>
    <n v="3"/>
    <n v="3"/>
    <n v="80"/>
    <n v="1"/>
    <n v="10"/>
    <n v="1"/>
    <n v="3"/>
    <x v="11"/>
    <n v="2"/>
    <n v="1"/>
    <n v="2"/>
  </r>
  <r>
    <n v="27"/>
    <x v="1"/>
    <n v="0"/>
    <s v="Travel_Rarely"/>
    <n v="1354"/>
    <x v="1"/>
    <n v="2"/>
    <n v="4"/>
    <x v="4"/>
    <n v="1"/>
    <n v="1931"/>
    <n v="2"/>
    <x v="1"/>
    <n v="41"/>
    <n v="3"/>
    <x v="1"/>
    <x v="1"/>
    <n v="2"/>
    <x v="1"/>
    <n v="2226"/>
    <n v="6073"/>
    <n v="1"/>
    <s v="Y"/>
    <x v="1"/>
    <n v="11"/>
    <n v="3"/>
    <n v="3"/>
    <n v="80"/>
    <n v="1"/>
    <n v="6"/>
    <n v="3"/>
    <n v="2"/>
    <x v="8"/>
    <n v="3"/>
    <n v="1"/>
    <n v="2"/>
  </r>
  <r>
    <n v="34"/>
    <x v="1"/>
    <n v="0"/>
    <s v="Travel_Frequently"/>
    <n v="735"/>
    <x v="1"/>
    <n v="22"/>
    <n v="4"/>
    <x v="1"/>
    <n v="1"/>
    <n v="1932"/>
    <n v="3"/>
    <x v="1"/>
    <n v="86"/>
    <n v="2"/>
    <x v="0"/>
    <x v="1"/>
    <n v="4"/>
    <x v="1"/>
    <n v="5747"/>
    <n v="26496"/>
    <n v="1"/>
    <s v="Y"/>
    <x v="0"/>
    <n v="15"/>
    <n v="3"/>
    <n v="2"/>
    <n v="80"/>
    <n v="0"/>
    <n v="16"/>
    <n v="3"/>
    <n v="3"/>
    <x v="15"/>
    <n v="10"/>
    <n v="6"/>
    <n v="11"/>
  </r>
  <r>
    <n v="28"/>
    <x v="0"/>
    <n v="1"/>
    <s v="Travel_Rarely"/>
    <n v="1475"/>
    <x v="0"/>
    <n v="13"/>
    <n v="2"/>
    <x v="3"/>
    <n v="1"/>
    <n v="1933"/>
    <n v="4"/>
    <x v="0"/>
    <n v="84"/>
    <n v="3"/>
    <x v="0"/>
    <x v="0"/>
    <n v="3"/>
    <x v="0"/>
    <n v="9854"/>
    <n v="23352"/>
    <n v="3"/>
    <s v="Y"/>
    <x v="0"/>
    <n v="11"/>
    <n v="3"/>
    <n v="4"/>
    <n v="80"/>
    <n v="0"/>
    <n v="6"/>
    <n v="0"/>
    <n v="3"/>
    <x v="4"/>
    <n v="0"/>
    <n v="2"/>
    <n v="2"/>
  </r>
  <r>
    <n v="47"/>
    <x v="1"/>
    <n v="0"/>
    <s v="Non-Travel"/>
    <n v="1169"/>
    <x v="1"/>
    <n v="14"/>
    <n v="4"/>
    <x v="4"/>
    <n v="1"/>
    <n v="1934"/>
    <n v="3"/>
    <x v="1"/>
    <n v="64"/>
    <n v="3"/>
    <x v="0"/>
    <x v="1"/>
    <n v="2"/>
    <x v="1"/>
    <n v="5467"/>
    <n v="2125"/>
    <n v="8"/>
    <s v="Y"/>
    <x v="1"/>
    <n v="18"/>
    <n v="3"/>
    <n v="3"/>
    <n v="80"/>
    <n v="1"/>
    <n v="16"/>
    <n v="4"/>
    <n v="4"/>
    <x v="3"/>
    <n v="7"/>
    <n v="1"/>
    <n v="7"/>
  </r>
  <r>
    <n v="56"/>
    <x v="1"/>
    <n v="0"/>
    <s v="Travel_Rarely"/>
    <n v="1443"/>
    <x v="0"/>
    <n v="11"/>
    <n v="5"/>
    <x v="3"/>
    <n v="1"/>
    <n v="1935"/>
    <n v="4"/>
    <x v="0"/>
    <n v="89"/>
    <n v="2"/>
    <x v="0"/>
    <x v="0"/>
    <n v="1"/>
    <x v="1"/>
    <n v="5380"/>
    <n v="20328"/>
    <n v="4"/>
    <s v="Y"/>
    <x v="1"/>
    <n v="16"/>
    <n v="3"/>
    <n v="3"/>
    <n v="80"/>
    <n v="1"/>
    <n v="6"/>
    <n v="3"/>
    <n v="3"/>
    <x v="2"/>
    <n v="0"/>
    <n v="0"/>
    <n v="0"/>
  </r>
  <r>
    <n v="39"/>
    <x v="1"/>
    <n v="0"/>
    <s v="Travel_Rarely"/>
    <n v="867"/>
    <x v="1"/>
    <n v="9"/>
    <n v="2"/>
    <x v="2"/>
    <n v="1"/>
    <n v="1936"/>
    <n v="1"/>
    <x v="1"/>
    <n v="87"/>
    <n v="3"/>
    <x v="0"/>
    <x v="3"/>
    <n v="1"/>
    <x v="1"/>
    <n v="5151"/>
    <n v="12315"/>
    <n v="1"/>
    <s v="Y"/>
    <x v="1"/>
    <n v="25"/>
    <n v="4"/>
    <n v="4"/>
    <n v="80"/>
    <n v="1"/>
    <n v="10"/>
    <n v="3"/>
    <n v="3"/>
    <x v="1"/>
    <n v="0"/>
    <n v="7"/>
    <n v="9"/>
  </r>
  <r>
    <n v="38"/>
    <x v="1"/>
    <n v="0"/>
    <s v="Travel_Frequently"/>
    <n v="1394"/>
    <x v="1"/>
    <n v="8"/>
    <n v="3"/>
    <x v="2"/>
    <n v="1"/>
    <n v="1937"/>
    <n v="4"/>
    <x v="0"/>
    <n v="58"/>
    <n v="2"/>
    <x v="0"/>
    <x v="1"/>
    <n v="2"/>
    <x v="2"/>
    <n v="2133"/>
    <n v="18115"/>
    <n v="1"/>
    <s v="Y"/>
    <x v="0"/>
    <n v="16"/>
    <n v="3"/>
    <n v="3"/>
    <n v="80"/>
    <n v="1"/>
    <n v="20"/>
    <n v="3"/>
    <n v="3"/>
    <x v="23"/>
    <n v="11"/>
    <n v="0"/>
    <n v="7"/>
  </r>
  <r>
    <n v="58"/>
    <x v="1"/>
    <n v="0"/>
    <s v="Travel_Rarely"/>
    <n v="605"/>
    <x v="0"/>
    <n v="21"/>
    <n v="3"/>
    <x v="0"/>
    <n v="1"/>
    <n v="1938"/>
    <n v="4"/>
    <x v="0"/>
    <n v="72"/>
    <n v="3"/>
    <x v="3"/>
    <x v="5"/>
    <n v="4"/>
    <x v="1"/>
    <n v="17875"/>
    <n v="11761"/>
    <n v="4"/>
    <s v="Y"/>
    <x v="0"/>
    <n v="13"/>
    <n v="3"/>
    <n v="3"/>
    <n v="80"/>
    <n v="1"/>
    <n v="29"/>
    <n v="2"/>
    <n v="2"/>
    <x v="6"/>
    <n v="0"/>
    <n v="0"/>
    <n v="0"/>
  </r>
  <r>
    <n v="32"/>
    <x v="0"/>
    <n v="1"/>
    <s v="Travel_Frequently"/>
    <n v="238"/>
    <x v="1"/>
    <n v="5"/>
    <n v="2"/>
    <x v="0"/>
    <n v="1"/>
    <n v="1939"/>
    <n v="1"/>
    <x v="0"/>
    <n v="47"/>
    <n v="4"/>
    <x v="1"/>
    <x v="1"/>
    <n v="3"/>
    <x v="0"/>
    <n v="2432"/>
    <n v="15318"/>
    <n v="3"/>
    <s v="Y"/>
    <x v="0"/>
    <n v="14"/>
    <n v="3"/>
    <n v="1"/>
    <n v="80"/>
    <n v="0"/>
    <n v="8"/>
    <n v="2"/>
    <n v="3"/>
    <x v="9"/>
    <n v="1"/>
    <n v="0"/>
    <n v="3"/>
  </r>
  <r>
    <n v="38"/>
    <x v="1"/>
    <n v="0"/>
    <s v="Travel_Rarely"/>
    <n v="1206"/>
    <x v="1"/>
    <n v="9"/>
    <n v="2"/>
    <x v="0"/>
    <n v="1"/>
    <n v="1940"/>
    <n v="2"/>
    <x v="1"/>
    <n v="71"/>
    <n v="3"/>
    <x v="1"/>
    <x v="1"/>
    <n v="4"/>
    <x v="2"/>
    <n v="4771"/>
    <n v="14293"/>
    <n v="2"/>
    <s v="Y"/>
    <x v="1"/>
    <n v="19"/>
    <n v="3"/>
    <n v="4"/>
    <n v="80"/>
    <n v="2"/>
    <n v="10"/>
    <n v="0"/>
    <n v="4"/>
    <x v="8"/>
    <n v="2"/>
    <n v="0"/>
    <n v="3"/>
  </r>
  <r>
    <n v="49"/>
    <x v="1"/>
    <n v="0"/>
    <s v="Travel_Frequently"/>
    <n v="1064"/>
    <x v="1"/>
    <n v="2"/>
    <n v="1"/>
    <x v="0"/>
    <n v="1"/>
    <n v="1941"/>
    <n v="2"/>
    <x v="1"/>
    <n v="42"/>
    <n v="3"/>
    <x v="4"/>
    <x v="7"/>
    <n v="4"/>
    <x v="1"/>
    <n v="19161"/>
    <n v="13738"/>
    <n v="3"/>
    <s v="Y"/>
    <x v="1"/>
    <n v="15"/>
    <n v="3"/>
    <n v="4"/>
    <n v="80"/>
    <n v="0"/>
    <n v="28"/>
    <n v="3"/>
    <n v="3"/>
    <x v="8"/>
    <n v="4"/>
    <n v="4"/>
    <n v="3"/>
  </r>
  <r>
    <n v="42"/>
    <x v="1"/>
    <n v="0"/>
    <s v="Travel_Rarely"/>
    <n v="419"/>
    <x v="0"/>
    <n v="12"/>
    <n v="4"/>
    <x v="3"/>
    <n v="1"/>
    <n v="1943"/>
    <n v="2"/>
    <x v="1"/>
    <n v="77"/>
    <n v="3"/>
    <x v="0"/>
    <x v="0"/>
    <n v="4"/>
    <x v="2"/>
    <n v="5087"/>
    <n v="2900"/>
    <n v="3"/>
    <s v="Y"/>
    <x v="0"/>
    <n v="12"/>
    <n v="3"/>
    <n v="3"/>
    <n v="80"/>
    <n v="2"/>
    <n v="14"/>
    <n v="4"/>
    <n v="3"/>
    <x v="2"/>
    <n v="0"/>
    <n v="0"/>
    <n v="0"/>
  </r>
  <r>
    <n v="27"/>
    <x v="0"/>
    <n v="1"/>
    <s v="Travel_Frequently"/>
    <n v="1337"/>
    <x v="2"/>
    <n v="22"/>
    <n v="3"/>
    <x v="5"/>
    <n v="1"/>
    <n v="1944"/>
    <n v="1"/>
    <x v="0"/>
    <n v="58"/>
    <n v="2"/>
    <x v="1"/>
    <x v="8"/>
    <n v="2"/>
    <x v="1"/>
    <n v="2863"/>
    <n v="19555"/>
    <n v="1"/>
    <s v="Y"/>
    <x v="1"/>
    <n v="12"/>
    <n v="3"/>
    <n v="1"/>
    <n v="80"/>
    <n v="0"/>
    <n v="1"/>
    <n v="2"/>
    <n v="3"/>
    <x v="6"/>
    <n v="0"/>
    <n v="0"/>
    <n v="0"/>
  </r>
  <r>
    <n v="35"/>
    <x v="1"/>
    <n v="0"/>
    <s v="Travel_Rarely"/>
    <n v="682"/>
    <x v="0"/>
    <n v="18"/>
    <n v="4"/>
    <x v="2"/>
    <n v="1"/>
    <n v="1945"/>
    <n v="2"/>
    <x v="1"/>
    <n v="71"/>
    <n v="3"/>
    <x v="0"/>
    <x v="0"/>
    <n v="1"/>
    <x v="1"/>
    <n v="5561"/>
    <n v="15975"/>
    <n v="0"/>
    <s v="Y"/>
    <x v="1"/>
    <n v="16"/>
    <n v="3"/>
    <n v="4"/>
    <n v="80"/>
    <n v="1"/>
    <n v="6"/>
    <n v="2"/>
    <n v="1"/>
    <x v="8"/>
    <n v="3"/>
    <n v="0"/>
    <n v="4"/>
  </r>
  <r>
    <n v="28"/>
    <x v="1"/>
    <n v="0"/>
    <s v="Non-Travel"/>
    <n v="1103"/>
    <x v="1"/>
    <n v="16"/>
    <n v="3"/>
    <x v="2"/>
    <n v="1"/>
    <n v="1947"/>
    <n v="3"/>
    <x v="1"/>
    <n v="49"/>
    <n v="3"/>
    <x v="1"/>
    <x v="1"/>
    <n v="3"/>
    <x v="0"/>
    <n v="2144"/>
    <n v="2122"/>
    <n v="1"/>
    <s v="Y"/>
    <x v="1"/>
    <n v="14"/>
    <n v="3"/>
    <n v="3"/>
    <n v="80"/>
    <n v="0"/>
    <n v="5"/>
    <n v="3"/>
    <n v="2"/>
    <x v="8"/>
    <n v="3"/>
    <n v="1"/>
    <n v="4"/>
  </r>
  <r>
    <n v="31"/>
    <x v="1"/>
    <n v="0"/>
    <s v="Non-Travel"/>
    <n v="976"/>
    <x v="1"/>
    <n v="3"/>
    <n v="2"/>
    <x v="2"/>
    <n v="1"/>
    <n v="1948"/>
    <n v="3"/>
    <x v="1"/>
    <n v="48"/>
    <n v="3"/>
    <x v="1"/>
    <x v="1"/>
    <n v="1"/>
    <x v="2"/>
    <n v="3065"/>
    <n v="3995"/>
    <n v="1"/>
    <s v="Y"/>
    <x v="0"/>
    <n v="13"/>
    <n v="3"/>
    <n v="4"/>
    <n v="80"/>
    <n v="1"/>
    <n v="4"/>
    <n v="3"/>
    <n v="4"/>
    <x v="9"/>
    <n v="2"/>
    <n v="2"/>
    <n v="3"/>
  </r>
  <r>
    <n v="36"/>
    <x v="1"/>
    <n v="0"/>
    <s v="Non-Travel"/>
    <n v="1351"/>
    <x v="1"/>
    <n v="9"/>
    <n v="4"/>
    <x v="0"/>
    <n v="1"/>
    <n v="1949"/>
    <n v="1"/>
    <x v="1"/>
    <n v="66"/>
    <n v="4"/>
    <x v="1"/>
    <x v="2"/>
    <n v="2"/>
    <x v="1"/>
    <n v="2810"/>
    <n v="9238"/>
    <n v="1"/>
    <s v="Y"/>
    <x v="1"/>
    <n v="22"/>
    <n v="4"/>
    <n v="2"/>
    <n v="80"/>
    <n v="0"/>
    <n v="5"/>
    <n v="3"/>
    <n v="3"/>
    <x v="8"/>
    <n v="4"/>
    <n v="0"/>
    <n v="2"/>
  </r>
  <r>
    <n v="34"/>
    <x v="1"/>
    <n v="0"/>
    <s v="Travel_Rarely"/>
    <n v="937"/>
    <x v="0"/>
    <n v="1"/>
    <n v="3"/>
    <x v="3"/>
    <n v="1"/>
    <n v="1950"/>
    <n v="1"/>
    <x v="1"/>
    <n v="32"/>
    <n v="3"/>
    <x v="2"/>
    <x v="0"/>
    <n v="4"/>
    <x v="0"/>
    <n v="9888"/>
    <n v="6770"/>
    <n v="1"/>
    <s v="Y"/>
    <x v="1"/>
    <n v="21"/>
    <n v="4"/>
    <n v="1"/>
    <n v="80"/>
    <n v="0"/>
    <n v="14"/>
    <n v="3"/>
    <n v="2"/>
    <x v="13"/>
    <n v="8"/>
    <n v="2"/>
    <n v="1"/>
  </r>
  <r>
    <n v="34"/>
    <x v="1"/>
    <n v="0"/>
    <s v="Travel_Rarely"/>
    <n v="1239"/>
    <x v="0"/>
    <n v="13"/>
    <n v="4"/>
    <x v="2"/>
    <n v="1"/>
    <n v="1951"/>
    <n v="4"/>
    <x v="1"/>
    <n v="39"/>
    <n v="3"/>
    <x v="2"/>
    <x v="0"/>
    <n v="3"/>
    <x v="2"/>
    <n v="8628"/>
    <n v="22914"/>
    <n v="1"/>
    <s v="Y"/>
    <x v="1"/>
    <n v="18"/>
    <n v="3"/>
    <n v="3"/>
    <n v="80"/>
    <n v="1"/>
    <n v="9"/>
    <n v="2"/>
    <n v="2"/>
    <x v="3"/>
    <n v="7"/>
    <n v="1"/>
    <n v="1"/>
  </r>
  <r>
    <n v="26"/>
    <x v="1"/>
    <n v="0"/>
    <s v="Travel_Rarely"/>
    <n v="157"/>
    <x v="1"/>
    <n v="1"/>
    <n v="3"/>
    <x v="2"/>
    <n v="1"/>
    <n v="1952"/>
    <n v="3"/>
    <x v="1"/>
    <n v="95"/>
    <n v="3"/>
    <x v="1"/>
    <x v="2"/>
    <n v="1"/>
    <x v="0"/>
    <n v="2867"/>
    <n v="20006"/>
    <n v="0"/>
    <s v="Y"/>
    <x v="1"/>
    <n v="13"/>
    <n v="3"/>
    <n v="4"/>
    <n v="80"/>
    <n v="0"/>
    <n v="8"/>
    <n v="6"/>
    <n v="2"/>
    <x v="5"/>
    <n v="7"/>
    <n v="7"/>
    <n v="6"/>
  </r>
  <r>
    <n v="29"/>
    <x v="1"/>
    <n v="0"/>
    <s v="Travel_Rarely"/>
    <n v="136"/>
    <x v="1"/>
    <n v="1"/>
    <n v="3"/>
    <x v="0"/>
    <n v="1"/>
    <n v="1954"/>
    <n v="1"/>
    <x v="1"/>
    <n v="89"/>
    <n v="3"/>
    <x v="0"/>
    <x v="4"/>
    <n v="1"/>
    <x v="1"/>
    <n v="5373"/>
    <n v="6225"/>
    <n v="0"/>
    <s v="Y"/>
    <x v="1"/>
    <n v="12"/>
    <n v="3"/>
    <n v="1"/>
    <n v="80"/>
    <n v="1"/>
    <n v="6"/>
    <n v="5"/>
    <n v="2"/>
    <x v="8"/>
    <n v="3"/>
    <n v="0"/>
    <n v="2"/>
  </r>
  <r>
    <n v="32"/>
    <x v="1"/>
    <n v="0"/>
    <s v="Non-Travel"/>
    <n v="1146"/>
    <x v="1"/>
    <n v="15"/>
    <n v="4"/>
    <x v="2"/>
    <n v="1"/>
    <n v="1955"/>
    <n v="3"/>
    <x v="0"/>
    <n v="34"/>
    <n v="3"/>
    <x v="0"/>
    <x v="4"/>
    <n v="4"/>
    <x v="2"/>
    <n v="6667"/>
    <n v="16542"/>
    <n v="5"/>
    <s v="Y"/>
    <x v="1"/>
    <n v="18"/>
    <n v="3"/>
    <n v="2"/>
    <n v="80"/>
    <n v="1"/>
    <n v="9"/>
    <n v="6"/>
    <n v="3"/>
    <x v="8"/>
    <n v="1"/>
    <n v="1"/>
    <n v="2"/>
  </r>
  <r>
    <n v="31"/>
    <x v="1"/>
    <n v="0"/>
    <s v="Travel_Frequently"/>
    <n v="1125"/>
    <x v="1"/>
    <n v="1"/>
    <n v="3"/>
    <x v="0"/>
    <n v="1"/>
    <n v="1956"/>
    <n v="4"/>
    <x v="1"/>
    <n v="48"/>
    <n v="1"/>
    <x v="0"/>
    <x v="1"/>
    <n v="1"/>
    <x v="1"/>
    <n v="5003"/>
    <n v="5771"/>
    <n v="1"/>
    <s v="Y"/>
    <x v="1"/>
    <n v="21"/>
    <n v="4"/>
    <n v="2"/>
    <n v="80"/>
    <n v="0"/>
    <n v="10"/>
    <n v="6"/>
    <n v="3"/>
    <x v="1"/>
    <n v="8"/>
    <n v="8"/>
    <n v="7"/>
  </r>
  <r>
    <n v="28"/>
    <x v="0"/>
    <n v="1"/>
    <s v="Travel_Rarely"/>
    <n v="1404"/>
    <x v="1"/>
    <n v="17"/>
    <n v="3"/>
    <x v="4"/>
    <n v="1"/>
    <n v="1960"/>
    <n v="3"/>
    <x v="1"/>
    <n v="32"/>
    <n v="2"/>
    <x v="1"/>
    <x v="2"/>
    <n v="4"/>
    <x v="2"/>
    <n v="2367"/>
    <n v="18779"/>
    <n v="5"/>
    <s v="Y"/>
    <x v="1"/>
    <n v="12"/>
    <n v="3"/>
    <n v="1"/>
    <n v="80"/>
    <n v="1"/>
    <n v="6"/>
    <n v="2"/>
    <n v="2"/>
    <x v="9"/>
    <n v="1"/>
    <n v="0"/>
    <n v="3"/>
  </r>
  <r>
    <n v="38"/>
    <x v="1"/>
    <n v="0"/>
    <s v="Travel_Rarely"/>
    <n v="1404"/>
    <x v="0"/>
    <n v="1"/>
    <n v="3"/>
    <x v="0"/>
    <n v="1"/>
    <n v="1961"/>
    <n v="1"/>
    <x v="1"/>
    <n v="59"/>
    <n v="2"/>
    <x v="1"/>
    <x v="6"/>
    <n v="1"/>
    <x v="0"/>
    <n v="2858"/>
    <n v="11473"/>
    <n v="4"/>
    <s v="Y"/>
    <x v="1"/>
    <n v="14"/>
    <n v="3"/>
    <n v="1"/>
    <n v="80"/>
    <n v="0"/>
    <n v="20"/>
    <n v="3"/>
    <n v="2"/>
    <x v="6"/>
    <n v="0"/>
    <n v="0"/>
    <n v="0"/>
  </r>
  <r>
    <n v="35"/>
    <x v="1"/>
    <n v="0"/>
    <s v="Travel_Rarely"/>
    <n v="1224"/>
    <x v="0"/>
    <n v="7"/>
    <n v="4"/>
    <x v="0"/>
    <n v="1"/>
    <n v="1962"/>
    <n v="3"/>
    <x v="0"/>
    <n v="55"/>
    <n v="3"/>
    <x v="0"/>
    <x v="0"/>
    <n v="4"/>
    <x v="1"/>
    <n v="5204"/>
    <n v="13586"/>
    <n v="1"/>
    <s v="Y"/>
    <x v="0"/>
    <n v="11"/>
    <n v="3"/>
    <n v="4"/>
    <n v="80"/>
    <n v="0"/>
    <n v="10"/>
    <n v="2"/>
    <n v="3"/>
    <x v="1"/>
    <n v="8"/>
    <n v="0"/>
    <n v="9"/>
  </r>
  <r>
    <n v="27"/>
    <x v="1"/>
    <n v="0"/>
    <s v="Travel_Rarely"/>
    <n v="954"/>
    <x v="0"/>
    <n v="9"/>
    <n v="3"/>
    <x v="3"/>
    <n v="1"/>
    <n v="1965"/>
    <n v="4"/>
    <x v="1"/>
    <n v="44"/>
    <n v="3"/>
    <x v="0"/>
    <x v="0"/>
    <n v="4"/>
    <x v="0"/>
    <n v="4105"/>
    <n v="5099"/>
    <n v="1"/>
    <s v="Y"/>
    <x v="1"/>
    <n v="14"/>
    <n v="3"/>
    <n v="1"/>
    <n v="80"/>
    <n v="0"/>
    <n v="7"/>
    <n v="5"/>
    <n v="3"/>
    <x v="5"/>
    <n v="7"/>
    <n v="0"/>
    <n v="7"/>
  </r>
  <r>
    <n v="32"/>
    <x v="1"/>
    <n v="0"/>
    <s v="Travel_Rarely"/>
    <n v="1373"/>
    <x v="1"/>
    <n v="5"/>
    <n v="4"/>
    <x v="0"/>
    <n v="1"/>
    <n v="1966"/>
    <n v="4"/>
    <x v="1"/>
    <n v="56"/>
    <n v="2"/>
    <x v="0"/>
    <x v="3"/>
    <n v="4"/>
    <x v="0"/>
    <n v="9679"/>
    <n v="10138"/>
    <n v="8"/>
    <s v="Y"/>
    <x v="1"/>
    <n v="24"/>
    <n v="4"/>
    <n v="2"/>
    <n v="80"/>
    <n v="0"/>
    <n v="8"/>
    <n v="1"/>
    <n v="3"/>
    <x v="6"/>
    <n v="0"/>
    <n v="0"/>
    <n v="0"/>
  </r>
  <r>
    <n v="31"/>
    <x v="0"/>
    <n v="1"/>
    <s v="Travel_Frequently"/>
    <n v="754"/>
    <x v="0"/>
    <n v="26"/>
    <n v="4"/>
    <x v="3"/>
    <n v="1"/>
    <n v="1967"/>
    <n v="1"/>
    <x v="1"/>
    <n v="63"/>
    <n v="3"/>
    <x v="0"/>
    <x v="0"/>
    <n v="4"/>
    <x v="1"/>
    <n v="5617"/>
    <n v="21075"/>
    <n v="1"/>
    <s v="Y"/>
    <x v="0"/>
    <n v="11"/>
    <n v="3"/>
    <n v="3"/>
    <n v="80"/>
    <n v="0"/>
    <n v="10"/>
    <n v="4"/>
    <n v="3"/>
    <x v="1"/>
    <n v="7"/>
    <n v="0"/>
    <n v="8"/>
  </r>
  <r>
    <n v="53"/>
    <x v="0"/>
    <n v="1"/>
    <s v="Travel_Rarely"/>
    <n v="1168"/>
    <x v="0"/>
    <n v="24"/>
    <n v="4"/>
    <x v="0"/>
    <n v="1"/>
    <n v="1968"/>
    <n v="1"/>
    <x v="1"/>
    <n v="66"/>
    <n v="3"/>
    <x v="2"/>
    <x v="0"/>
    <n v="1"/>
    <x v="0"/>
    <n v="10448"/>
    <n v="5843"/>
    <n v="6"/>
    <s v="Y"/>
    <x v="0"/>
    <n v="13"/>
    <n v="3"/>
    <n v="2"/>
    <n v="80"/>
    <n v="0"/>
    <n v="15"/>
    <n v="2"/>
    <n v="2"/>
    <x v="4"/>
    <n v="2"/>
    <n v="2"/>
    <n v="2"/>
  </r>
  <r>
    <n v="54"/>
    <x v="1"/>
    <n v="0"/>
    <s v="Travel_Rarely"/>
    <n v="155"/>
    <x v="1"/>
    <n v="9"/>
    <n v="2"/>
    <x v="0"/>
    <n v="1"/>
    <n v="1969"/>
    <n v="1"/>
    <x v="0"/>
    <n v="67"/>
    <n v="3"/>
    <x v="0"/>
    <x v="1"/>
    <n v="3"/>
    <x v="1"/>
    <n v="2897"/>
    <n v="22474"/>
    <n v="3"/>
    <s v="Y"/>
    <x v="1"/>
    <n v="11"/>
    <n v="3"/>
    <n v="3"/>
    <n v="80"/>
    <n v="2"/>
    <n v="9"/>
    <n v="6"/>
    <n v="2"/>
    <x v="9"/>
    <n v="3"/>
    <n v="2"/>
    <n v="3"/>
  </r>
  <r>
    <n v="33"/>
    <x v="1"/>
    <n v="0"/>
    <s v="Travel_Frequently"/>
    <n v="1303"/>
    <x v="1"/>
    <n v="7"/>
    <n v="2"/>
    <x v="0"/>
    <n v="1"/>
    <n v="1970"/>
    <n v="4"/>
    <x v="1"/>
    <n v="36"/>
    <n v="3"/>
    <x v="0"/>
    <x v="4"/>
    <n v="3"/>
    <x v="2"/>
    <n v="5968"/>
    <n v="18079"/>
    <n v="1"/>
    <s v="Y"/>
    <x v="1"/>
    <n v="20"/>
    <n v="4"/>
    <n v="3"/>
    <n v="80"/>
    <n v="3"/>
    <n v="9"/>
    <n v="2"/>
    <n v="3"/>
    <x v="7"/>
    <n v="7"/>
    <n v="2"/>
    <n v="8"/>
  </r>
  <r>
    <n v="43"/>
    <x v="1"/>
    <n v="0"/>
    <s v="Travel_Rarely"/>
    <n v="574"/>
    <x v="1"/>
    <n v="11"/>
    <n v="3"/>
    <x v="0"/>
    <n v="1"/>
    <n v="1971"/>
    <n v="1"/>
    <x v="1"/>
    <n v="30"/>
    <n v="3"/>
    <x v="2"/>
    <x v="4"/>
    <n v="3"/>
    <x v="1"/>
    <n v="7510"/>
    <n v="16873"/>
    <n v="1"/>
    <s v="Y"/>
    <x v="1"/>
    <n v="17"/>
    <n v="3"/>
    <n v="2"/>
    <n v="80"/>
    <n v="1"/>
    <n v="10"/>
    <n v="1"/>
    <n v="3"/>
    <x v="1"/>
    <n v="9"/>
    <n v="0"/>
    <n v="9"/>
  </r>
  <r>
    <n v="38"/>
    <x v="1"/>
    <n v="0"/>
    <s v="Travel_Frequently"/>
    <n v="1444"/>
    <x v="2"/>
    <n v="1"/>
    <n v="4"/>
    <x v="1"/>
    <n v="1"/>
    <n v="1972"/>
    <n v="4"/>
    <x v="1"/>
    <n v="88"/>
    <n v="3"/>
    <x v="1"/>
    <x v="8"/>
    <n v="2"/>
    <x v="1"/>
    <n v="2991"/>
    <n v="5224"/>
    <n v="0"/>
    <s v="Y"/>
    <x v="0"/>
    <n v="11"/>
    <n v="3"/>
    <n v="2"/>
    <n v="80"/>
    <n v="1"/>
    <n v="7"/>
    <n v="2"/>
    <n v="3"/>
    <x v="0"/>
    <n v="2"/>
    <n v="1"/>
    <n v="2"/>
  </r>
  <r>
    <n v="55"/>
    <x v="1"/>
    <n v="0"/>
    <s v="Travel_Rarely"/>
    <n v="189"/>
    <x v="2"/>
    <n v="26"/>
    <n v="4"/>
    <x v="5"/>
    <n v="1"/>
    <n v="1973"/>
    <n v="3"/>
    <x v="1"/>
    <n v="71"/>
    <n v="4"/>
    <x v="4"/>
    <x v="5"/>
    <n v="2"/>
    <x v="1"/>
    <n v="19636"/>
    <n v="25811"/>
    <n v="4"/>
    <s v="Y"/>
    <x v="0"/>
    <n v="18"/>
    <n v="3"/>
    <n v="1"/>
    <n v="80"/>
    <n v="1"/>
    <n v="35"/>
    <n v="0"/>
    <n v="3"/>
    <x v="1"/>
    <n v="9"/>
    <n v="1"/>
    <n v="4"/>
  </r>
  <r>
    <n v="31"/>
    <x v="1"/>
    <n v="0"/>
    <s v="Travel_Rarely"/>
    <n v="1276"/>
    <x v="1"/>
    <n v="2"/>
    <n v="1"/>
    <x v="2"/>
    <n v="1"/>
    <n v="1974"/>
    <n v="4"/>
    <x v="0"/>
    <n v="59"/>
    <n v="1"/>
    <x v="1"/>
    <x v="2"/>
    <n v="4"/>
    <x v="2"/>
    <n v="1129"/>
    <n v="17536"/>
    <n v="1"/>
    <s v="Y"/>
    <x v="0"/>
    <n v="11"/>
    <n v="3"/>
    <n v="3"/>
    <n v="80"/>
    <n v="3"/>
    <n v="1"/>
    <n v="4"/>
    <n v="3"/>
    <x v="6"/>
    <n v="0"/>
    <n v="0"/>
    <n v="0"/>
  </r>
  <r>
    <n v="39"/>
    <x v="1"/>
    <n v="0"/>
    <s v="Travel_Rarely"/>
    <n v="119"/>
    <x v="0"/>
    <n v="15"/>
    <n v="4"/>
    <x v="3"/>
    <n v="1"/>
    <n v="1975"/>
    <n v="2"/>
    <x v="1"/>
    <n v="77"/>
    <n v="3"/>
    <x v="3"/>
    <x v="0"/>
    <n v="1"/>
    <x v="0"/>
    <n v="13341"/>
    <n v="25098"/>
    <n v="0"/>
    <s v="Y"/>
    <x v="1"/>
    <n v="12"/>
    <n v="3"/>
    <n v="1"/>
    <n v="80"/>
    <n v="0"/>
    <n v="21"/>
    <n v="3"/>
    <n v="3"/>
    <x v="23"/>
    <n v="8"/>
    <n v="11"/>
    <n v="10"/>
  </r>
  <r>
    <n v="42"/>
    <x v="1"/>
    <n v="0"/>
    <s v="Non-Travel"/>
    <n v="335"/>
    <x v="1"/>
    <n v="23"/>
    <n v="2"/>
    <x v="0"/>
    <n v="1"/>
    <n v="1976"/>
    <n v="4"/>
    <x v="1"/>
    <n v="37"/>
    <n v="2"/>
    <x v="0"/>
    <x v="1"/>
    <n v="3"/>
    <x v="0"/>
    <n v="4332"/>
    <n v="14811"/>
    <n v="1"/>
    <s v="Y"/>
    <x v="1"/>
    <n v="12"/>
    <n v="3"/>
    <n v="4"/>
    <n v="80"/>
    <n v="0"/>
    <n v="20"/>
    <n v="2"/>
    <n v="3"/>
    <x v="23"/>
    <n v="9"/>
    <n v="3"/>
    <n v="7"/>
  </r>
  <r>
    <n v="31"/>
    <x v="1"/>
    <n v="0"/>
    <s v="Non-Travel"/>
    <n v="697"/>
    <x v="1"/>
    <n v="10"/>
    <n v="3"/>
    <x v="2"/>
    <n v="1"/>
    <n v="1979"/>
    <n v="3"/>
    <x v="0"/>
    <n v="40"/>
    <n v="3"/>
    <x v="2"/>
    <x v="7"/>
    <n v="3"/>
    <x v="1"/>
    <n v="11031"/>
    <n v="26862"/>
    <n v="4"/>
    <s v="Y"/>
    <x v="1"/>
    <n v="20"/>
    <n v="4"/>
    <n v="3"/>
    <n v="80"/>
    <n v="1"/>
    <n v="13"/>
    <n v="2"/>
    <n v="4"/>
    <x v="19"/>
    <n v="7"/>
    <n v="4"/>
    <n v="8"/>
  </r>
  <r>
    <n v="54"/>
    <x v="1"/>
    <n v="0"/>
    <s v="Travel_Rarely"/>
    <n v="157"/>
    <x v="1"/>
    <n v="10"/>
    <n v="3"/>
    <x v="2"/>
    <n v="1"/>
    <n v="1980"/>
    <n v="3"/>
    <x v="0"/>
    <n v="77"/>
    <n v="3"/>
    <x v="0"/>
    <x v="3"/>
    <n v="1"/>
    <x v="0"/>
    <n v="4440"/>
    <n v="25198"/>
    <n v="6"/>
    <s v="Y"/>
    <x v="0"/>
    <n v="19"/>
    <n v="3"/>
    <n v="4"/>
    <n v="80"/>
    <n v="0"/>
    <n v="9"/>
    <n v="3"/>
    <n v="3"/>
    <x v="8"/>
    <n v="2"/>
    <n v="1"/>
    <n v="4"/>
  </r>
  <r>
    <n v="24"/>
    <x v="1"/>
    <n v="0"/>
    <s v="Travel_Rarely"/>
    <n v="771"/>
    <x v="1"/>
    <n v="1"/>
    <n v="2"/>
    <x v="0"/>
    <n v="1"/>
    <n v="1981"/>
    <n v="2"/>
    <x v="1"/>
    <n v="45"/>
    <n v="2"/>
    <x v="0"/>
    <x v="4"/>
    <n v="3"/>
    <x v="0"/>
    <n v="4617"/>
    <n v="14120"/>
    <n v="1"/>
    <s v="Y"/>
    <x v="1"/>
    <n v="12"/>
    <n v="3"/>
    <n v="2"/>
    <n v="80"/>
    <n v="0"/>
    <n v="4"/>
    <n v="2"/>
    <n v="2"/>
    <x v="9"/>
    <n v="3"/>
    <n v="1"/>
    <n v="2"/>
  </r>
  <r>
    <n v="23"/>
    <x v="1"/>
    <n v="0"/>
    <s v="Travel_Rarely"/>
    <n v="571"/>
    <x v="1"/>
    <n v="12"/>
    <n v="2"/>
    <x v="1"/>
    <n v="1"/>
    <n v="1982"/>
    <n v="4"/>
    <x v="1"/>
    <n v="78"/>
    <n v="3"/>
    <x v="1"/>
    <x v="2"/>
    <n v="4"/>
    <x v="0"/>
    <n v="2647"/>
    <n v="13672"/>
    <n v="1"/>
    <s v="Y"/>
    <x v="1"/>
    <n v="13"/>
    <n v="3"/>
    <n v="3"/>
    <n v="80"/>
    <n v="0"/>
    <n v="5"/>
    <n v="6"/>
    <n v="4"/>
    <x v="8"/>
    <n v="2"/>
    <n v="1"/>
    <n v="4"/>
  </r>
  <r>
    <n v="40"/>
    <x v="1"/>
    <n v="0"/>
    <s v="Travel_Frequently"/>
    <n v="692"/>
    <x v="1"/>
    <n v="11"/>
    <n v="3"/>
    <x v="4"/>
    <n v="1"/>
    <n v="1985"/>
    <n v="4"/>
    <x v="0"/>
    <n v="73"/>
    <n v="3"/>
    <x v="0"/>
    <x v="2"/>
    <n v="3"/>
    <x v="1"/>
    <n v="6323"/>
    <n v="26849"/>
    <n v="1"/>
    <s v="Y"/>
    <x v="1"/>
    <n v="11"/>
    <n v="3"/>
    <n v="1"/>
    <n v="80"/>
    <n v="1"/>
    <n v="10"/>
    <n v="2"/>
    <n v="4"/>
    <x v="1"/>
    <n v="9"/>
    <n v="9"/>
    <n v="4"/>
  </r>
  <r>
    <n v="40"/>
    <x v="1"/>
    <n v="0"/>
    <s v="Travel_Rarely"/>
    <n v="444"/>
    <x v="0"/>
    <n v="2"/>
    <n v="2"/>
    <x v="3"/>
    <n v="1"/>
    <n v="1986"/>
    <n v="2"/>
    <x v="0"/>
    <n v="92"/>
    <n v="3"/>
    <x v="0"/>
    <x v="0"/>
    <n v="2"/>
    <x v="1"/>
    <n v="5677"/>
    <n v="4258"/>
    <n v="3"/>
    <s v="Y"/>
    <x v="1"/>
    <n v="14"/>
    <n v="3"/>
    <n v="3"/>
    <n v="80"/>
    <n v="1"/>
    <n v="15"/>
    <n v="4"/>
    <n v="3"/>
    <x v="19"/>
    <n v="8"/>
    <n v="5"/>
    <n v="10"/>
  </r>
  <r>
    <n v="25"/>
    <x v="1"/>
    <n v="0"/>
    <s v="Travel_Rarely"/>
    <n v="309"/>
    <x v="2"/>
    <n v="2"/>
    <n v="3"/>
    <x v="5"/>
    <n v="1"/>
    <n v="1987"/>
    <n v="3"/>
    <x v="0"/>
    <n v="82"/>
    <n v="3"/>
    <x v="1"/>
    <x v="8"/>
    <n v="2"/>
    <x v="1"/>
    <n v="2187"/>
    <n v="19655"/>
    <n v="4"/>
    <s v="Y"/>
    <x v="1"/>
    <n v="14"/>
    <n v="3"/>
    <n v="3"/>
    <n v="80"/>
    <n v="0"/>
    <n v="6"/>
    <n v="3"/>
    <n v="3"/>
    <x v="4"/>
    <n v="0"/>
    <n v="1"/>
    <n v="2"/>
  </r>
  <r>
    <n v="30"/>
    <x v="1"/>
    <n v="0"/>
    <s v="Travel_Rarely"/>
    <n v="911"/>
    <x v="1"/>
    <n v="1"/>
    <n v="2"/>
    <x v="2"/>
    <n v="1"/>
    <n v="1989"/>
    <n v="4"/>
    <x v="1"/>
    <n v="76"/>
    <n v="3"/>
    <x v="1"/>
    <x v="2"/>
    <n v="2"/>
    <x v="1"/>
    <n v="3748"/>
    <n v="4077"/>
    <n v="1"/>
    <s v="Y"/>
    <x v="1"/>
    <n v="13"/>
    <n v="3"/>
    <n v="3"/>
    <n v="80"/>
    <n v="0"/>
    <n v="12"/>
    <n v="6"/>
    <n v="2"/>
    <x v="12"/>
    <n v="8"/>
    <n v="1"/>
    <n v="7"/>
  </r>
  <r>
    <n v="25"/>
    <x v="1"/>
    <n v="0"/>
    <s v="Travel_Rarely"/>
    <n v="977"/>
    <x v="1"/>
    <n v="2"/>
    <n v="1"/>
    <x v="1"/>
    <n v="1"/>
    <n v="1992"/>
    <n v="4"/>
    <x v="1"/>
    <n v="57"/>
    <n v="3"/>
    <x v="1"/>
    <x v="2"/>
    <n v="3"/>
    <x v="2"/>
    <n v="3977"/>
    <n v="7298"/>
    <n v="6"/>
    <s v="Y"/>
    <x v="0"/>
    <n v="19"/>
    <n v="3"/>
    <n v="3"/>
    <n v="80"/>
    <n v="1"/>
    <n v="7"/>
    <n v="2"/>
    <n v="2"/>
    <x v="4"/>
    <n v="2"/>
    <n v="0"/>
    <n v="2"/>
  </r>
  <r>
    <n v="47"/>
    <x v="1"/>
    <n v="0"/>
    <s v="Travel_Rarely"/>
    <n v="1180"/>
    <x v="1"/>
    <n v="25"/>
    <n v="3"/>
    <x v="2"/>
    <n v="1"/>
    <n v="1993"/>
    <n v="1"/>
    <x v="1"/>
    <n v="84"/>
    <n v="3"/>
    <x v="2"/>
    <x v="4"/>
    <n v="3"/>
    <x v="0"/>
    <n v="8633"/>
    <n v="13084"/>
    <n v="2"/>
    <s v="Y"/>
    <x v="1"/>
    <n v="23"/>
    <n v="4"/>
    <n v="2"/>
    <n v="80"/>
    <n v="0"/>
    <n v="25"/>
    <n v="3"/>
    <n v="3"/>
    <x v="18"/>
    <n v="14"/>
    <n v="12"/>
    <n v="11"/>
  </r>
  <r>
    <n v="33"/>
    <x v="1"/>
    <n v="0"/>
    <s v="Non-Travel"/>
    <n v="1313"/>
    <x v="1"/>
    <n v="1"/>
    <n v="2"/>
    <x v="2"/>
    <n v="1"/>
    <n v="1994"/>
    <n v="2"/>
    <x v="1"/>
    <n v="59"/>
    <n v="2"/>
    <x v="1"/>
    <x v="2"/>
    <n v="3"/>
    <x v="2"/>
    <n v="2008"/>
    <n v="20439"/>
    <n v="1"/>
    <s v="Y"/>
    <x v="1"/>
    <n v="12"/>
    <n v="3"/>
    <n v="3"/>
    <n v="80"/>
    <n v="3"/>
    <n v="1"/>
    <n v="2"/>
    <n v="2"/>
    <x v="6"/>
    <n v="1"/>
    <n v="0"/>
    <n v="0"/>
  </r>
  <r>
    <n v="38"/>
    <x v="1"/>
    <n v="0"/>
    <s v="Travel_Rarely"/>
    <n v="1321"/>
    <x v="0"/>
    <n v="1"/>
    <n v="4"/>
    <x v="0"/>
    <n v="1"/>
    <n v="1995"/>
    <n v="4"/>
    <x v="1"/>
    <n v="86"/>
    <n v="3"/>
    <x v="0"/>
    <x v="0"/>
    <n v="2"/>
    <x v="1"/>
    <n v="4440"/>
    <n v="7636"/>
    <n v="0"/>
    <s v="Y"/>
    <x v="1"/>
    <n v="15"/>
    <n v="3"/>
    <n v="1"/>
    <n v="80"/>
    <n v="2"/>
    <n v="16"/>
    <n v="3"/>
    <n v="3"/>
    <x v="15"/>
    <n v="13"/>
    <n v="5"/>
    <n v="8"/>
  </r>
  <r>
    <n v="31"/>
    <x v="1"/>
    <n v="0"/>
    <s v="Travel_Rarely"/>
    <n v="1154"/>
    <x v="0"/>
    <n v="2"/>
    <n v="2"/>
    <x v="0"/>
    <n v="1"/>
    <n v="1996"/>
    <n v="1"/>
    <x v="1"/>
    <n v="54"/>
    <n v="3"/>
    <x v="1"/>
    <x v="6"/>
    <n v="3"/>
    <x v="1"/>
    <n v="3067"/>
    <n v="6393"/>
    <n v="0"/>
    <s v="Y"/>
    <x v="1"/>
    <n v="19"/>
    <n v="3"/>
    <n v="3"/>
    <n v="80"/>
    <n v="1"/>
    <n v="3"/>
    <n v="1"/>
    <n v="3"/>
    <x v="4"/>
    <n v="2"/>
    <n v="1"/>
    <n v="2"/>
  </r>
  <r>
    <n v="38"/>
    <x v="1"/>
    <n v="0"/>
    <s v="Travel_Frequently"/>
    <n v="508"/>
    <x v="1"/>
    <n v="6"/>
    <n v="4"/>
    <x v="0"/>
    <n v="1"/>
    <n v="1997"/>
    <n v="1"/>
    <x v="1"/>
    <n v="72"/>
    <n v="2"/>
    <x v="0"/>
    <x v="3"/>
    <n v="3"/>
    <x v="1"/>
    <n v="5321"/>
    <n v="14284"/>
    <n v="2"/>
    <s v="Y"/>
    <x v="1"/>
    <n v="11"/>
    <n v="3"/>
    <n v="4"/>
    <n v="80"/>
    <n v="1"/>
    <n v="10"/>
    <n v="1"/>
    <n v="3"/>
    <x v="3"/>
    <n v="3"/>
    <n v="7"/>
    <n v="7"/>
  </r>
  <r>
    <n v="42"/>
    <x v="1"/>
    <n v="0"/>
    <s v="Travel_Rarely"/>
    <n v="557"/>
    <x v="1"/>
    <n v="18"/>
    <n v="4"/>
    <x v="0"/>
    <n v="1"/>
    <n v="1998"/>
    <n v="4"/>
    <x v="1"/>
    <n v="35"/>
    <n v="3"/>
    <x v="0"/>
    <x v="1"/>
    <n v="1"/>
    <x v="2"/>
    <n v="5410"/>
    <n v="11189"/>
    <n v="6"/>
    <s v="Y"/>
    <x v="0"/>
    <n v="17"/>
    <n v="3"/>
    <n v="3"/>
    <n v="80"/>
    <n v="1"/>
    <n v="9"/>
    <n v="3"/>
    <n v="2"/>
    <x v="9"/>
    <n v="3"/>
    <n v="1"/>
    <n v="2"/>
  </r>
  <r>
    <n v="41"/>
    <x v="1"/>
    <n v="0"/>
    <s v="Travel_Rarely"/>
    <n v="642"/>
    <x v="1"/>
    <n v="1"/>
    <n v="3"/>
    <x v="0"/>
    <n v="1"/>
    <n v="1999"/>
    <n v="4"/>
    <x v="1"/>
    <n v="76"/>
    <n v="3"/>
    <x v="1"/>
    <x v="1"/>
    <n v="4"/>
    <x v="1"/>
    <n v="2782"/>
    <n v="21412"/>
    <n v="3"/>
    <s v="Y"/>
    <x v="1"/>
    <n v="22"/>
    <n v="4"/>
    <n v="1"/>
    <n v="80"/>
    <n v="1"/>
    <n v="12"/>
    <n v="3"/>
    <n v="3"/>
    <x v="8"/>
    <n v="3"/>
    <n v="1"/>
    <n v="0"/>
  </r>
  <r>
    <n v="47"/>
    <x v="1"/>
    <n v="0"/>
    <s v="Non-Travel"/>
    <n v="1162"/>
    <x v="1"/>
    <n v="1"/>
    <n v="1"/>
    <x v="2"/>
    <n v="1"/>
    <n v="2000"/>
    <n v="3"/>
    <x v="0"/>
    <n v="98"/>
    <n v="3"/>
    <x v="2"/>
    <x v="7"/>
    <n v="2"/>
    <x v="1"/>
    <n v="11957"/>
    <n v="17231"/>
    <n v="0"/>
    <s v="Y"/>
    <x v="1"/>
    <n v="18"/>
    <n v="3"/>
    <n v="1"/>
    <n v="80"/>
    <n v="2"/>
    <n v="14"/>
    <n v="3"/>
    <n v="1"/>
    <x v="20"/>
    <n v="8"/>
    <n v="5"/>
    <n v="12"/>
  </r>
  <r>
    <n v="35"/>
    <x v="1"/>
    <n v="0"/>
    <s v="Travel_Rarely"/>
    <n v="1490"/>
    <x v="1"/>
    <n v="11"/>
    <n v="4"/>
    <x v="2"/>
    <n v="1"/>
    <n v="2003"/>
    <n v="4"/>
    <x v="1"/>
    <n v="43"/>
    <n v="3"/>
    <x v="1"/>
    <x v="2"/>
    <n v="3"/>
    <x v="1"/>
    <n v="2660"/>
    <n v="20232"/>
    <n v="7"/>
    <s v="Y"/>
    <x v="0"/>
    <n v="11"/>
    <n v="3"/>
    <n v="3"/>
    <n v="80"/>
    <n v="1"/>
    <n v="5"/>
    <n v="3"/>
    <n v="3"/>
    <x v="4"/>
    <n v="2"/>
    <n v="2"/>
    <n v="2"/>
  </r>
  <r>
    <n v="22"/>
    <x v="1"/>
    <n v="0"/>
    <s v="Travel_Rarely"/>
    <n v="581"/>
    <x v="1"/>
    <n v="1"/>
    <n v="2"/>
    <x v="0"/>
    <n v="1"/>
    <n v="2007"/>
    <n v="4"/>
    <x v="1"/>
    <n v="63"/>
    <n v="3"/>
    <x v="1"/>
    <x v="1"/>
    <n v="3"/>
    <x v="0"/>
    <n v="3375"/>
    <n v="17624"/>
    <n v="0"/>
    <s v="Y"/>
    <x v="1"/>
    <n v="12"/>
    <n v="3"/>
    <n v="4"/>
    <n v="80"/>
    <n v="0"/>
    <n v="4"/>
    <n v="2"/>
    <n v="4"/>
    <x v="11"/>
    <n v="2"/>
    <n v="1"/>
    <n v="2"/>
  </r>
  <r>
    <n v="35"/>
    <x v="1"/>
    <n v="0"/>
    <s v="Travel_Rarely"/>
    <n v="1395"/>
    <x v="1"/>
    <n v="9"/>
    <n v="4"/>
    <x v="2"/>
    <n v="1"/>
    <n v="2008"/>
    <n v="2"/>
    <x v="1"/>
    <n v="48"/>
    <n v="3"/>
    <x v="0"/>
    <x v="1"/>
    <n v="3"/>
    <x v="0"/>
    <n v="5098"/>
    <n v="18698"/>
    <n v="1"/>
    <s v="Y"/>
    <x v="1"/>
    <n v="19"/>
    <n v="3"/>
    <n v="2"/>
    <n v="80"/>
    <n v="0"/>
    <n v="10"/>
    <n v="5"/>
    <n v="3"/>
    <x v="1"/>
    <n v="7"/>
    <n v="0"/>
    <n v="8"/>
  </r>
  <r>
    <n v="33"/>
    <x v="1"/>
    <n v="0"/>
    <s v="Travel_Rarely"/>
    <n v="501"/>
    <x v="1"/>
    <n v="15"/>
    <n v="2"/>
    <x v="2"/>
    <n v="1"/>
    <n v="2009"/>
    <n v="2"/>
    <x v="0"/>
    <n v="95"/>
    <n v="3"/>
    <x v="0"/>
    <x v="4"/>
    <n v="4"/>
    <x v="1"/>
    <n v="4878"/>
    <n v="21653"/>
    <n v="0"/>
    <s v="Y"/>
    <x v="0"/>
    <n v="13"/>
    <n v="3"/>
    <n v="1"/>
    <n v="80"/>
    <n v="1"/>
    <n v="10"/>
    <n v="6"/>
    <n v="3"/>
    <x v="7"/>
    <n v="7"/>
    <n v="8"/>
    <n v="1"/>
  </r>
  <r>
    <n v="32"/>
    <x v="1"/>
    <n v="0"/>
    <s v="Travel_Rarely"/>
    <n v="267"/>
    <x v="1"/>
    <n v="29"/>
    <n v="4"/>
    <x v="0"/>
    <n v="1"/>
    <n v="2010"/>
    <n v="3"/>
    <x v="0"/>
    <n v="49"/>
    <n v="2"/>
    <x v="1"/>
    <x v="2"/>
    <n v="2"/>
    <x v="0"/>
    <n v="2837"/>
    <n v="15919"/>
    <n v="1"/>
    <s v="Y"/>
    <x v="1"/>
    <n v="13"/>
    <n v="3"/>
    <n v="3"/>
    <n v="80"/>
    <n v="0"/>
    <n v="6"/>
    <n v="3"/>
    <n v="3"/>
    <x v="0"/>
    <n v="2"/>
    <n v="4"/>
    <n v="1"/>
  </r>
  <r>
    <n v="40"/>
    <x v="1"/>
    <n v="0"/>
    <s v="Travel_Rarely"/>
    <n v="543"/>
    <x v="1"/>
    <n v="1"/>
    <n v="4"/>
    <x v="0"/>
    <n v="1"/>
    <n v="2012"/>
    <n v="1"/>
    <x v="1"/>
    <n v="83"/>
    <n v="3"/>
    <x v="1"/>
    <x v="2"/>
    <n v="4"/>
    <x v="1"/>
    <n v="2406"/>
    <n v="4060"/>
    <n v="8"/>
    <s v="Y"/>
    <x v="1"/>
    <n v="19"/>
    <n v="3"/>
    <n v="3"/>
    <n v="80"/>
    <n v="2"/>
    <n v="8"/>
    <n v="3"/>
    <n v="2"/>
    <x v="6"/>
    <n v="0"/>
    <n v="0"/>
    <n v="0"/>
  </r>
  <r>
    <n v="32"/>
    <x v="1"/>
    <n v="0"/>
    <s v="Travel_Rarely"/>
    <n v="234"/>
    <x v="0"/>
    <n v="1"/>
    <n v="4"/>
    <x v="2"/>
    <n v="1"/>
    <n v="2013"/>
    <n v="2"/>
    <x v="1"/>
    <n v="68"/>
    <n v="2"/>
    <x v="1"/>
    <x v="6"/>
    <n v="2"/>
    <x v="1"/>
    <n v="2269"/>
    <n v="18024"/>
    <n v="0"/>
    <s v="Y"/>
    <x v="1"/>
    <n v="14"/>
    <n v="3"/>
    <n v="2"/>
    <n v="80"/>
    <n v="1"/>
    <n v="3"/>
    <n v="2"/>
    <n v="3"/>
    <x v="4"/>
    <n v="2"/>
    <n v="2"/>
    <n v="2"/>
  </r>
  <r>
    <n v="39"/>
    <x v="1"/>
    <n v="0"/>
    <s v="Travel_Rarely"/>
    <n v="116"/>
    <x v="1"/>
    <n v="24"/>
    <n v="1"/>
    <x v="0"/>
    <n v="1"/>
    <n v="2014"/>
    <n v="1"/>
    <x v="1"/>
    <n v="52"/>
    <n v="3"/>
    <x v="0"/>
    <x v="1"/>
    <n v="4"/>
    <x v="0"/>
    <n v="4108"/>
    <n v="5340"/>
    <n v="7"/>
    <s v="Y"/>
    <x v="1"/>
    <n v="13"/>
    <n v="3"/>
    <n v="1"/>
    <n v="80"/>
    <n v="0"/>
    <n v="18"/>
    <n v="2"/>
    <n v="3"/>
    <x v="5"/>
    <n v="7"/>
    <n v="1"/>
    <n v="7"/>
  </r>
  <r>
    <n v="38"/>
    <x v="1"/>
    <n v="0"/>
    <s v="Travel_Rarely"/>
    <n v="201"/>
    <x v="1"/>
    <n v="10"/>
    <n v="3"/>
    <x v="2"/>
    <n v="1"/>
    <n v="2015"/>
    <n v="2"/>
    <x v="0"/>
    <n v="99"/>
    <n v="1"/>
    <x v="2"/>
    <x v="7"/>
    <n v="3"/>
    <x v="1"/>
    <n v="13206"/>
    <n v="3376"/>
    <n v="3"/>
    <s v="Y"/>
    <x v="1"/>
    <n v="12"/>
    <n v="3"/>
    <n v="1"/>
    <n v="80"/>
    <n v="1"/>
    <n v="20"/>
    <n v="3"/>
    <n v="3"/>
    <x v="29"/>
    <n v="16"/>
    <n v="1"/>
    <n v="11"/>
  </r>
  <r>
    <n v="32"/>
    <x v="1"/>
    <n v="0"/>
    <s v="Travel_Rarely"/>
    <n v="801"/>
    <x v="0"/>
    <n v="1"/>
    <n v="4"/>
    <x v="3"/>
    <n v="1"/>
    <n v="2016"/>
    <n v="3"/>
    <x v="0"/>
    <n v="48"/>
    <n v="3"/>
    <x v="2"/>
    <x v="0"/>
    <n v="4"/>
    <x v="1"/>
    <n v="10422"/>
    <n v="24032"/>
    <n v="1"/>
    <s v="Y"/>
    <x v="1"/>
    <n v="19"/>
    <n v="3"/>
    <n v="3"/>
    <n v="80"/>
    <n v="2"/>
    <n v="14"/>
    <n v="3"/>
    <n v="3"/>
    <x v="13"/>
    <n v="10"/>
    <n v="5"/>
    <n v="7"/>
  </r>
  <r>
    <n v="37"/>
    <x v="1"/>
    <n v="0"/>
    <s v="Travel_Rarely"/>
    <n v="161"/>
    <x v="1"/>
    <n v="10"/>
    <n v="3"/>
    <x v="0"/>
    <n v="1"/>
    <n v="2017"/>
    <n v="3"/>
    <x v="0"/>
    <n v="42"/>
    <n v="4"/>
    <x v="2"/>
    <x v="7"/>
    <n v="4"/>
    <x v="1"/>
    <n v="13744"/>
    <n v="15471"/>
    <n v="1"/>
    <s v="Y"/>
    <x v="0"/>
    <n v="25"/>
    <n v="4"/>
    <n v="1"/>
    <n v="80"/>
    <n v="1"/>
    <n v="16"/>
    <n v="2"/>
    <n v="3"/>
    <x v="22"/>
    <n v="11"/>
    <n v="6"/>
    <n v="8"/>
  </r>
  <r>
    <n v="25"/>
    <x v="1"/>
    <n v="0"/>
    <s v="Travel_Rarely"/>
    <n v="1382"/>
    <x v="0"/>
    <n v="8"/>
    <n v="2"/>
    <x v="1"/>
    <n v="1"/>
    <n v="2018"/>
    <n v="1"/>
    <x v="0"/>
    <n v="85"/>
    <n v="3"/>
    <x v="0"/>
    <x v="0"/>
    <n v="3"/>
    <x v="2"/>
    <n v="4907"/>
    <n v="13684"/>
    <n v="0"/>
    <s v="Y"/>
    <x v="0"/>
    <n v="22"/>
    <n v="4"/>
    <n v="2"/>
    <n v="80"/>
    <n v="1"/>
    <n v="6"/>
    <n v="3"/>
    <n v="2"/>
    <x v="8"/>
    <n v="3"/>
    <n v="0"/>
    <n v="4"/>
  </r>
  <r>
    <n v="52"/>
    <x v="1"/>
    <n v="0"/>
    <s v="Non-Travel"/>
    <n v="585"/>
    <x v="0"/>
    <n v="29"/>
    <n v="4"/>
    <x v="0"/>
    <n v="1"/>
    <n v="2019"/>
    <n v="1"/>
    <x v="1"/>
    <n v="40"/>
    <n v="3"/>
    <x v="1"/>
    <x v="6"/>
    <n v="4"/>
    <x v="2"/>
    <n v="3482"/>
    <n v="19788"/>
    <n v="2"/>
    <s v="Y"/>
    <x v="1"/>
    <n v="15"/>
    <n v="3"/>
    <n v="2"/>
    <n v="80"/>
    <n v="2"/>
    <n v="16"/>
    <n v="3"/>
    <n v="2"/>
    <x v="7"/>
    <n v="8"/>
    <n v="0"/>
    <n v="0"/>
  </r>
  <r>
    <n v="44"/>
    <x v="1"/>
    <n v="0"/>
    <s v="Travel_Rarely"/>
    <n v="1037"/>
    <x v="1"/>
    <n v="1"/>
    <n v="3"/>
    <x v="2"/>
    <n v="1"/>
    <n v="2020"/>
    <n v="2"/>
    <x v="1"/>
    <n v="42"/>
    <n v="3"/>
    <x v="1"/>
    <x v="1"/>
    <n v="4"/>
    <x v="0"/>
    <n v="2436"/>
    <n v="13422"/>
    <n v="6"/>
    <s v="Y"/>
    <x v="0"/>
    <n v="12"/>
    <n v="3"/>
    <n v="3"/>
    <n v="80"/>
    <n v="0"/>
    <n v="6"/>
    <n v="2"/>
    <n v="3"/>
    <x v="9"/>
    <n v="3"/>
    <n v="1"/>
    <n v="2"/>
  </r>
  <r>
    <n v="21"/>
    <x v="1"/>
    <n v="0"/>
    <s v="Travel_Rarely"/>
    <n v="501"/>
    <x v="0"/>
    <n v="5"/>
    <n v="1"/>
    <x v="2"/>
    <n v="1"/>
    <n v="2021"/>
    <n v="3"/>
    <x v="1"/>
    <n v="58"/>
    <n v="3"/>
    <x v="1"/>
    <x v="6"/>
    <n v="1"/>
    <x v="0"/>
    <n v="2380"/>
    <n v="25479"/>
    <n v="1"/>
    <s v="Y"/>
    <x v="0"/>
    <n v="11"/>
    <n v="3"/>
    <n v="4"/>
    <n v="80"/>
    <n v="0"/>
    <n v="2"/>
    <n v="6"/>
    <n v="3"/>
    <x v="4"/>
    <n v="2"/>
    <n v="1"/>
    <n v="2"/>
  </r>
  <r>
    <n v="39"/>
    <x v="1"/>
    <n v="0"/>
    <s v="Non-Travel"/>
    <n v="105"/>
    <x v="1"/>
    <n v="9"/>
    <n v="3"/>
    <x v="0"/>
    <n v="1"/>
    <n v="2022"/>
    <n v="4"/>
    <x v="1"/>
    <n v="87"/>
    <n v="3"/>
    <x v="4"/>
    <x v="5"/>
    <n v="4"/>
    <x v="0"/>
    <n v="19431"/>
    <n v="15302"/>
    <n v="2"/>
    <s v="Y"/>
    <x v="1"/>
    <n v="13"/>
    <n v="3"/>
    <n v="3"/>
    <n v="80"/>
    <n v="0"/>
    <n v="21"/>
    <n v="3"/>
    <n v="2"/>
    <x v="0"/>
    <n v="0"/>
    <n v="1"/>
    <n v="3"/>
  </r>
  <r>
    <n v="23"/>
    <x v="0"/>
    <n v="1"/>
    <s v="Travel_Frequently"/>
    <n v="638"/>
    <x v="0"/>
    <n v="9"/>
    <n v="3"/>
    <x v="3"/>
    <n v="1"/>
    <n v="2023"/>
    <n v="4"/>
    <x v="1"/>
    <n v="33"/>
    <n v="3"/>
    <x v="1"/>
    <x v="6"/>
    <n v="1"/>
    <x v="1"/>
    <n v="1790"/>
    <n v="26956"/>
    <n v="1"/>
    <s v="Y"/>
    <x v="1"/>
    <n v="19"/>
    <n v="3"/>
    <n v="1"/>
    <n v="80"/>
    <n v="1"/>
    <n v="1"/>
    <n v="3"/>
    <n v="2"/>
    <x v="6"/>
    <n v="0"/>
    <n v="1"/>
    <n v="0"/>
  </r>
  <r>
    <n v="36"/>
    <x v="1"/>
    <n v="0"/>
    <s v="Travel_Rarely"/>
    <n v="557"/>
    <x v="0"/>
    <n v="3"/>
    <n v="3"/>
    <x v="2"/>
    <n v="1"/>
    <n v="2024"/>
    <n v="1"/>
    <x v="0"/>
    <n v="94"/>
    <n v="2"/>
    <x v="2"/>
    <x v="0"/>
    <n v="4"/>
    <x v="1"/>
    <n v="7644"/>
    <n v="12695"/>
    <n v="0"/>
    <s v="Y"/>
    <x v="1"/>
    <n v="19"/>
    <n v="3"/>
    <n v="3"/>
    <n v="80"/>
    <n v="2"/>
    <n v="10"/>
    <n v="2"/>
    <n v="3"/>
    <x v="7"/>
    <n v="7"/>
    <n v="3"/>
    <n v="4"/>
  </r>
  <r>
    <n v="36"/>
    <x v="1"/>
    <n v="0"/>
    <s v="Travel_Frequently"/>
    <n v="688"/>
    <x v="1"/>
    <n v="4"/>
    <n v="2"/>
    <x v="0"/>
    <n v="1"/>
    <n v="2025"/>
    <n v="4"/>
    <x v="0"/>
    <n v="97"/>
    <n v="3"/>
    <x v="0"/>
    <x v="3"/>
    <n v="2"/>
    <x v="2"/>
    <n v="5131"/>
    <n v="9192"/>
    <n v="7"/>
    <s v="Y"/>
    <x v="1"/>
    <n v="13"/>
    <n v="3"/>
    <n v="2"/>
    <n v="80"/>
    <n v="3"/>
    <n v="18"/>
    <n v="3"/>
    <n v="3"/>
    <x v="9"/>
    <n v="2"/>
    <n v="0"/>
    <n v="2"/>
  </r>
  <r>
    <n v="56"/>
    <x v="1"/>
    <n v="0"/>
    <s v="Non-Travel"/>
    <n v="667"/>
    <x v="1"/>
    <n v="1"/>
    <n v="4"/>
    <x v="0"/>
    <n v="1"/>
    <n v="2026"/>
    <n v="3"/>
    <x v="1"/>
    <n v="57"/>
    <n v="3"/>
    <x v="0"/>
    <x v="4"/>
    <n v="3"/>
    <x v="2"/>
    <n v="6306"/>
    <n v="26236"/>
    <n v="1"/>
    <s v="Y"/>
    <x v="1"/>
    <n v="21"/>
    <n v="4"/>
    <n v="1"/>
    <n v="80"/>
    <n v="1"/>
    <n v="13"/>
    <n v="2"/>
    <n v="2"/>
    <x v="20"/>
    <n v="12"/>
    <n v="1"/>
    <n v="9"/>
  </r>
  <r>
    <n v="29"/>
    <x v="0"/>
    <n v="1"/>
    <s v="Travel_Rarely"/>
    <n v="1092"/>
    <x v="1"/>
    <n v="1"/>
    <n v="4"/>
    <x v="2"/>
    <n v="1"/>
    <n v="2027"/>
    <n v="1"/>
    <x v="1"/>
    <n v="36"/>
    <n v="3"/>
    <x v="1"/>
    <x v="1"/>
    <n v="4"/>
    <x v="1"/>
    <n v="4787"/>
    <n v="26124"/>
    <n v="9"/>
    <s v="Y"/>
    <x v="0"/>
    <n v="14"/>
    <n v="3"/>
    <n v="2"/>
    <n v="80"/>
    <n v="3"/>
    <n v="4"/>
    <n v="3"/>
    <n v="4"/>
    <x v="4"/>
    <n v="2"/>
    <n v="2"/>
    <n v="2"/>
  </r>
  <r>
    <n v="42"/>
    <x v="1"/>
    <n v="0"/>
    <s v="Travel_Rarely"/>
    <n v="300"/>
    <x v="1"/>
    <n v="2"/>
    <n v="3"/>
    <x v="0"/>
    <n v="1"/>
    <n v="2031"/>
    <n v="1"/>
    <x v="1"/>
    <n v="56"/>
    <n v="3"/>
    <x v="4"/>
    <x v="5"/>
    <n v="3"/>
    <x v="1"/>
    <n v="18880"/>
    <n v="17312"/>
    <n v="5"/>
    <s v="Y"/>
    <x v="1"/>
    <n v="11"/>
    <n v="3"/>
    <n v="1"/>
    <n v="80"/>
    <n v="0"/>
    <n v="24"/>
    <n v="2"/>
    <n v="2"/>
    <x v="14"/>
    <n v="6"/>
    <n v="4"/>
    <n v="14"/>
  </r>
  <r>
    <n v="56"/>
    <x v="0"/>
    <n v="1"/>
    <s v="Travel_Rarely"/>
    <n v="310"/>
    <x v="1"/>
    <n v="7"/>
    <n v="2"/>
    <x v="4"/>
    <n v="1"/>
    <n v="2032"/>
    <n v="4"/>
    <x v="1"/>
    <n v="72"/>
    <n v="3"/>
    <x v="1"/>
    <x v="2"/>
    <n v="3"/>
    <x v="1"/>
    <n v="2339"/>
    <n v="3666"/>
    <n v="8"/>
    <s v="Y"/>
    <x v="1"/>
    <n v="11"/>
    <n v="3"/>
    <n v="4"/>
    <n v="80"/>
    <n v="1"/>
    <n v="14"/>
    <n v="4"/>
    <n v="1"/>
    <x v="1"/>
    <n v="9"/>
    <n v="9"/>
    <n v="8"/>
  </r>
  <r>
    <n v="41"/>
    <x v="1"/>
    <n v="0"/>
    <s v="Travel_Rarely"/>
    <n v="582"/>
    <x v="1"/>
    <n v="28"/>
    <n v="4"/>
    <x v="0"/>
    <n v="1"/>
    <n v="2034"/>
    <n v="1"/>
    <x v="0"/>
    <n v="60"/>
    <n v="2"/>
    <x v="3"/>
    <x v="3"/>
    <n v="2"/>
    <x v="1"/>
    <n v="13570"/>
    <n v="5640"/>
    <n v="0"/>
    <s v="Y"/>
    <x v="1"/>
    <n v="23"/>
    <n v="4"/>
    <n v="3"/>
    <n v="80"/>
    <n v="1"/>
    <n v="21"/>
    <n v="3"/>
    <n v="3"/>
    <x v="23"/>
    <n v="7"/>
    <n v="0"/>
    <n v="10"/>
  </r>
  <r>
    <n v="34"/>
    <x v="1"/>
    <n v="0"/>
    <s v="Travel_Rarely"/>
    <n v="704"/>
    <x v="0"/>
    <n v="28"/>
    <n v="3"/>
    <x v="3"/>
    <n v="1"/>
    <n v="2035"/>
    <n v="4"/>
    <x v="0"/>
    <n v="95"/>
    <n v="2"/>
    <x v="0"/>
    <x v="0"/>
    <n v="3"/>
    <x v="1"/>
    <n v="6712"/>
    <n v="8978"/>
    <n v="1"/>
    <s v="Y"/>
    <x v="1"/>
    <n v="21"/>
    <n v="4"/>
    <n v="4"/>
    <n v="80"/>
    <n v="2"/>
    <n v="8"/>
    <n v="2"/>
    <n v="3"/>
    <x v="3"/>
    <n v="7"/>
    <n v="1"/>
    <n v="7"/>
  </r>
  <r>
    <n v="36"/>
    <x v="1"/>
    <n v="0"/>
    <s v="Non-Travel"/>
    <n v="301"/>
    <x v="0"/>
    <n v="15"/>
    <n v="4"/>
    <x v="3"/>
    <n v="1"/>
    <n v="2036"/>
    <n v="4"/>
    <x v="1"/>
    <n v="88"/>
    <n v="1"/>
    <x v="0"/>
    <x v="0"/>
    <n v="4"/>
    <x v="2"/>
    <n v="5406"/>
    <n v="10436"/>
    <n v="1"/>
    <s v="Y"/>
    <x v="1"/>
    <n v="24"/>
    <n v="4"/>
    <n v="1"/>
    <n v="80"/>
    <n v="1"/>
    <n v="15"/>
    <n v="4"/>
    <n v="2"/>
    <x v="15"/>
    <n v="12"/>
    <n v="11"/>
    <n v="11"/>
  </r>
  <r>
    <n v="41"/>
    <x v="1"/>
    <n v="0"/>
    <s v="Travel_Rarely"/>
    <n v="930"/>
    <x v="0"/>
    <n v="3"/>
    <n v="3"/>
    <x v="0"/>
    <n v="1"/>
    <n v="2037"/>
    <n v="3"/>
    <x v="1"/>
    <n v="57"/>
    <n v="2"/>
    <x v="0"/>
    <x v="0"/>
    <n v="2"/>
    <x v="2"/>
    <n v="8938"/>
    <n v="12227"/>
    <n v="2"/>
    <s v="Y"/>
    <x v="1"/>
    <n v="11"/>
    <n v="3"/>
    <n v="3"/>
    <n v="80"/>
    <n v="1"/>
    <n v="14"/>
    <n v="5"/>
    <n v="3"/>
    <x v="8"/>
    <n v="4"/>
    <n v="0"/>
    <n v="4"/>
  </r>
  <r>
    <n v="32"/>
    <x v="1"/>
    <n v="0"/>
    <s v="Travel_Rarely"/>
    <n v="529"/>
    <x v="1"/>
    <n v="2"/>
    <n v="3"/>
    <x v="4"/>
    <n v="1"/>
    <n v="2038"/>
    <n v="4"/>
    <x v="1"/>
    <n v="78"/>
    <n v="3"/>
    <x v="1"/>
    <x v="1"/>
    <n v="1"/>
    <x v="0"/>
    <n v="2439"/>
    <n v="11288"/>
    <n v="1"/>
    <s v="Y"/>
    <x v="1"/>
    <n v="14"/>
    <n v="3"/>
    <n v="4"/>
    <n v="80"/>
    <n v="0"/>
    <n v="4"/>
    <n v="4"/>
    <n v="3"/>
    <x v="9"/>
    <n v="2"/>
    <n v="1"/>
    <n v="2"/>
  </r>
  <r>
    <n v="35"/>
    <x v="1"/>
    <n v="0"/>
    <s v="Travel_Rarely"/>
    <n v="1146"/>
    <x v="2"/>
    <n v="26"/>
    <n v="4"/>
    <x v="0"/>
    <n v="1"/>
    <n v="2040"/>
    <n v="3"/>
    <x v="0"/>
    <n v="31"/>
    <n v="3"/>
    <x v="2"/>
    <x v="8"/>
    <n v="4"/>
    <x v="0"/>
    <n v="8837"/>
    <n v="16642"/>
    <n v="1"/>
    <s v="Y"/>
    <x v="0"/>
    <n v="16"/>
    <n v="3"/>
    <n v="3"/>
    <n v="80"/>
    <n v="0"/>
    <n v="9"/>
    <n v="2"/>
    <n v="3"/>
    <x v="7"/>
    <n v="0"/>
    <n v="1"/>
    <n v="7"/>
  </r>
  <r>
    <n v="38"/>
    <x v="1"/>
    <n v="0"/>
    <s v="Travel_Rarely"/>
    <n v="345"/>
    <x v="0"/>
    <n v="10"/>
    <n v="2"/>
    <x v="0"/>
    <n v="1"/>
    <n v="2041"/>
    <n v="1"/>
    <x v="0"/>
    <n v="100"/>
    <n v="3"/>
    <x v="0"/>
    <x v="0"/>
    <n v="4"/>
    <x v="1"/>
    <n v="5343"/>
    <n v="5982"/>
    <n v="1"/>
    <s v="Y"/>
    <x v="1"/>
    <n v="11"/>
    <n v="3"/>
    <n v="3"/>
    <n v="80"/>
    <n v="1"/>
    <n v="10"/>
    <n v="1"/>
    <n v="3"/>
    <x v="1"/>
    <n v="7"/>
    <n v="1"/>
    <n v="9"/>
  </r>
  <r>
    <n v="50"/>
    <x v="0"/>
    <n v="1"/>
    <s v="Travel_Frequently"/>
    <n v="878"/>
    <x v="0"/>
    <n v="1"/>
    <n v="4"/>
    <x v="0"/>
    <n v="1"/>
    <n v="2044"/>
    <n v="2"/>
    <x v="1"/>
    <n v="94"/>
    <n v="3"/>
    <x v="0"/>
    <x v="0"/>
    <n v="3"/>
    <x v="2"/>
    <n v="6728"/>
    <n v="14255"/>
    <n v="7"/>
    <s v="Y"/>
    <x v="1"/>
    <n v="12"/>
    <n v="3"/>
    <n v="4"/>
    <n v="80"/>
    <n v="2"/>
    <n v="12"/>
    <n v="3"/>
    <n v="3"/>
    <x v="0"/>
    <n v="3"/>
    <n v="0"/>
    <n v="1"/>
  </r>
  <r>
    <n v="36"/>
    <x v="1"/>
    <n v="0"/>
    <s v="Travel_Rarely"/>
    <n v="1120"/>
    <x v="0"/>
    <n v="11"/>
    <n v="4"/>
    <x v="3"/>
    <n v="1"/>
    <n v="2045"/>
    <n v="2"/>
    <x v="0"/>
    <n v="100"/>
    <n v="2"/>
    <x v="0"/>
    <x v="0"/>
    <n v="4"/>
    <x v="1"/>
    <n v="6652"/>
    <n v="14369"/>
    <n v="4"/>
    <s v="Y"/>
    <x v="1"/>
    <n v="13"/>
    <n v="3"/>
    <n v="1"/>
    <n v="80"/>
    <n v="1"/>
    <n v="8"/>
    <n v="2"/>
    <n v="2"/>
    <x v="0"/>
    <n v="3"/>
    <n v="0"/>
    <n v="0"/>
  </r>
  <r>
    <n v="45"/>
    <x v="1"/>
    <n v="0"/>
    <s v="Travel_Rarely"/>
    <n v="374"/>
    <x v="0"/>
    <n v="20"/>
    <n v="3"/>
    <x v="0"/>
    <n v="1"/>
    <n v="2046"/>
    <n v="4"/>
    <x v="0"/>
    <n v="50"/>
    <n v="3"/>
    <x v="0"/>
    <x v="0"/>
    <n v="3"/>
    <x v="0"/>
    <n v="4850"/>
    <n v="23333"/>
    <n v="8"/>
    <s v="Y"/>
    <x v="1"/>
    <n v="15"/>
    <n v="3"/>
    <n v="3"/>
    <n v="80"/>
    <n v="0"/>
    <n v="8"/>
    <n v="3"/>
    <n v="3"/>
    <x v="8"/>
    <n v="3"/>
    <n v="0"/>
    <n v="1"/>
  </r>
  <r>
    <n v="40"/>
    <x v="1"/>
    <n v="0"/>
    <s v="Travel_Rarely"/>
    <n v="1322"/>
    <x v="1"/>
    <n v="2"/>
    <n v="4"/>
    <x v="0"/>
    <n v="1"/>
    <n v="2048"/>
    <n v="3"/>
    <x v="1"/>
    <n v="52"/>
    <n v="2"/>
    <x v="1"/>
    <x v="1"/>
    <n v="3"/>
    <x v="0"/>
    <n v="2809"/>
    <n v="2725"/>
    <n v="2"/>
    <s v="Y"/>
    <x v="1"/>
    <n v="14"/>
    <n v="3"/>
    <n v="4"/>
    <n v="80"/>
    <n v="0"/>
    <n v="8"/>
    <n v="2"/>
    <n v="3"/>
    <x v="4"/>
    <n v="2"/>
    <n v="2"/>
    <n v="2"/>
  </r>
  <r>
    <n v="35"/>
    <x v="1"/>
    <n v="0"/>
    <s v="Travel_Frequently"/>
    <n v="1199"/>
    <x v="1"/>
    <n v="18"/>
    <n v="4"/>
    <x v="0"/>
    <n v="1"/>
    <n v="2049"/>
    <n v="3"/>
    <x v="1"/>
    <n v="80"/>
    <n v="3"/>
    <x v="0"/>
    <x v="4"/>
    <n v="3"/>
    <x v="1"/>
    <n v="5689"/>
    <n v="24594"/>
    <n v="1"/>
    <s v="Y"/>
    <x v="0"/>
    <n v="14"/>
    <n v="3"/>
    <n v="4"/>
    <n v="80"/>
    <n v="2"/>
    <n v="10"/>
    <n v="2"/>
    <n v="4"/>
    <x v="1"/>
    <n v="2"/>
    <n v="0"/>
    <n v="2"/>
  </r>
  <r>
    <n v="40"/>
    <x v="1"/>
    <n v="0"/>
    <s v="Travel_Rarely"/>
    <n v="1194"/>
    <x v="1"/>
    <n v="2"/>
    <n v="4"/>
    <x v="2"/>
    <n v="1"/>
    <n v="2051"/>
    <n v="3"/>
    <x v="0"/>
    <n v="98"/>
    <n v="3"/>
    <x v="1"/>
    <x v="1"/>
    <n v="3"/>
    <x v="1"/>
    <n v="2001"/>
    <n v="12549"/>
    <n v="2"/>
    <s v="Y"/>
    <x v="1"/>
    <n v="14"/>
    <n v="3"/>
    <n v="2"/>
    <n v="80"/>
    <n v="3"/>
    <n v="20"/>
    <n v="2"/>
    <n v="3"/>
    <x v="8"/>
    <n v="3"/>
    <n v="0"/>
    <n v="2"/>
  </r>
  <r>
    <n v="35"/>
    <x v="1"/>
    <n v="0"/>
    <s v="Travel_Rarely"/>
    <n v="287"/>
    <x v="1"/>
    <n v="1"/>
    <n v="4"/>
    <x v="0"/>
    <n v="1"/>
    <n v="2052"/>
    <n v="3"/>
    <x v="0"/>
    <n v="62"/>
    <n v="1"/>
    <x v="1"/>
    <x v="1"/>
    <n v="4"/>
    <x v="1"/>
    <n v="2977"/>
    <n v="8952"/>
    <n v="1"/>
    <s v="Y"/>
    <x v="1"/>
    <n v="12"/>
    <n v="3"/>
    <n v="4"/>
    <n v="80"/>
    <n v="1"/>
    <n v="4"/>
    <n v="5"/>
    <n v="3"/>
    <x v="9"/>
    <n v="3"/>
    <n v="1"/>
    <n v="1"/>
  </r>
  <r>
    <n v="29"/>
    <x v="1"/>
    <n v="0"/>
    <s v="Travel_Rarely"/>
    <n v="1378"/>
    <x v="1"/>
    <n v="13"/>
    <n v="2"/>
    <x v="1"/>
    <n v="1"/>
    <n v="2053"/>
    <n v="4"/>
    <x v="1"/>
    <n v="46"/>
    <n v="2"/>
    <x v="0"/>
    <x v="2"/>
    <n v="2"/>
    <x v="1"/>
    <n v="4025"/>
    <n v="23679"/>
    <n v="4"/>
    <s v="Y"/>
    <x v="0"/>
    <n v="13"/>
    <n v="3"/>
    <n v="1"/>
    <n v="80"/>
    <n v="1"/>
    <n v="10"/>
    <n v="2"/>
    <n v="3"/>
    <x v="9"/>
    <n v="3"/>
    <n v="0"/>
    <n v="3"/>
  </r>
  <r>
    <n v="29"/>
    <x v="1"/>
    <n v="0"/>
    <s v="Travel_Rarely"/>
    <n v="468"/>
    <x v="1"/>
    <n v="28"/>
    <n v="4"/>
    <x v="2"/>
    <n v="1"/>
    <n v="2054"/>
    <n v="4"/>
    <x v="0"/>
    <n v="73"/>
    <n v="2"/>
    <x v="1"/>
    <x v="1"/>
    <n v="1"/>
    <x v="0"/>
    <n v="3785"/>
    <n v="8489"/>
    <n v="1"/>
    <s v="Y"/>
    <x v="1"/>
    <n v="14"/>
    <n v="3"/>
    <n v="2"/>
    <n v="80"/>
    <n v="0"/>
    <n v="5"/>
    <n v="3"/>
    <n v="1"/>
    <x v="8"/>
    <n v="4"/>
    <n v="0"/>
    <n v="4"/>
  </r>
  <r>
    <n v="50"/>
    <x v="0"/>
    <n v="1"/>
    <s v="Travel_Rarely"/>
    <n v="410"/>
    <x v="0"/>
    <n v="28"/>
    <n v="3"/>
    <x v="3"/>
    <n v="1"/>
    <n v="2055"/>
    <n v="4"/>
    <x v="1"/>
    <n v="39"/>
    <n v="2"/>
    <x v="2"/>
    <x v="0"/>
    <n v="1"/>
    <x v="2"/>
    <n v="10854"/>
    <n v="16586"/>
    <n v="4"/>
    <s v="Y"/>
    <x v="0"/>
    <n v="13"/>
    <n v="3"/>
    <n v="2"/>
    <n v="80"/>
    <n v="1"/>
    <n v="20"/>
    <n v="3"/>
    <n v="3"/>
    <x v="11"/>
    <n v="2"/>
    <n v="2"/>
    <n v="0"/>
  </r>
  <r>
    <n v="39"/>
    <x v="1"/>
    <n v="0"/>
    <s v="Travel_Rarely"/>
    <n v="722"/>
    <x v="0"/>
    <n v="24"/>
    <n v="1"/>
    <x v="3"/>
    <n v="1"/>
    <n v="2056"/>
    <n v="2"/>
    <x v="0"/>
    <n v="60"/>
    <n v="2"/>
    <x v="3"/>
    <x v="0"/>
    <n v="4"/>
    <x v="1"/>
    <n v="12031"/>
    <n v="8828"/>
    <n v="0"/>
    <s v="Y"/>
    <x v="1"/>
    <n v="11"/>
    <n v="3"/>
    <n v="1"/>
    <n v="80"/>
    <n v="1"/>
    <n v="21"/>
    <n v="2"/>
    <n v="2"/>
    <x v="23"/>
    <n v="9"/>
    <n v="9"/>
    <n v="6"/>
  </r>
  <r>
    <n v="31"/>
    <x v="1"/>
    <n v="0"/>
    <s v="Non-Travel"/>
    <n v="325"/>
    <x v="1"/>
    <n v="5"/>
    <n v="3"/>
    <x v="2"/>
    <n v="1"/>
    <n v="2057"/>
    <n v="2"/>
    <x v="1"/>
    <n v="74"/>
    <n v="3"/>
    <x v="0"/>
    <x v="3"/>
    <n v="1"/>
    <x v="0"/>
    <n v="9936"/>
    <n v="3787"/>
    <n v="0"/>
    <s v="Y"/>
    <x v="1"/>
    <n v="19"/>
    <n v="3"/>
    <n v="2"/>
    <n v="80"/>
    <n v="0"/>
    <n v="10"/>
    <n v="2"/>
    <n v="3"/>
    <x v="7"/>
    <n v="4"/>
    <n v="1"/>
    <n v="7"/>
  </r>
  <r>
    <n v="26"/>
    <x v="1"/>
    <n v="0"/>
    <s v="Travel_Rarely"/>
    <n v="1167"/>
    <x v="0"/>
    <n v="5"/>
    <n v="3"/>
    <x v="1"/>
    <n v="1"/>
    <n v="2060"/>
    <n v="4"/>
    <x v="0"/>
    <n v="30"/>
    <n v="2"/>
    <x v="1"/>
    <x v="6"/>
    <n v="3"/>
    <x v="0"/>
    <n v="2966"/>
    <n v="21378"/>
    <n v="0"/>
    <s v="Y"/>
    <x v="1"/>
    <n v="18"/>
    <n v="3"/>
    <n v="4"/>
    <n v="80"/>
    <n v="0"/>
    <n v="5"/>
    <n v="2"/>
    <n v="3"/>
    <x v="9"/>
    <n v="2"/>
    <n v="0"/>
    <n v="0"/>
  </r>
  <r>
    <n v="36"/>
    <x v="1"/>
    <n v="0"/>
    <s v="Travel_Frequently"/>
    <n v="884"/>
    <x v="1"/>
    <n v="23"/>
    <n v="2"/>
    <x v="2"/>
    <n v="1"/>
    <n v="2061"/>
    <n v="3"/>
    <x v="1"/>
    <n v="41"/>
    <n v="4"/>
    <x v="0"/>
    <x v="2"/>
    <n v="4"/>
    <x v="1"/>
    <n v="2571"/>
    <n v="12290"/>
    <n v="4"/>
    <s v="Y"/>
    <x v="1"/>
    <n v="17"/>
    <n v="3"/>
    <n v="3"/>
    <n v="80"/>
    <n v="1"/>
    <n v="17"/>
    <n v="3"/>
    <n v="3"/>
    <x v="8"/>
    <n v="2"/>
    <n v="0"/>
    <n v="3"/>
  </r>
  <r>
    <n v="39"/>
    <x v="1"/>
    <n v="0"/>
    <s v="Travel_Rarely"/>
    <n v="613"/>
    <x v="1"/>
    <n v="6"/>
    <n v="1"/>
    <x v="2"/>
    <n v="1"/>
    <n v="2062"/>
    <n v="4"/>
    <x v="1"/>
    <n v="42"/>
    <n v="2"/>
    <x v="2"/>
    <x v="4"/>
    <n v="1"/>
    <x v="1"/>
    <n v="9991"/>
    <n v="21457"/>
    <n v="4"/>
    <s v="Y"/>
    <x v="1"/>
    <n v="15"/>
    <n v="3"/>
    <n v="1"/>
    <n v="80"/>
    <n v="1"/>
    <n v="9"/>
    <n v="5"/>
    <n v="3"/>
    <x v="5"/>
    <n v="7"/>
    <n v="1"/>
    <n v="7"/>
  </r>
  <r>
    <n v="27"/>
    <x v="1"/>
    <n v="0"/>
    <s v="Travel_Rarely"/>
    <n v="155"/>
    <x v="1"/>
    <n v="4"/>
    <n v="3"/>
    <x v="0"/>
    <n v="1"/>
    <n v="2064"/>
    <n v="2"/>
    <x v="1"/>
    <n v="87"/>
    <n v="4"/>
    <x v="0"/>
    <x v="3"/>
    <n v="2"/>
    <x v="1"/>
    <n v="6142"/>
    <n v="5174"/>
    <n v="1"/>
    <s v="Y"/>
    <x v="0"/>
    <n v="20"/>
    <n v="4"/>
    <n v="2"/>
    <n v="80"/>
    <n v="1"/>
    <n v="6"/>
    <n v="0"/>
    <n v="3"/>
    <x v="0"/>
    <n v="2"/>
    <n v="0"/>
    <n v="3"/>
  </r>
  <r>
    <n v="49"/>
    <x v="1"/>
    <n v="0"/>
    <s v="Travel_Frequently"/>
    <n v="1023"/>
    <x v="0"/>
    <n v="2"/>
    <n v="3"/>
    <x v="2"/>
    <n v="1"/>
    <n v="2065"/>
    <n v="4"/>
    <x v="1"/>
    <n v="63"/>
    <n v="2"/>
    <x v="0"/>
    <x v="0"/>
    <n v="2"/>
    <x v="1"/>
    <n v="5390"/>
    <n v="13243"/>
    <n v="2"/>
    <s v="Y"/>
    <x v="1"/>
    <n v="14"/>
    <n v="3"/>
    <n v="4"/>
    <n v="80"/>
    <n v="0"/>
    <n v="17"/>
    <n v="3"/>
    <n v="2"/>
    <x v="7"/>
    <n v="6"/>
    <n v="0"/>
    <n v="8"/>
  </r>
  <r>
    <n v="34"/>
    <x v="1"/>
    <n v="0"/>
    <s v="Travel_Rarely"/>
    <n v="628"/>
    <x v="1"/>
    <n v="8"/>
    <n v="3"/>
    <x v="2"/>
    <n v="1"/>
    <n v="2068"/>
    <n v="2"/>
    <x v="1"/>
    <n v="82"/>
    <n v="4"/>
    <x v="0"/>
    <x v="2"/>
    <n v="3"/>
    <x v="1"/>
    <n v="4404"/>
    <n v="10228"/>
    <n v="2"/>
    <s v="Y"/>
    <x v="1"/>
    <n v="12"/>
    <n v="3"/>
    <n v="1"/>
    <n v="80"/>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6C6BF5-5C0A-4716-8A56-C9734612553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4" firstHeaderRow="1" firstDataRow="2" firstDataCol="1"/>
  <pivotFields count="36">
    <pivotField showAll="0"/>
    <pivotField axis="axisCol" dataField="1"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items count="6">
        <item x="1"/>
        <item x="0"/>
        <item x="2"/>
        <item x="3"/>
        <item x="4"/>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Fields count="1">
    <field x="1"/>
  </colFields>
  <colItems count="2">
    <i>
      <x v="1"/>
    </i>
    <i t="grand">
      <x/>
    </i>
  </colItems>
  <dataFields count="1">
    <dataField name="Count of Attrition" fld="1" subtotal="count" baseField="0" baseItem="0"/>
  </dataFields>
  <chartFormats count="2">
    <chartFormat chart="0" format="8" series="1">
      <pivotArea type="data" outline="0" fieldPosition="0">
        <references count="1">
          <reference field="1" count="1" selected="0">
            <x v="0"/>
          </reference>
        </references>
      </pivotArea>
    </chartFormat>
    <chartFormat chart="0" format="9" series="1">
      <pivotArea type="data" outline="0" fieldPosition="0">
        <references count="1">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335F4B-03A9-4358-AFA1-E837C97FED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1" firstDataRow="2" firstDataCol="1"/>
  <pivotFields count="36">
    <pivotField showAll="0"/>
    <pivotField axis="axisCol" dataField="1"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3">
    <i>
      <x/>
    </i>
    <i>
      <x v="1"/>
    </i>
    <i t="grand">
      <x/>
    </i>
  </rowItems>
  <colFields count="1">
    <field x="1"/>
  </colFields>
  <colItems count="2">
    <i>
      <x v="1"/>
    </i>
    <i t="grand">
      <x/>
    </i>
  </colItems>
  <dataFields count="1">
    <dataField name="Count of Attrition" fld="1" subtotal="count" baseField="0" baseItem="0"/>
  </dataFields>
  <chartFormats count="10">
    <chartFormat chart="0" format="14" series="1">
      <pivotArea type="data" outline="0" fieldPosition="0">
        <references count="1">
          <reference field="1" count="1" selected="0">
            <x v="0"/>
          </reference>
        </references>
      </pivotArea>
    </chartFormat>
    <chartFormat chart="0" format="15" series="1">
      <pivotArea type="data" outline="0" fieldPosition="0">
        <references count="1">
          <reference field="1" count="1" selected="0">
            <x v="1"/>
          </reference>
        </references>
      </pivotArea>
    </chartFormat>
    <chartFormat chart="0" format="16" series="1">
      <pivotArea type="data" outline="0" fieldPosition="0">
        <references count="2">
          <reference field="4294967294" count="1" selected="0">
            <x v="0"/>
          </reference>
          <reference field="1" count="1" selected="0">
            <x v="1"/>
          </reference>
        </references>
      </pivotArea>
    </chartFormat>
    <chartFormat chart="0" format="17">
      <pivotArea type="data" outline="0" fieldPosition="0">
        <references count="3">
          <reference field="4294967294" count="1" selected="0">
            <x v="0"/>
          </reference>
          <reference field="1" count="1" selected="0">
            <x v="1"/>
          </reference>
          <reference field="23" count="1" selected="0">
            <x v="0"/>
          </reference>
        </references>
      </pivotArea>
    </chartFormat>
    <chartFormat chart="0" format="18">
      <pivotArea type="data" outline="0" fieldPosition="0">
        <references count="3">
          <reference field="4294967294" count="1" selected="0">
            <x v="0"/>
          </reference>
          <reference field="1" count="1" selected="0">
            <x v="1"/>
          </reference>
          <reference field="23" count="1" selected="0">
            <x v="1"/>
          </reference>
        </references>
      </pivotArea>
    </chartFormat>
    <chartFormat chart="3" format="22" series="1">
      <pivotArea type="data" outline="0" fieldPosition="0">
        <references count="2">
          <reference field="4294967294" count="1" selected="0">
            <x v="0"/>
          </reference>
          <reference field="1" count="1" selected="0">
            <x v="1"/>
          </reference>
        </references>
      </pivotArea>
    </chartFormat>
    <chartFormat chart="3" format="23">
      <pivotArea type="data" outline="0" fieldPosition="0">
        <references count="3">
          <reference field="4294967294" count="1" selected="0">
            <x v="0"/>
          </reference>
          <reference field="1" count="1" selected="0">
            <x v="1"/>
          </reference>
          <reference field="23" count="1" selected="0">
            <x v="0"/>
          </reference>
        </references>
      </pivotArea>
    </chartFormat>
    <chartFormat chart="3" format="24">
      <pivotArea type="data" outline="0" fieldPosition="0">
        <references count="3">
          <reference field="4294967294" count="1" selected="0">
            <x v="0"/>
          </reference>
          <reference field="1" count="1" selected="0">
            <x v="1"/>
          </reference>
          <reference field="23" count="1" selected="0">
            <x v="1"/>
          </reference>
        </references>
      </pivotArea>
    </chartFormat>
    <chartFormat chart="3" format="25" series="1">
      <pivotArea type="data" outline="0" fieldPosition="0">
        <references count="1">
          <reference field="4294967294" count="1" selected="0">
            <x v="0"/>
          </reference>
        </references>
      </pivotArea>
    </chartFormat>
    <chartFormat chart="0"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6CF676-524D-43DF-B783-85E44681F1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33" firstHeaderRow="1" firstDataRow="2" firstDataCol="1"/>
  <pivotFields count="36">
    <pivotField showAll="0"/>
    <pivotField axis="axisCol" dataField="1"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2"/>
  </rowFields>
  <rowItems count="29">
    <i>
      <x/>
    </i>
    <i>
      <x v="1"/>
    </i>
    <i>
      <x v="2"/>
    </i>
    <i>
      <x v="3"/>
    </i>
    <i>
      <x v="4"/>
    </i>
    <i>
      <x v="5"/>
    </i>
    <i>
      <x v="6"/>
    </i>
    <i>
      <x v="7"/>
    </i>
    <i>
      <x v="8"/>
    </i>
    <i>
      <x v="9"/>
    </i>
    <i>
      <x v="10"/>
    </i>
    <i>
      <x v="11"/>
    </i>
    <i>
      <x v="13"/>
    </i>
    <i>
      <x v="14"/>
    </i>
    <i>
      <x v="15"/>
    </i>
    <i>
      <x v="16"/>
    </i>
    <i>
      <x v="17"/>
    </i>
    <i>
      <x v="18"/>
    </i>
    <i>
      <x v="19"/>
    </i>
    <i>
      <x v="20"/>
    </i>
    <i>
      <x v="21"/>
    </i>
    <i>
      <x v="22"/>
    </i>
    <i>
      <x v="23"/>
    </i>
    <i>
      <x v="24"/>
    </i>
    <i>
      <x v="30"/>
    </i>
    <i>
      <x v="31"/>
    </i>
    <i>
      <x v="32"/>
    </i>
    <i>
      <x v="36"/>
    </i>
    <i t="grand">
      <x/>
    </i>
  </rowItems>
  <colFields count="1">
    <field x="1"/>
  </colFields>
  <colItems count="2">
    <i>
      <x v="1"/>
    </i>
    <i t="grand">
      <x/>
    </i>
  </colItems>
  <dataFields count="1">
    <dataField name="Count of Attrition" fld="1" subtotal="count"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3B0EC1-AF06-4D63-BC4C-597FFC534FC8}"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36">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axis="axisRow"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EmployeeNumber" fld="1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2B3D15-25D1-4A40-B62C-252E00539F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8" firstHeaderRow="1" firstDataRow="2" firstDataCol="1"/>
  <pivotFields count="36">
    <pivotField showAll="0"/>
    <pivotField axis="axisCol" dataField="1" showAll="0">
      <items count="3">
        <item h="1" x="1"/>
        <item x="0"/>
        <item t="default"/>
      </items>
    </pivotField>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items count="6">
        <item x="1"/>
        <item x="0"/>
        <item x="2"/>
        <item x="3"/>
        <item x="4"/>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4">
    <i>
      <x/>
    </i>
    <i>
      <x v="1"/>
    </i>
    <i>
      <x v="2"/>
    </i>
    <i t="grand">
      <x/>
    </i>
  </rowItems>
  <colFields count="1">
    <field x="1"/>
  </colFields>
  <colItems count="2">
    <i>
      <x v="1"/>
    </i>
    <i t="grand">
      <x/>
    </i>
  </colItems>
  <dataFields count="1">
    <dataField name="Count of Attrition" fld="1" subtotal="count"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9F9AAC-F56D-4E24-A73C-677A2B7FCF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1" firstDataRow="2" firstDataCol="1"/>
  <pivotFields count="36">
    <pivotField showAll="0"/>
    <pivotField axis="axisCol" dataField="1" showAll="0">
      <items count="3">
        <item h="1" x="1"/>
        <item x="0"/>
        <item t="default"/>
      </items>
    </pivotField>
    <pivotField showAll="0"/>
    <pivotField showAll="0"/>
    <pivotField showAll="0"/>
    <pivotField axis="axisRow" showAll="0" sortType="descending">
      <items count="4">
        <item x="2"/>
        <item x="1"/>
        <item x="0"/>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v="1"/>
    </i>
    <i>
      <x v="2"/>
    </i>
    <i>
      <x/>
    </i>
    <i t="grand">
      <x/>
    </i>
  </rowItems>
  <colFields count="1">
    <field x="1"/>
  </colFields>
  <colItems count="2">
    <i>
      <x v="1"/>
    </i>
    <i t="grand">
      <x/>
    </i>
  </colItems>
  <dataFields count="1">
    <dataField name="Count of Attrition" fld="1" subtotal="count" baseField="0" baseItem="0"/>
  </dataFields>
  <chartFormats count="6">
    <chartFormat chart="0" format="3" series="1">
      <pivotArea type="data" outline="0" fieldPosition="0">
        <references count="1">
          <reference field="1" count="1" selected="0">
            <x v="0"/>
          </reference>
        </references>
      </pivotArea>
    </chartFormat>
    <chartFormat chart="0" format="4" series="1">
      <pivotArea type="data" outline="0" fieldPosition="0">
        <references count="1">
          <reference field="1" count="1" selected="0">
            <x v="1"/>
          </reference>
        </references>
      </pivotArea>
    </chartFormat>
    <chartFormat chart="3" format="6" series="1">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DEA4BC-1352-4590-8365-84B34D9B247B}"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36">
    <pivotField dataField="1" showAll="0"/>
    <pivotField showAll="0"/>
    <pivotField dataField="1"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pivotField showAll="0"/>
    <pivotField showAll="0"/>
    <pivotField showAll="0"/>
    <pivotField showAll="0"/>
    <pivotField showAll="0">
      <items count="6">
        <item x="1"/>
        <item x="0"/>
        <item x="2"/>
        <item x="3"/>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loyeeNumber" fld="10" subtotal="count" baseField="0" baseItem="9"/>
    <dataField name="Sum of Attrition_Yes" fld="2" baseField="0" baseItem="2"/>
    <dataField name="Average of Age" fld="0" subtotal="average" baseField="0" baseItem="1"/>
    <dataField name="Average of MonthlyIncome" fld="19"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0D5239-A9BD-428E-91B9-DD38E6F21A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A4" firstHeaderRow="1" firstDataRow="1" firstDataCol="0"/>
  <pivotFields count="36">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17" subtotal="average" baseField="0" baseItem="9" numFmtId="164"/>
  </dataFields>
  <formats count="1">
    <format dxfId="17">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3E438B-72E2-4C07-988C-9D6E5521BDFF}" name="Slic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36">
    <pivotField showAll="0"/>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DBADB15-A757-4DDF-AA7A-704953D71669}" sourceName="Gender">
  <pivotTables>
    <pivotTable tabId="17" name="Gender"/>
  </pivotTables>
  <data>
    <tabular pivotCacheId="34325612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B91A7CA0-D6D9-4744-8A17-A474F184AF0A}" sourceName="EducationField">
  <pivotTables>
    <pivotTable tabId="20" name="Slicer"/>
    <pivotTable tabId="19" name="PivotTable1"/>
    <pivotTable tabId="17" name="Gender"/>
    <pivotTable tabId="6" name="PivotTable3"/>
    <pivotTable tabId="18" name="PivotTable2"/>
    <pivotTable tabId="11" name="PivotTable1"/>
    <pivotTable tabId="7" name="PivotTable4"/>
    <pivotTable tabId="21" name="PivotTable2"/>
    <pivotTable tabId="15" name="KPI"/>
  </pivotTables>
  <data>
    <tabular pivotCacheId="343256121">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C8AD876-C03D-4F98-9FC7-9E9A6A42297E}" sourceName="Department">
  <pivotTables>
    <pivotTable tabId="20" name="Slicer"/>
    <pivotTable tabId="19" name="PivotTable1"/>
    <pivotTable tabId="17" name="Gender"/>
    <pivotTable tabId="6" name="PivotTable3"/>
    <pivotTable tabId="18" name="PivotTable2"/>
    <pivotTable tabId="11" name="PivotTable1"/>
    <pivotTable tabId="7" name="PivotTable4"/>
    <pivotTable tabId="21" name="PivotTable2"/>
    <pivotTable tabId="15" name="KPI"/>
  </pivotTables>
  <data>
    <tabular pivotCacheId="343256121">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8B44EF3D-E8F7-41ED-BDEB-99B55ED1AA7A}" sourceName="JobLevel">
  <pivotTables>
    <pivotTable tabId="20" name="Slicer"/>
    <pivotTable tabId="19" name="PivotTable1"/>
    <pivotTable tabId="17" name="Gender"/>
    <pivotTable tabId="6" name="PivotTable3"/>
    <pivotTable tabId="18" name="PivotTable2"/>
    <pivotTable tabId="11" name="PivotTable1"/>
    <pivotTable tabId="7" name="PivotTable4"/>
    <pivotTable tabId="21" name="PivotTable2"/>
    <pivotTable tabId="15" name="KPI"/>
  </pivotTables>
  <data>
    <tabular pivotCacheId="343256121">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xr10:uid="{89AEC70B-DFC9-44D4-94D3-2D6C53B3095F}" cache="Slicer_EducationField" caption="EducationField" rowHeight="234950"/>
  <slicer name="Department" xr10:uid="{7B81AF32-F4E0-4DD8-8F57-AD13B779460D}" cache="Slicer_Department" caption="Department" rowHeight="234950"/>
  <slicer name="JobLevel" xr10:uid="{27D55684-C819-4732-BB90-F460C0A4FB21}" cache="Slicer_JobLevel" caption="JobLev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4EE1B79-DD97-469E-B025-31A4009705E1}" cache="Slicer_Gender" caption="Gender" columnCount="2" style="Slicer Style 2" rowHeight="234950"/>
  <slicer name="EducationField 1" xr10:uid="{513FCCF1-252A-4A84-9587-C4D208B98BC4}" cache="Slicer_EducationField" caption="EducationField" style="Slicer Style 2" rowHeight="234950"/>
  <slicer name="Department 1" xr10:uid="{158FB15A-0781-42A5-9DB9-6F2957576B00}" cache="Slicer_Department" caption="Department" style="Slicer Style 2" rowHeight="234950"/>
  <slicer name="JobLevel 1" xr10:uid="{692C51BE-22F8-4CBA-8763-4386BCB9DB62}" cache="Slicer_JobLevel" caption="JobLevel"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1AA9BE-206C-41F2-9DE5-1ACC9880BF39}" name="Table2" displayName="Table2" ref="E4:F13" totalsRowShown="0" headerRowDxfId="23" headerRowBorderDxfId="22" tableBorderDxfId="21" totalsRowBorderDxfId="20">
  <autoFilter ref="E4:F13" xr:uid="{8C1AA9BE-206C-41F2-9DE5-1ACC9880BF39}"/>
  <tableColumns count="2">
    <tableColumn id="1" xr3:uid="{D0FD0D21-BC36-422F-8AC8-9B667BB724F2}" name="Job Role" dataDxfId="19">
      <calculatedColumnFormula>A5</calculatedColumnFormula>
    </tableColumn>
    <tableColumn id="2" xr3:uid="{45DCBCF1-C842-4D0A-A75B-6DF87BBD03B5}" name="Yes" dataDxfId="18">
      <calculatedColumnFormula>B5</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2.bin"/><Relationship Id="rId1" Type="http://schemas.openxmlformats.org/officeDocument/2006/relationships/pivotTable" Target="../pivotTables/pivotTable9.xml"/><Relationship Id="rId4" Type="http://schemas.microsoft.com/office/2007/relationships/slicer" Target="../slicers/slicer1.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9FA60-B06B-4E9B-B0A6-C818EB417CAE}">
  <dimension ref="A3:F14"/>
  <sheetViews>
    <sheetView workbookViewId="0">
      <selection activeCell="C21" sqref="C21"/>
    </sheetView>
  </sheetViews>
  <sheetFormatPr defaultRowHeight="14.4" x14ac:dyDescent="0.3"/>
  <cols>
    <col min="1" max="1" width="22.88671875" bestFit="1" customWidth="1"/>
    <col min="2" max="2" width="15.5546875" bestFit="1" customWidth="1"/>
    <col min="3" max="4" width="10.77734375" bestFit="1" customWidth="1"/>
    <col min="5" max="5" width="36.77734375" customWidth="1"/>
  </cols>
  <sheetData>
    <row r="3" spans="1:6" x14ac:dyDescent="0.3">
      <c r="A3" s="3" t="s">
        <v>68</v>
      </c>
      <c r="B3" s="3" t="s">
        <v>69</v>
      </c>
    </row>
    <row r="4" spans="1:6" x14ac:dyDescent="0.3">
      <c r="A4" s="3" t="s">
        <v>66</v>
      </c>
      <c r="B4" t="s">
        <v>35</v>
      </c>
      <c r="C4" t="s">
        <v>67</v>
      </c>
      <c r="E4" s="10" t="s">
        <v>76</v>
      </c>
      <c r="F4" s="11" t="s">
        <v>35</v>
      </c>
    </row>
    <row r="5" spans="1:6" x14ac:dyDescent="0.3">
      <c r="A5" s="4" t="s">
        <v>54</v>
      </c>
      <c r="B5" s="26">
        <v>9</v>
      </c>
      <c r="C5" s="26">
        <v>9</v>
      </c>
      <c r="E5" s="8" t="str">
        <f>A5</f>
        <v>Healthcare Representative</v>
      </c>
      <c r="F5" s="9">
        <f>B5</f>
        <v>9</v>
      </c>
    </row>
    <row r="6" spans="1:6" x14ac:dyDescent="0.3">
      <c r="A6" s="4" t="s">
        <v>61</v>
      </c>
      <c r="B6" s="26">
        <v>12</v>
      </c>
      <c r="C6" s="26">
        <v>12</v>
      </c>
      <c r="E6" s="8" t="str">
        <f t="shared" ref="E6:E13" si="0">A6</f>
        <v>Human Resources</v>
      </c>
      <c r="F6" s="9">
        <f t="shared" ref="F6:F13" si="1">B6</f>
        <v>12</v>
      </c>
    </row>
    <row r="7" spans="1:6" x14ac:dyDescent="0.3">
      <c r="A7" s="4" t="s">
        <v>50</v>
      </c>
      <c r="B7" s="26">
        <v>62</v>
      </c>
      <c r="C7" s="26">
        <v>62</v>
      </c>
      <c r="E7" s="8" t="str">
        <f t="shared" si="0"/>
        <v>Laboratory Technician</v>
      </c>
      <c r="F7" s="9">
        <f t="shared" si="1"/>
        <v>62</v>
      </c>
    </row>
    <row r="8" spans="1:6" x14ac:dyDescent="0.3">
      <c r="A8" s="4" t="s">
        <v>56</v>
      </c>
      <c r="B8" s="26">
        <v>5</v>
      </c>
      <c r="C8" s="26">
        <v>5</v>
      </c>
      <c r="E8" s="8" t="str">
        <f t="shared" si="0"/>
        <v>Manager</v>
      </c>
      <c r="F8" s="9">
        <f t="shared" si="1"/>
        <v>5</v>
      </c>
    </row>
    <row r="9" spans="1:6" x14ac:dyDescent="0.3">
      <c r="A9" s="4" t="s">
        <v>53</v>
      </c>
      <c r="B9" s="26">
        <v>10</v>
      </c>
      <c r="C9" s="26">
        <v>10</v>
      </c>
      <c r="E9" s="8" t="str">
        <f t="shared" si="0"/>
        <v>Manufacturing Director</v>
      </c>
      <c r="F9" s="9">
        <f t="shared" si="1"/>
        <v>10</v>
      </c>
    </row>
    <row r="10" spans="1:6" x14ac:dyDescent="0.3">
      <c r="A10" s="4" t="s">
        <v>58</v>
      </c>
      <c r="B10" s="26">
        <v>2</v>
      </c>
      <c r="C10" s="26">
        <v>2</v>
      </c>
      <c r="E10" s="8" t="str">
        <f t="shared" si="0"/>
        <v>Research Director</v>
      </c>
      <c r="F10" s="9">
        <f t="shared" si="1"/>
        <v>2</v>
      </c>
    </row>
    <row r="11" spans="1:6" x14ac:dyDescent="0.3">
      <c r="A11" s="4" t="s">
        <v>47</v>
      </c>
      <c r="B11" s="26">
        <v>47</v>
      </c>
      <c r="C11" s="26">
        <v>47</v>
      </c>
      <c r="E11" s="8" t="str">
        <f t="shared" si="0"/>
        <v>Research Scientist</v>
      </c>
      <c r="F11" s="9">
        <f t="shared" si="1"/>
        <v>47</v>
      </c>
    </row>
    <row r="12" spans="1:6" x14ac:dyDescent="0.3">
      <c r="A12" s="4" t="s">
        <v>40</v>
      </c>
      <c r="B12" s="26">
        <v>57</v>
      </c>
      <c r="C12" s="26">
        <v>57</v>
      </c>
      <c r="E12" s="8" t="str">
        <f t="shared" si="0"/>
        <v>Sales Executive</v>
      </c>
      <c r="F12" s="9">
        <f t="shared" si="1"/>
        <v>57</v>
      </c>
    </row>
    <row r="13" spans="1:6" x14ac:dyDescent="0.3">
      <c r="A13" s="4" t="s">
        <v>57</v>
      </c>
      <c r="B13" s="26">
        <v>33</v>
      </c>
      <c r="C13" s="26">
        <v>33</v>
      </c>
      <c r="E13" s="12" t="str">
        <f t="shared" si="0"/>
        <v>Sales Representative</v>
      </c>
      <c r="F13" s="13">
        <f t="shared" si="1"/>
        <v>33</v>
      </c>
    </row>
    <row r="14" spans="1:6" x14ac:dyDescent="0.3">
      <c r="A14" s="4" t="s">
        <v>67</v>
      </c>
      <c r="B14" s="26">
        <v>237</v>
      </c>
      <c r="C14" s="26">
        <v>237</v>
      </c>
    </row>
  </sheetData>
  <pageMargins left="0.7" right="0.7" top="0.75" bottom="0.75" header="0.3" footer="0.3"/>
  <pageSetup orientation="portrait" r:id="rId2"/>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D201D-1DB6-42D4-832D-DE430C9545A3}">
  <dimension ref="A3:N18"/>
  <sheetViews>
    <sheetView workbookViewId="0">
      <selection activeCell="R20" sqref="R20"/>
    </sheetView>
  </sheetViews>
  <sheetFormatPr defaultRowHeight="14.4" x14ac:dyDescent="0.3"/>
  <cols>
    <col min="1" max="1" width="15.88671875" bestFit="1" customWidth="1"/>
    <col min="2" max="2" width="15.5546875" bestFit="1" customWidth="1"/>
    <col min="3" max="4" width="10.77734375" bestFit="1" customWidth="1"/>
  </cols>
  <sheetData>
    <row r="3" spans="1:3" x14ac:dyDescent="0.3">
      <c r="A3" s="3" t="s">
        <v>68</v>
      </c>
      <c r="B3" s="3" t="s">
        <v>69</v>
      </c>
    </row>
    <row r="4" spans="1:3" x14ac:dyDescent="0.3">
      <c r="A4" s="3" t="s">
        <v>66</v>
      </c>
      <c r="B4" t="s">
        <v>35</v>
      </c>
      <c r="C4" t="s">
        <v>67</v>
      </c>
    </row>
    <row r="5" spans="1:3" x14ac:dyDescent="0.3">
      <c r="A5" s="4" t="s">
        <v>43</v>
      </c>
      <c r="B5" s="26">
        <v>110</v>
      </c>
      <c r="C5" s="26">
        <v>110</v>
      </c>
    </row>
    <row r="6" spans="1:3" x14ac:dyDescent="0.3">
      <c r="A6" s="4" t="s">
        <v>35</v>
      </c>
      <c r="B6" s="26">
        <v>127</v>
      </c>
      <c r="C6" s="26">
        <v>127</v>
      </c>
    </row>
    <row r="7" spans="1:3" x14ac:dyDescent="0.3">
      <c r="A7" s="4" t="s">
        <v>67</v>
      </c>
      <c r="B7" s="26">
        <v>237</v>
      </c>
      <c r="C7" s="26">
        <v>237</v>
      </c>
    </row>
    <row r="18" spans="14:14" x14ac:dyDescent="0.3">
      <c r="N18" s="5"/>
    </row>
  </sheetData>
  <sortState xmlns:xlrd2="http://schemas.microsoft.com/office/spreadsheetml/2017/richdata2" ref="F5:H7">
    <sortCondition descending="1" ref="F4:F7"/>
  </sortState>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5B5B9-75E7-4479-988D-BC142D5C2D90}">
  <dimension ref="A3:F33"/>
  <sheetViews>
    <sheetView workbookViewId="0">
      <selection activeCell="B25" sqref="B25"/>
    </sheetView>
  </sheetViews>
  <sheetFormatPr defaultRowHeight="14.4" x14ac:dyDescent="0.3"/>
  <cols>
    <col min="1" max="1" width="15.88671875" bestFit="1" customWidth="1"/>
    <col min="2" max="2" width="15.5546875" bestFit="1" customWidth="1"/>
    <col min="3" max="4" width="10.77734375" bestFit="1" customWidth="1"/>
    <col min="5" max="5" width="28" bestFit="1" customWidth="1"/>
    <col min="6" max="6" width="20.6640625" bestFit="1" customWidth="1"/>
    <col min="7" max="7" width="32.77734375" bestFit="1" customWidth="1"/>
  </cols>
  <sheetData>
    <row r="3" spans="1:6" x14ac:dyDescent="0.3">
      <c r="A3" s="3" t="s">
        <v>68</v>
      </c>
      <c r="B3" s="3" t="s">
        <v>69</v>
      </c>
    </row>
    <row r="4" spans="1:6" x14ac:dyDescent="0.3">
      <c r="A4" s="3" t="s">
        <v>66</v>
      </c>
      <c r="B4" t="s">
        <v>35</v>
      </c>
      <c r="C4" t="s">
        <v>67</v>
      </c>
      <c r="E4" s="6" t="s">
        <v>77</v>
      </c>
      <c r="F4" s="6" t="s">
        <v>74</v>
      </c>
    </row>
    <row r="5" spans="1:6" x14ac:dyDescent="0.3">
      <c r="A5" s="4">
        <v>0</v>
      </c>
      <c r="B5" s="26">
        <v>16</v>
      </c>
      <c r="C5" s="26">
        <v>16</v>
      </c>
      <c r="E5">
        <f>A5</f>
        <v>0</v>
      </c>
      <c r="F5">
        <f>B5</f>
        <v>16</v>
      </c>
    </row>
    <row r="6" spans="1:6" x14ac:dyDescent="0.3">
      <c r="A6" s="4">
        <v>1</v>
      </c>
      <c r="B6" s="26">
        <v>59</v>
      </c>
      <c r="C6" s="26">
        <v>59</v>
      </c>
      <c r="E6">
        <f t="shared" ref="E6:E32" si="0">A6</f>
        <v>1</v>
      </c>
      <c r="F6">
        <f t="shared" ref="F6:F32" si="1">B6</f>
        <v>59</v>
      </c>
    </row>
    <row r="7" spans="1:6" x14ac:dyDescent="0.3">
      <c r="A7" s="4">
        <v>2</v>
      </c>
      <c r="B7" s="26">
        <v>27</v>
      </c>
      <c r="C7" s="26">
        <v>27</v>
      </c>
      <c r="E7">
        <f t="shared" si="0"/>
        <v>2</v>
      </c>
      <c r="F7">
        <f t="shared" si="1"/>
        <v>27</v>
      </c>
    </row>
    <row r="8" spans="1:6" x14ac:dyDescent="0.3">
      <c r="A8" s="4">
        <v>3</v>
      </c>
      <c r="B8" s="26">
        <v>20</v>
      </c>
      <c r="C8" s="26">
        <v>20</v>
      </c>
      <c r="E8">
        <f t="shared" si="0"/>
        <v>3</v>
      </c>
      <c r="F8">
        <f t="shared" si="1"/>
        <v>20</v>
      </c>
    </row>
    <row r="9" spans="1:6" x14ac:dyDescent="0.3">
      <c r="A9" s="4">
        <v>4</v>
      </c>
      <c r="B9" s="26">
        <v>19</v>
      </c>
      <c r="C9" s="26">
        <v>19</v>
      </c>
      <c r="E9">
        <f t="shared" si="0"/>
        <v>4</v>
      </c>
      <c r="F9">
        <f t="shared" si="1"/>
        <v>19</v>
      </c>
    </row>
    <row r="10" spans="1:6" x14ac:dyDescent="0.3">
      <c r="A10" s="4">
        <v>5</v>
      </c>
      <c r="B10" s="26">
        <v>21</v>
      </c>
      <c r="C10" s="26">
        <v>21</v>
      </c>
      <c r="E10">
        <f t="shared" si="0"/>
        <v>5</v>
      </c>
      <c r="F10">
        <f t="shared" si="1"/>
        <v>21</v>
      </c>
    </row>
    <row r="11" spans="1:6" x14ac:dyDescent="0.3">
      <c r="A11" s="4">
        <v>6</v>
      </c>
      <c r="B11" s="26">
        <v>9</v>
      </c>
      <c r="C11" s="26">
        <v>9</v>
      </c>
      <c r="E11">
        <f t="shared" si="0"/>
        <v>6</v>
      </c>
      <c r="F11">
        <f t="shared" si="1"/>
        <v>9</v>
      </c>
    </row>
    <row r="12" spans="1:6" x14ac:dyDescent="0.3">
      <c r="A12" s="4">
        <v>7</v>
      </c>
      <c r="B12" s="26">
        <v>11</v>
      </c>
      <c r="C12" s="26">
        <v>11</v>
      </c>
      <c r="E12">
        <f t="shared" si="0"/>
        <v>7</v>
      </c>
      <c r="F12">
        <f t="shared" si="1"/>
        <v>11</v>
      </c>
    </row>
    <row r="13" spans="1:6" x14ac:dyDescent="0.3">
      <c r="A13" s="4">
        <v>8</v>
      </c>
      <c r="B13" s="26">
        <v>9</v>
      </c>
      <c r="C13" s="26">
        <v>9</v>
      </c>
      <c r="E13">
        <f t="shared" si="0"/>
        <v>8</v>
      </c>
      <c r="F13">
        <f t="shared" si="1"/>
        <v>9</v>
      </c>
    </row>
    <row r="14" spans="1:6" x14ac:dyDescent="0.3">
      <c r="A14" s="4">
        <v>9</v>
      </c>
      <c r="B14" s="26">
        <v>8</v>
      </c>
      <c r="C14" s="26">
        <v>8</v>
      </c>
      <c r="E14">
        <f t="shared" si="0"/>
        <v>9</v>
      </c>
      <c r="F14">
        <f t="shared" si="1"/>
        <v>8</v>
      </c>
    </row>
    <row r="15" spans="1:6" x14ac:dyDescent="0.3">
      <c r="A15" s="4">
        <v>10</v>
      </c>
      <c r="B15" s="26">
        <v>18</v>
      </c>
      <c r="C15" s="26">
        <v>18</v>
      </c>
      <c r="E15">
        <f t="shared" si="0"/>
        <v>10</v>
      </c>
      <c r="F15">
        <f t="shared" si="1"/>
        <v>18</v>
      </c>
    </row>
    <row r="16" spans="1:6" x14ac:dyDescent="0.3">
      <c r="A16" s="4">
        <v>11</v>
      </c>
      <c r="B16" s="26">
        <v>2</v>
      </c>
      <c r="C16" s="26">
        <v>2</v>
      </c>
      <c r="E16">
        <f t="shared" si="0"/>
        <v>11</v>
      </c>
      <c r="F16">
        <f t="shared" si="1"/>
        <v>2</v>
      </c>
    </row>
    <row r="17" spans="1:6" x14ac:dyDescent="0.3">
      <c r="A17" s="4">
        <v>13</v>
      </c>
      <c r="B17" s="26">
        <v>2</v>
      </c>
      <c r="C17" s="26">
        <v>2</v>
      </c>
      <c r="E17">
        <f t="shared" si="0"/>
        <v>13</v>
      </c>
      <c r="F17">
        <f t="shared" si="1"/>
        <v>2</v>
      </c>
    </row>
    <row r="18" spans="1:6" x14ac:dyDescent="0.3">
      <c r="A18" s="4">
        <v>14</v>
      </c>
      <c r="B18" s="26">
        <v>2</v>
      </c>
      <c r="C18" s="26">
        <v>2</v>
      </c>
      <c r="E18">
        <f t="shared" si="0"/>
        <v>14</v>
      </c>
      <c r="F18">
        <f t="shared" si="1"/>
        <v>2</v>
      </c>
    </row>
    <row r="19" spans="1:6" x14ac:dyDescent="0.3">
      <c r="A19" s="4">
        <v>15</v>
      </c>
      <c r="B19" s="26">
        <v>1</v>
      </c>
      <c r="C19" s="26">
        <v>1</v>
      </c>
      <c r="E19">
        <f t="shared" si="0"/>
        <v>15</v>
      </c>
      <c r="F19">
        <f t="shared" si="1"/>
        <v>1</v>
      </c>
    </row>
    <row r="20" spans="1:6" x14ac:dyDescent="0.3">
      <c r="A20" s="4">
        <v>16</v>
      </c>
      <c r="B20" s="26">
        <v>1</v>
      </c>
      <c r="C20" s="26">
        <v>1</v>
      </c>
      <c r="E20">
        <f t="shared" si="0"/>
        <v>16</v>
      </c>
      <c r="F20">
        <f t="shared" si="1"/>
        <v>1</v>
      </c>
    </row>
    <row r="21" spans="1:6" x14ac:dyDescent="0.3">
      <c r="A21" s="4">
        <v>17</v>
      </c>
      <c r="B21" s="26">
        <v>1</v>
      </c>
      <c r="C21" s="26">
        <v>1</v>
      </c>
      <c r="E21">
        <f t="shared" si="0"/>
        <v>17</v>
      </c>
      <c r="F21">
        <f t="shared" si="1"/>
        <v>1</v>
      </c>
    </row>
    <row r="22" spans="1:6" x14ac:dyDescent="0.3">
      <c r="A22" s="4">
        <v>18</v>
      </c>
      <c r="B22" s="26">
        <v>1</v>
      </c>
      <c r="C22" s="26">
        <v>1</v>
      </c>
      <c r="E22">
        <f t="shared" si="0"/>
        <v>18</v>
      </c>
      <c r="F22">
        <f t="shared" si="1"/>
        <v>1</v>
      </c>
    </row>
    <row r="23" spans="1:6" x14ac:dyDescent="0.3">
      <c r="A23" s="4">
        <v>19</v>
      </c>
      <c r="B23" s="26">
        <v>1</v>
      </c>
      <c r="C23" s="26">
        <v>1</v>
      </c>
      <c r="E23">
        <f t="shared" si="0"/>
        <v>19</v>
      </c>
      <c r="F23">
        <f t="shared" si="1"/>
        <v>1</v>
      </c>
    </row>
    <row r="24" spans="1:6" x14ac:dyDescent="0.3">
      <c r="A24" s="4">
        <v>20</v>
      </c>
      <c r="B24" s="26">
        <v>1</v>
      </c>
      <c r="C24" s="26">
        <v>1</v>
      </c>
      <c r="E24">
        <f t="shared" si="0"/>
        <v>20</v>
      </c>
      <c r="F24">
        <f t="shared" si="1"/>
        <v>1</v>
      </c>
    </row>
    <row r="25" spans="1:6" x14ac:dyDescent="0.3">
      <c r="A25" s="4">
        <v>21</v>
      </c>
      <c r="B25" s="26">
        <v>1</v>
      </c>
      <c r="C25" s="26">
        <v>1</v>
      </c>
      <c r="E25">
        <f t="shared" si="0"/>
        <v>21</v>
      </c>
      <c r="F25">
        <f t="shared" si="1"/>
        <v>1</v>
      </c>
    </row>
    <row r="26" spans="1:6" x14ac:dyDescent="0.3">
      <c r="A26" s="4">
        <v>22</v>
      </c>
      <c r="B26" s="26">
        <v>1</v>
      </c>
      <c r="C26" s="26">
        <v>1</v>
      </c>
      <c r="E26">
        <f t="shared" si="0"/>
        <v>22</v>
      </c>
      <c r="F26">
        <f t="shared" si="1"/>
        <v>1</v>
      </c>
    </row>
    <row r="27" spans="1:6" x14ac:dyDescent="0.3">
      <c r="A27" s="4">
        <v>23</v>
      </c>
      <c r="B27" s="26">
        <v>1</v>
      </c>
      <c r="C27" s="26">
        <v>1</v>
      </c>
      <c r="E27">
        <f t="shared" si="0"/>
        <v>23</v>
      </c>
      <c r="F27">
        <f t="shared" si="1"/>
        <v>1</v>
      </c>
    </row>
    <row r="28" spans="1:6" x14ac:dyDescent="0.3">
      <c r="A28" s="4">
        <v>24</v>
      </c>
      <c r="B28" s="26">
        <v>1</v>
      </c>
      <c r="C28" s="26">
        <v>1</v>
      </c>
      <c r="E28">
        <f t="shared" si="0"/>
        <v>24</v>
      </c>
      <c r="F28">
        <f t="shared" si="1"/>
        <v>1</v>
      </c>
    </row>
    <row r="29" spans="1:6" x14ac:dyDescent="0.3">
      <c r="A29" s="4">
        <v>31</v>
      </c>
      <c r="B29" s="26">
        <v>1</v>
      </c>
      <c r="C29" s="26">
        <v>1</v>
      </c>
      <c r="E29">
        <f t="shared" si="0"/>
        <v>31</v>
      </c>
      <c r="F29">
        <f t="shared" si="1"/>
        <v>1</v>
      </c>
    </row>
    <row r="30" spans="1:6" x14ac:dyDescent="0.3">
      <c r="A30" s="4">
        <v>32</v>
      </c>
      <c r="B30" s="26">
        <v>1</v>
      </c>
      <c r="C30" s="26">
        <v>1</v>
      </c>
      <c r="E30">
        <f t="shared" si="0"/>
        <v>32</v>
      </c>
      <c r="F30">
        <f t="shared" si="1"/>
        <v>1</v>
      </c>
    </row>
    <row r="31" spans="1:6" x14ac:dyDescent="0.3">
      <c r="A31" s="4">
        <v>33</v>
      </c>
      <c r="B31" s="26">
        <v>1</v>
      </c>
      <c r="C31" s="26">
        <v>1</v>
      </c>
      <c r="E31">
        <f t="shared" si="0"/>
        <v>33</v>
      </c>
      <c r="F31">
        <f t="shared" si="1"/>
        <v>1</v>
      </c>
    </row>
    <row r="32" spans="1:6" x14ac:dyDescent="0.3">
      <c r="A32" s="4">
        <v>40</v>
      </c>
      <c r="B32" s="26">
        <v>1</v>
      </c>
      <c r="C32" s="26">
        <v>1</v>
      </c>
      <c r="E32">
        <f t="shared" si="0"/>
        <v>40</v>
      </c>
      <c r="F32">
        <f t="shared" si="1"/>
        <v>1</v>
      </c>
    </row>
    <row r="33" spans="1:3" x14ac:dyDescent="0.3">
      <c r="A33" s="4" t="s">
        <v>67</v>
      </c>
      <c r="B33" s="26">
        <v>237</v>
      </c>
      <c r="C33" s="26">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FCD4-8054-4A15-AC42-3FB548EEDF6C}">
  <dimension ref="A3:C9"/>
  <sheetViews>
    <sheetView workbookViewId="0">
      <selection activeCell="Z11" sqref="Z11"/>
    </sheetView>
  </sheetViews>
  <sheetFormatPr defaultRowHeight="14.4" x14ac:dyDescent="0.3"/>
  <cols>
    <col min="1" max="1" width="12.5546875" bestFit="1" customWidth="1"/>
    <col min="2" max="2" width="24.33203125" bestFit="1" customWidth="1"/>
    <col min="3" max="3" width="10" bestFit="1" customWidth="1"/>
  </cols>
  <sheetData>
    <row r="3" spans="1:3" x14ac:dyDescent="0.3">
      <c r="A3" s="3" t="s">
        <v>66</v>
      </c>
      <c r="B3" t="s">
        <v>71</v>
      </c>
    </row>
    <row r="4" spans="1:3" x14ac:dyDescent="0.3">
      <c r="A4" s="4" t="s">
        <v>39</v>
      </c>
      <c r="B4" s="26">
        <v>588</v>
      </c>
    </row>
    <row r="5" spans="1:3" x14ac:dyDescent="0.3">
      <c r="A5" s="4" t="s">
        <v>46</v>
      </c>
      <c r="B5" s="26">
        <v>882</v>
      </c>
    </row>
    <row r="6" spans="1:3" x14ac:dyDescent="0.3">
      <c r="A6" s="4" t="s">
        <v>67</v>
      </c>
      <c r="B6" s="26">
        <v>1470</v>
      </c>
      <c r="C6">
        <f>GETPIVOTDATA("EmployeeNumber",$A$3)</f>
        <v>1470</v>
      </c>
    </row>
    <row r="8" spans="1:3" x14ac:dyDescent="0.3">
      <c r="A8" s="4" t="s">
        <v>39</v>
      </c>
      <c r="B8">
        <f>IFERROR(GETPIVOTDATA("EmployeeNumber",$A$3,"Gender","Female"),0)</f>
        <v>588</v>
      </c>
      <c r="C8" s="7">
        <f>IFERROR(B8/C6,0)</f>
        <v>0.4</v>
      </c>
    </row>
    <row r="9" spans="1:3" x14ac:dyDescent="0.3">
      <c r="A9" s="4" t="s">
        <v>46</v>
      </c>
      <c r="B9">
        <f>IFERROR(GETPIVOTDATA("EmployeeNumber",$A$3,"Gender","Male"),0)</f>
        <v>882</v>
      </c>
      <c r="C9" s="7">
        <f>IFERROR(B9/C6,0)</f>
        <v>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A0D4-E4E9-4536-AF09-DA92DACC58E3}">
  <dimension ref="A3:F8"/>
  <sheetViews>
    <sheetView workbookViewId="0">
      <selection activeCell="B4" sqref="B4"/>
    </sheetView>
  </sheetViews>
  <sheetFormatPr defaultRowHeight="14.4" x14ac:dyDescent="0.3"/>
  <cols>
    <col min="1" max="1" width="15.88671875" bestFit="1" customWidth="1"/>
    <col min="2" max="2" width="15.5546875" bestFit="1" customWidth="1"/>
    <col min="3" max="4" width="10.77734375" bestFit="1" customWidth="1"/>
  </cols>
  <sheetData>
    <row r="3" spans="1:6" x14ac:dyDescent="0.3">
      <c r="A3" s="3" t="s">
        <v>68</v>
      </c>
      <c r="B3" s="3" t="s">
        <v>69</v>
      </c>
    </row>
    <row r="4" spans="1:6" x14ac:dyDescent="0.3">
      <c r="A4" s="3" t="s">
        <v>66</v>
      </c>
      <c r="B4" t="s">
        <v>35</v>
      </c>
      <c r="C4" t="s">
        <v>67</v>
      </c>
    </row>
    <row r="5" spans="1:6" x14ac:dyDescent="0.3">
      <c r="A5" s="4" t="s">
        <v>52</v>
      </c>
      <c r="B5" s="26">
        <v>33</v>
      </c>
      <c r="C5" s="26">
        <v>33</v>
      </c>
      <c r="E5" t="str">
        <f>A5</f>
        <v>Divorced</v>
      </c>
      <c r="F5">
        <f>B5</f>
        <v>33</v>
      </c>
    </row>
    <row r="6" spans="1:6" x14ac:dyDescent="0.3">
      <c r="A6" s="4" t="s">
        <v>48</v>
      </c>
      <c r="B6" s="26">
        <v>84</v>
      </c>
      <c r="C6" s="26">
        <v>84</v>
      </c>
      <c r="E6" t="str">
        <f t="shared" ref="E6:E7" si="0">A6</f>
        <v>Married</v>
      </c>
      <c r="F6">
        <f t="shared" ref="F6:F7" si="1">B6</f>
        <v>84</v>
      </c>
    </row>
    <row r="7" spans="1:6" x14ac:dyDescent="0.3">
      <c r="A7" s="4" t="s">
        <v>41</v>
      </c>
      <c r="B7" s="26">
        <v>120</v>
      </c>
      <c r="C7" s="26">
        <v>120</v>
      </c>
      <c r="E7" t="str">
        <f t="shared" si="0"/>
        <v>Single</v>
      </c>
      <c r="F7">
        <f t="shared" si="1"/>
        <v>120</v>
      </c>
    </row>
    <row r="8" spans="1:6" x14ac:dyDescent="0.3">
      <c r="A8" s="4" t="s">
        <v>67</v>
      </c>
      <c r="B8" s="26">
        <v>237</v>
      </c>
      <c r="C8" s="26">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85431-10D2-4A15-8046-2A8FB14AE201}">
  <dimension ref="A3:C8"/>
  <sheetViews>
    <sheetView workbookViewId="0">
      <selection activeCell="E12" sqref="E12"/>
    </sheetView>
  </sheetViews>
  <sheetFormatPr defaultRowHeight="14.4" x14ac:dyDescent="0.3"/>
  <cols>
    <col min="1" max="1" width="21.88671875" bestFit="1" customWidth="1"/>
    <col min="2" max="2" width="15.5546875" bestFit="1" customWidth="1"/>
    <col min="3" max="4" width="10.77734375" bestFit="1" customWidth="1"/>
    <col min="5" max="5" width="27.21875" customWidth="1"/>
  </cols>
  <sheetData>
    <row r="3" spans="1:3" x14ac:dyDescent="0.3">
      <c r="A3" s="3" t="s">
        <v>68</v>
      </c>
      <c r="B3" s="3" t="s">
        <v>69</v>
      </c>
    </row>
    <row r="4" spans="1:3" x14ac:dyDescent="0.3">
      <c r="A4" s="3" t="s">
        <v>66</v>
      </c>
      <c r="B4" t="s">
        <v>35</v>
      </c>
      <c r="C4" t="s">
        <v>67</v>
      </c>
    </row>
    <row r="5" spans="1:3" x14ac:dyDescent="0.3">
      <c r="A5" s="4" t="s">
        <v>45</v>
      </c>
      <c r="B5" s="26">
        <v>133</v>
      </c>
      <c r="C5" s="26">
        <v>133</v>
      </c>
    </row>
    <row r="6" spans="1:3" x14ac:dyDescent="0.3">
      <c r="A6" s="4" t="s">
        <v>37</v>
      </c>
      <c r="B6" s="26">
        <v>92</v>
      </c>
      <c r="C6" s="26">
        <v>92</v>
      </c>
    </row>
    <row r="7" spans="1:3" x14ac:dyDescent="0.3">
      <c r="A7" s="4" t="s">
        <v>61</v>
      </c>
      <c r="B7" s="26">
        <v>12</v>
      </c>
      <c r="C7" s="26">
        <v>12</v>
      </c>
    </row>
    <row r="8" spans="1:3" x14ac:dyDescent="0.3">
      <c r="A8" s="4" t="s">
        <v>67</v>
      </c>
      <c r="B8" s="26">
        <v>237</v>
      </c>
      <c r="C8" s="26">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06AA9-6B17-4290-B524-78606FDA3B56}">
  <dimension ref="A3:E7"/>
  <sheetViews>
    <sheetView workbookViewId="0">
      <selection activeCell="J9" sqref="J9"/>
    </sheetView>
  </sheetViews>
  <sheetFormatPr defaultRowHeight="14.4" x14ac:dyDescent="0.3"/>
  <cols>
    <col min="1" max="1" width="24.33203125" bestFit="1" customWidth="1"/>
    <col min="2" max="2" width="18.44140625" bestFit="1" customWidth="1"/>
    <col min="3" max="3" width="13.88671875" bestFit="1" customWidth="1"/>
    <col min="4" max="4" width="24.44140625" bestFit="1" customWidth="1"/>
    <col min="5" max="5" width="16.44140625" customWidth="1"/>
  </cols>
  <sheetData>
    <row r="3" spans="1:5" x14ac:dyDescent="0.3">
      <c r="A3" t="s">
        <v>71</v>
      </c>
      <c r="B3" t="s">
        <v>75</v>
      </c>
      <c r="C3" t="s">
        <v>73</v>
      </c>
      <c r="D3" t="s">
        <v>70</v>
      </c>
    </row>
    <row r="4" spans="1:5" x14ac:dyDescent="0.3">
      <c r="A4" s="26">
        <v>1470</v>
      </c>
      <c r="B4" s="26">
        <v>237</v>
      </c>
      <c r="C4" s="26">
        <v>36.923809523809524</v>
      </c>
      <c r="D4" s="26">
        <v>6502.931292517007</v>
      </c>
    </row>
    <row r="6" spans="1:5" x14ac:dyDescent="0.3">
      <c r="A6" t="s">
        <v>62</v>
      </c>
      <c r="B6" t="s">
        <v>74</v>
      </c>
      <c r="C6" t="s">
        <v>63</v>
      </c>
      <c r="D6" t="s">
        <v>65</v>
      </c>
      <c r="E6" t="s">
        <v>64</v>
      </c>
    </row>
    <row r="7" spans="1:5" x14ac:dyDescent="0.3">
      <c r="A7">
        <f>GETPIVOTDATA("Count of EmployeeNumber",$A$3)</f>
        <v>1470</v>
      </c>
      <c r="B7">
        <f>B4</f>
        <v>237</v>
      </c>
      <c r="C7" s="2">
        <f>B7/A7</f>
        <v>0.16122448979591836</v>
      </c>
      <c r="D7" s="25">
        <f>GETPIVOTDATA("Average of MonthlyIncome",$A$3)</f>
        <v>6502.931292517007</v>
      </c>
      <c r="E7" s="24">
        <f>GETPIVOTDATA("Average of Age",$A$3)</f>
        <v>36.923809523809524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D90EE-5733-4C1D-9E5A-B61DC925816B}">
  <dimension ref="A3:C7"/>
  <sheetViews>
    <sheetView workbookViewId="0">
      <selection activeCell="M8" sqref="M8"/>
    </sheetView>
  </sheetViews>
  <sheetFormatPr defaultRowHeight="14.4" x14ac:dyDescent="0.3"/>
  <cols>
    <col min="1" max="1" width="23.5546875" bestFit="1" customWidth="1"/>
    <col min="2" max="2" width="24.5546875" bestFit="1" customWidth="1"/>
  </cols>
  <sheetData>
    <row r="3" spans="1:3" x14ac:dyDescent="0.3">
      <c r="A3" t="s">
        <v>78</v>
      </c>
    </row>
    <row r="4" spans="1:3" x14ac:dyDescent="0.3">
      <c r="A4" s="23">
        <v>2.7285714285714286</v>
      </c>
    </row>
    <row r="6" spans="1:3" x14ac:dyDescent="0.3">
      <c r="A6" t="s">
        <v>79</v>
      </c>
      <c r="B6" s="23">
        <f>A4</f>
        <v>2.7285714285714286</v>
      </c>
      <c r="C6" s="7">
        <f>B6/4</f>
        <v>0.68214285714285716</v>
      </c>
    </row>
    <row r="7" spans="1:3" x14ac:dyDescent="0.3">
      <c r="A7" t="s">
        <v>80</v>
      </c>
      <c r="B7" s="23">
        <f>4-B6</f>
        <v>1.2714285714285714</v>
      </c>
      <c r="C7" s="7">
        <f>B7/4</f>
        <v>0.31785714285714284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149F5-9B1E-488D-8504-3E18F5B00BC7}">
  <dimension ref="A3:C20"/>
  <sheetViews>
    <sheetView workbookViewId="0">
      <selection activeCell="X4" sqref="X4"/>
    </sheetView>
  </sheetViews>
  <sheetFormatPr defaultRowHeight="14.4" x14ac:dyDescent="0.3"/>
  <cols>
    <col min="1" max="1" width="12.5546875" bestFit="1" customWidth="1"/>
  </cols>
  <sheetData>
    <row r="3" spans="1:3" x14ac:dyDescent="0.3">
      <c r="A3" s="14"/>
      <c r="B3" s="15"/>
      <c r="C3" s="16"/>
    </row>
    <row r="4" spans="1:3" x14ac:dyDescent="0.3">
      <c r="A4" s="17"/>
      <c r="B4" s="18"/>
      <c r="C4" s="19"/>
    </row>
    <row r="5" spans="1:3" x14ac:dyDescent="0.3">
      <c r="A5" s="17"/>
      <c r="B5" s="18"/>
      <c r="C5" s="19"/>
    </row>
    <row r="6" spans="1:3" x14ac:dyDescent="0.3">
      <c r="A6" s="17"/>
      <c r="B6" s="18"/>
      <c r="C6" s="19"/>
    </row>
    <row r="7" spans="1:3" x14ac:dyDescent="0.3">
      <c r="A7" s="17"/>
      <c r="B7" s="18"/>
      <c r="C7" s="19"/>
    </row>
    <row r="8" spans="1:3" x14ac:dyDescent="0.3">
      <c r="A8" s="17"/>
      <c r="B8" s="18"/>
      <c r="C8" s="19"/>
    </row>
    <row r="9" spans="1:3" x14ac:dyDescent="0.3">
      <c r="A9" s="17"/>
      <c r="B9" s="18"/>
      <c r="C9" s="19"/>
    </row>
    <row r="10" spans="1:3" x14ac:dyDescent="0.3">
      <c r="A10" s="17"/>
      <c r="B10" s="18"/>
      <c r="C10" s="19"/>
    </row>
    <row r="11" spans="1:3" x14ac:dyDescent="0.3">
      <c r="A11" s="17"/>
      <c r="B11" s="18"/>
      <c r="C11" s="19"/>
    </row>
    <row r="12" spans="1:3" x14ac:dyDescent="0.3">
      <c r="A12" s="17"/>
      <c r="B12" s="18"/>
      <c r="C12" s="19"/>
    </row>
    <row r="13" spans="1:3" x14ac:dyDescent="0.3">
      <c r="A13" s="17"/>
      <c r="B13" s="18"/>
      <c r="C13" s="19"/>
    </row>
    <row r="14" spans="1:3" x14ac:dyDescent="0.3">
      <c r="A14" s="17"/>
      <c r="B14" s="18"/>
      <c r="C14" s="19"/>
    </row>
    <row r="15" spans="1:3" x14ac:dyDescent="0.3">
      <c r="A15" s="17"/>
      <c r="B15" s="18"/>
      <c r="C15" s="19"/>
    </row>
    <row r="16" spans="1:3" x14ac:dyDescent="0.3">
      <c r="A16" s="17"/>
      <c r="B16" s="18"/>
      <c r="C16" s="19"/>
    </row>
    <row r="17" spans="1:3" x14ac:dyDescent="0.3">
      <c r="A17" s="17"/>
      <c r="B17" s="18"/>
      <c r="C17" s="19"/>
    </row>
    <row r="18" spans="1:3" x14ac:dyDescent="0.3">
      <c r="A18" s="17"/>
      <c r="B18" s="18"/>
      <c r="C18" s="19"/>
    </row>
    <row r="19" spans="1:3" x14ac:dyDescent="0.3">
      <c r="A19" s="17"/>
      <c r="B19" s="18"/>
      <c r="C19" s="19"/>
    </row>
    <row r="20" spans="1:3" x14ac:dyDescent="0.3">
      <c r="A20" s="20"/>
      <c r="B20" s="21"/>
      <c r="C20" s="22"/>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E392A-977A-4E83-A517-E061906C0A87}">
  <dimension ref="A1"/>
  <sheetViews>
    <sheetView showGridLines="0" showRowColHeaders="0" tabSelected="1" zoomScale="102" zoomScaleNormal="102" workbookViewId="0">
      <selection sqref="A1:A104857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471"/>
  <sheetViews>
    <sheetView workbookViewId="0">
      <selection activeCell="F21" sqref="F21"/>
    </sheetView>
  </sheetViews>
  <sheetFormatPr defaultRowHeight="14.4" x14ac:dyDescent="0.3"/>
  <cols>
    <col min="1" max="1" width="4.21875" bestFit="1" customWidth="1"/>
    <col min="2" max="2" width="8" bestFit="1" customWidth="1"/>
    <col min="3" max="3" width="14.21875" style="6" customWidth="1"/>
    <col min="4" max="4" width="15.6640625" bestFit="1" customWidth="1"/>
    <col min="6" max="6" width="21.88671875" bestFit="1" customWidth="1"/>
    <col min="7" max="7" width="17.6640625" bestFit="1" customWidth="1"/>
    <col min="8" max="8" width="9.44140625" bestFit="1" customWidth="1"/>
    <col min="9" max="9" width="15.6640625" bestFit="1" customWidth="1"/>
    <col min="10" max="10" width="14.5546875" bestFit="1" customWidth="1"/>
    <col min="11" max="11" width="16.33203125" bestFit="1" customWidth="1"/>
    <col min="12" max="12" width="22" bestFit="1" customWidth="1"/>
    <col min="13" max="13" width="7.109375" bestFit="1" customWidth="1"/>
    <col min="14" max="14" width="10.33203125" bestFit="1" customWidth="1"/>
    <col min="15" max="15" width="14.6640625" bestFit="1" customWidth="1"/>
    <col min="16" max="16" width="8.21875" bestFit="1" customWidth="1"/>
    <col min="17" max="17" width="22.88671875" bestFit="1" customWidth="1"/>
    <col min="18" max="18" width="13.77734375" bestFit="1" customWidth="1"/>
    <col min="19" max="19" width="12.21875" bestFit="1" customWidth="1"/>
    <col min="20" max="20" width="14.6640625" bestFit="1" customWidth="1"/>
    <col min="21" max="21" width="12" bestFit="1" customWidth="1"/>
    <col min="22" max="22" width="21.44140625" bestFit="1" customWidth="1"/>
    <col min="23" max="23" width="7" bestFit="1" customWidth="1"/>
    <col min="24" max="24" width="9.109375" bestFit="1" customWidth="1"/>
    <col min="25" max="25" width="16.33203125" bestFit="1" customWidth="1"/>
    <col min="26" max="26" width="17.44140625" bestFit="1" customWidth="1"/>
    <col min="27" max="27" width="21.44140625" bestFit="1" customWidth="1"/>
    <col min="28" max="28" width="13.6640625" bestFit="1" customWidth="1"/>
    <col min="29" max="29" width="15.88671875" bestFit="1" customWidth="1"/>
    <col min="30" max="30" width="16.88671875" bestFit="1" customWidth="1"/>
    <col min="31" max="31" width="19.88671875" bestFit="1" customWidth="1"/>
    <col min="32" max="32" width="15.21875" bestFit="1" customWidth="1"/>
    <col min="33" max="33" width="15.5546875" bestFit="1" customWidth="1"/>
    <col min="34" max="34" width="17.33203125" bestFit="1" customWidth="1"/>
    <col min="35" max="35" width="22.5546875" bestFit="1" customWidth="1"/>
    <col min="36" max="36" width="20.77734375" bestFit="1" customWidth="1"/>
  </cols>
  <sheetData>
    <row r="1" spans="1:36" x14ac:dyDescent="0.3">
      <c r="A1" s="1" t="s">
        <v>0</v>
      </c>
      <c r="B1" s="1" t="s">
        <v>1</v>
      </c>
      <c r="C1" s="1" t="s">
        <v>72</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row>
    <row r="2" spans="1:36" x14ac:dyDescent="0.3">
      <c r="A2">
        <v>41</v>
      </c>
      <c r="B2" t="s">
        <v>35</v>
      </c>
      <c r="C2" s="6">
        <f>IF(B2="Yes",1,0)</f>
        <v>1</v>
      </c>
      <c r="D2" t="s">
        <v>36</v>
      </c>
      <c r="E2">
        <v>1102</v>
      </c>
      <c r="F2" t="s">
        <v>37</v>
      </c>
      <c r="G2">
        <v>1</v>
      </c>
      <c r="H2">
        <v>2</v>
      </c>
      <c r="I2" t="s">
        <v>38</v>
      </c>
      <c r="J2">
        <v>1</v>
      </c>
      <c r="K2">
        <v>1</v>
      </c>
      <c r="L2">
        <v>2</v>
      </c>
      <c r="M2" t="s">
        <v>39</v>
      </c>
      <c r="N2">
        <v>94</v>
      </c>
      <c r="O2">
        <v>3</v>
      </c>
      <c r="P2">
        <v>2</v>
      </c>
      <c r="Q2" t="s">
        <v>40</v>
      </c>
      <c r="R2">
        <v>4</v>
      </c>
      <c r="S2" t="s">
        <v>41</v>
      </c>
      <c r="T2">
        <v>5993</v>
      </c>
      <c r="U2">
        <v>19479</v>
      </c>
      <c r="V2">
        <v>8</v>
      </c>
      <c r="W2" t="s">
        <v>42</v>
      </c>
      <c r="X2" t="s">
        <v>35</v>
      </c>
      <c r="Y2">
        <v>11</v>
      </c>
      <c r="Z2">
        <v>3</v>
      </c>
      <c r="AA2">
        <v>1</v>
      </c>
      <c r="AB2">
        <v>80</v>
      </c>
      <c r="AC2">
        <v>0</v>
      </c>
      <c r="AD2">
        <v>8</v>
      </c>
      <c r="AE2">
        <v>0</v>
      </c>
      <c r="AF2">
        <v>1</v>
      </c>
      <c r="AG2">
        <v>6</v>
      </c>
      <c r="AH2">
        <v>4</v>
      </c>
      <c r="AI2">
        <v>0</v>
      </c>
      <c r="AJ2">
        <v>5</v>
      </c>
    </row>
    <row r="3" spans="1:36" x14ac:dyDescent="0.3">
      <c r="A3">
        <v>49</v>
      </c>
      <c r="B3" t="s">
        <v>43</v>
      </c>
      <c r="C3" s="6">
        <f t="shared" ref="C3:C66" si="0">IF(B3="Yes",1,0)</f>
        <v>0</v>
      </c>
      <c r="D3" t="s">
        <v>44</v>
      </c>
      <c r="E3">
        <v>279</v>
      </c>
      <c r="F3" t="s">
        <v>45</v>
      </c>
      <c r="G3">
        <v>8</v>
      </c>
      <c r="H3">
        <v>1</v>
      </c>
      <c r="I3" t="s">
        <v>38</v>
      </c>
      <c r="J3">
        <v>1</v>
      </c>
      <c r="K3">
        <v>2</v>
      </c>
      <c r="L3">
        <v>3</v>
      </c>
      <c r="M3" t="s">
        <v>46</v>
      </c>
      <c r="N3">
        <v>61</v>
      </c>
      <c r="O3">
        <v>2</v>
      </c>
      <c r="P3">
        <v>2</v>
      </c>
      <c r="Q3" t="s">
        <v>47</v>
      </c>
      <c r="R3">
        <v>2</v>
      </c>
      <c r="S3" t="s">
        <v>48</v>
      </c>
      <c r="T3">
        <v>5130</v>
      </c>
      <c r="U3">
        <v>24907</v>
      </c>
      <c r="V3">
        <v>1</v>
      </c>
      <c r="W3" t="s">
        <v>42</v>
      </c>
      <c r="X3" t="s">
        <v>43</v>
      </c>
      <c r="Y3">
        <v>23</v>
      </c>
      <c r="Z3">
        <v>4</v>
      </c>
      <c r="AA3">
        <v>4</v>
      </c>
      <c r="AB3">
        <v>80</v>
      </c>
      <c r="AC3">
        <v>1</v>
      </c>
      <c r="AD3">
        <v>10</v>
      </c>
      <c r="AE3">
        <v>3</v>
      </c>
      <c r="AF3">
        <v>3</v>
      </c>
      <c r="AG3">
        <v>10</v>
      </c>
      <c r="AH3">
        <v>7</v>
      </c>
      <c r="AI3">
        <v>1</v>
      </c>
      <c r="AJ3">
        <v>7</v>
      </c>
    </row>
    <row r="4" spans="1:36" x14ac:dyDescent="0.3">
      <c r="A4">
        <v>37</v>
      </c>
      <c r="B4" t="s">
        <v>35</v>
      </c>
      <c r="C4" s="6">
        <f t="shared" si="0"/>
        <v>1</v>
      </c>
      <c r="D4" t="s">
        <v>36</v>
      </c>
      <c r="E4">
        <v>1373</v>
      </c>
      <c r="F4" t="s">
        <v>45</v>
      </c>
      <c r="G4">
        <v>2</v>
      </c>
      <c r="H4">
        <v>2</v>
      </c>
      <c r="I4" t="s">
        <v>49</v>
      </c>
      <c r="J4">
        <v>1</v>
      </c>
      <c r="K4">
        <v>4</v>
      </c>
      <c r="L4">
        <v>4</v>
      </c>
      <c r="M4" t="s">
        <v>46</v>
      </c>
      <c r="N4">
        <v>92</v>
      </c>
      <c r="O4">
        <v>2</v>
      </c>
      <c r="P4">
        <v>1</v>
      </c>
      <c r="Q4" t="s">
        <v>50</v>
      </c>
      <c r="R4">
        <v>3</v>
      </c>
      <c r="S4" t="s">
        <v>41</v>
      </c>
      <c r="T4">
        <v>2090</v>
      </c>
      <c r="U4">
        <v>2396</v>
      </c>
      <c r="V4">
        <v>6</v>
      </c>
      <c r="W4" t="s">
        <v>42</v>
      </c>
      <c r="X4" t="s">
        <v>35</v>
      </c>
      <c r="Y4">
        <v>15</v>
      </c>
      <c r="Z4">
        <v>3</v>
      </c>
      <c r="AA4">
        <v>2</v>
      </c>
      <c r="AB4">
        <v>80</v>
      </c>
      <c r="AC4">
        <v>0</v>
      </c>
      <c r="AD4">
        <v>7</v>
      </c>
      <c r="AE4">
        <v>3</v>
      </c>
      <c r="AF4">
        <v>3</v>
      </c>
      <c r="AG4">
        <v>0</v>
      </c>
      <c r="AH4">
        <v>0</v>
      </c>
      <c r="AI4">
        <v>0</v>
      </c>
      <c r="AJ4">
        <v>0</v>
      </c>
    </row>
    <row r="5" spans="1:36" x14ac:dyDescent="0.3">
      <c r="A5">
        <v>33</v>
      </c>
      <c r="B5" t="s">
        <v>43</v>
      </c>
      <c r="C5" s="6">
        <f t="shared" si="0"/>
        <v>0</v>
      </c>
      <c r="D5" t="s">
        <v>44</v>
      </c>
      <c r="E5">
        <v>1392</v>
      </c>
      <c r="F5" t="s">
        <v>45</v>
      </c>
      <c r="G5">
        <v>3</v>
      </c>
      <c r="H5">
        <v>4</v>
      </c>
      <c r="I5" t="s">
        <v>38</v>
      </c>
      <c r="J5">
        <v>1</v>
      </c>
      <c r="K5">
        <v>5</v>
      </c>
      <c r="L5">
        <v>4</v>
      </c>
      <c r="M5" t="s">
        <v>39</v>
      </c>
      <c r="N5">
        <v>56</v>
      </c>
      <c r="O5">
        <v>3</v>
      </c>
      <c r="P5">
        <v>1</v>
      </c>
      <c r="Q5" t="s">
        <v>47</v>
      </c>
      <c r="R5">
        <v>3</v>
      </c>
      <c r="S5" t="s">
        <v>48</v>
      </c>
      <c r="T5">
        <v>2909</v>
      </c>
      <c r="U5">
        <v>23159</v>
      </c>
      <c r="V5">
        <v>1</v>
      </c>
      <c r="W5" t="s">
        <v>42</v>
      </c>
      <c r="X5" t="s">
        <v>35</v>
      </c>
      <c r="Y5">
        <v>11</v>
      </c>
      <c r="Z5">
        <v>3</v>
      </c>
      <c r="AA5">
        <v>3</v>
      </c>
      <c r="AB5">
        <v>80</v>
      </c>
      <c r="AC5">
        <v>0</v>
      </c>
      <c r="AD5">
        <v>8</v>
      </c>
      <c r="AE5">
        <v>3</v>
      </c>
      <c r="AF5">
        <v>3</v>
      </c>
      <c r="AG5">
        <v>8</v>
      </c>
      <c r="AH5">
        <v>7</v>
      </c>
      <c r="AI5">
        <v>3</v>
      </c>
      <c r="AJ5">
        <v>0</v>
      </c>
    </row>
    <row r="6" spans="1:36" x14ac:dyDescent="0.3">
      <c r="A6">
        <v>27</v>
      </c>
      <c r="B6" t="s">
        <v>43</v>
      </c>
      <c r="C6" s="6">
        <f t="shared" si="0"/>
        <v>0</v>
      </c>
      <c r="D6" t="s">
        <v>36</v>
      </c>
      <c r="E6">
        <v>591</v>
      </c>
      <c r="F6" t="s">
        <v>45</v>
      </c>
      <c r="G6">
        <v>2</v>
      </c>
      <c r="H6">
        <v>1</v>
      </c>
      <c r="I6" t="s">
        <v>51</v>
      </c>
      <c r="J6">
        <v>1</v>
      </c>
      <c r="K6">
        <v>7</v>
      </c>
      <c r="L6">
        <v>1</v>
      </c>
      <c r="M6" t="s">
        <v>46</v>
      </c>
      <c r="N6">
        <v>40</v>
      </c>
      <c r="O6">
        <v>3</v>
      </c>
      <c r="P6">
        <v>1</v>
      </c>
      <c r="Q6" t="s">
        <v>50</v>
      </c>
      <c r="R6">
        <v>2</v>
      </c>
      <c r="S6" t="s">
        <v>48</v>
      </c>
      <c r="T6">
        <v>3468</v>
      </c>
      <c r="U6">
        <v>16632</v>
      </c>
      <c r="V6">
        <v>9</v>
      </c>
      <c r="W6" t="s">
        <v>42</v>
      </c>
      <c r="X6" t="s">
        <v>43</v>
      </c>
      <c r="Y6">
        <v>12</v>
      </c>
      <c r="Z6">
        <v>3</v>
      </c>
      <c r="AA6">
        <v>4</v>
      </c>
      <c r="AB6">
        <v>80</v>
      </c>
      <c r="AC6">
        <v>1</v>
      </c>
      <c r="AD6">
        <v>6</v>
      </c>
      <c r="AE6">
        <v>3</v>
      </c>
      <c r="AF6">
        <v>3</v>
      </c>
      <c r="AG6">
        <v>2</v>
      </c>
      <c r="AH6">
        <v>2</v>
      </c>
      <c r="AI6">
        <v>2</v>
      </c>
      <c r="AJ6">
        <v>2</v>
      </c>
    </row>
    <row r="7" spans="1:36" x14ac:dyDescent="0.3">
      <c r="A7">
        <v>32</v>
      </c>
      <c r="B7" t="s">
        <v>43</v>
      </c>
      <c r="C7" s="6">
        <f t="shared" si="0"/>
        <v>0</v>
      </c>
      <c r="D7" t="s">
        <v>44</v>
      </c>
      <c r="E7">
        <v>1005</v>
      </c>
      <c r="F7" t="s">
        <v>45</v>
      </c>
      <c r="G7">
        <v>2</v>
      </c>
      <c r="H7">
        <v>2</v>
      </c>
      <c r="I7" t="s">
        <v>38</v>
      </c>
      <c r="J7">
        <v>1</v>
      </c>
      <c r="K7">
        <v>8</v>
      </c>
      <c r="L7">
        <v>4</v>
      </c>
      <c r="M7" t="s">
        <v>46</v>
      </c>
      <c r="N7">
        <v>79</v>
      </c>
      <c r="O7">
        <v>3</v>
      </c>
      <c r="P7">
        <v>1</v>
      </c>
      <c r="Q7" t="s">
        <v>50</v>
      </c>
      <c r="R7">
        <v>4</v>
      </c>
      <c r="S7" t="s">
        <v>41</v>
      </c>
      <c r="T7">
        <v>3068</v>
      </c>
      <c r="U7">
        <v>11864</v>
      </c>
      <c r="V7">
        <v>0</v>
      </c>
      <c r="W7" t="s">
        <v>42</v>
      </c>
      <c r="X7" t="s">
        <v>43</v>
      </c>
      <c r="Y7">
        <v>13</v>
      </c>
      <c r="Z7">
        <v>3</v>
      </c>
      <c r="AA7">
        <v>3</v>
      </c>
      <c r="AB7">
        <v>80</v>
      </c>
      <c r="AC7">
        <v>0</v>
      </c>
      <c r="AD7">
        <v>8</v>
      </c>
      <c r="AE7">
        <v>2</v>
      </c>
      <c r="AF7">
        <v>2</v>
      </c>
      <c r="AG7">
        <v>7</v>
      </c>
      <c r="AH7">
        <v>7</v>
      </c>
      <c r="AI7">
        <v>3</v>
      </c>
      <c r="AJ7">
        <v>6</v>
      </c>
    </row>
    <row r="8" spans="1:36" x14ac:dyDescent="0.3">
      <c r="A8">
        <v>59</v>
      </c>
      <c r="B8" t="s">
        <v>43</v>
      </c>
      <c r="C8" s="6">
        <f t="shared" si="0"/>
        <v>0</v>
      </c>
      <c r="D8" t="s">
        <v>36</v>
      </c>
      <c r="E8">
        <v>1324</v>
      </c>
      <c r="F8" t="s">
        <v>45</v>
      </c>
      <c r="G8">
        <v>3</v>
      </c>
      <c r="H8">
        <v>3</v>
      </c>
      <c r="I8" t="s">
        <v>51</v>
      </c>
      <c r="J8">
        <v>1</v>
      </c>
      <c r="K8">
        <v>10</v>
      </c>
      <c r="L8">
        <v>3</v>
      </c>
      <c r="M8" t="s">
        <v>39</v>
      </c>
      <c r="N8">
        <v>81</v>
      </c>
      <c r="O8">
        <v>4</v>
      </c>
      <c r="P8">
        <v>1</v>
      </c>
      <c r="Q8" t="s">
        <v>50</v>
      </c>
      <c r="R8">
        <v>1</v>
      </c>
      <c r="S8" t="s">
        <v>48</v>
      </c>
      <c r="T8">
        <v>2670</v>
      </c>
      <c r="U8">
        <v>9964</v>
      </c>
      <c r="V8">
        <v>4</v>
      </c>
      <c r="W8" t="s">
        <v>42</v>
      </c>
      <c r="X8" t="s">
        <v>35</v>
      </c>
      <c r="Y8">
        <v>20</v>
      </c>
      <c r="Z8">
        <v>4</v>
      </c>
      <c r="AA8">
        <v>1</v>
      </c>
      <c r="AB8">
        <v>80</v>
      </c>
      <c r="AC8">
        <v>3</v>
      </c>
      <c r="AD8">
        <v>12</v>
      </c>
      <c r="AE8">
        <v>3</v>
      </c>
      <c r="AF8">
        <v>2</v>
      </c>
      <c r="AG8">
        <v>1</v>
      </c>
      <c r="AH8">
        <v>0</v>
      </c>
      <c r="AI8">
        <v>0</v>
      </c>
      <c r="AJ8">
        <v>0</v>
      </c>
    </row>
    <row r="9" spans="1:36" x14ac:dyDescent="0.3">
      <c r="A9">
        <v>30</v>
      </c>
      <c r="B9" t="s">
        <v>43</v>
      </c>
      <c r="C9" s="6">
        <f t="shared" si="0"/>
        <v>0</v>
      </c>
      <c r="D9" t="s">
        <v>36</v>
      </c>
      <c r="E9">
        <v>1358</v>
      </c>
      <c r="F9" t="s">
        <v>45</v>
      </c>
      <c r="G9">
        <v>24</v>
      </c>
      <c r="H9">
        <v>1</v>
      </c>
      <c r="I9" t="s">
        <v>38</v>
      </c>
      <c r="J9">
        <v>1</v>
      </c>
      <c r="K9">
        <v>11</v>
      </c>
      <c r="L9">
        <v>4</v>
      </c>
      <c r="M9" t="s">
        <v>46</v>
      </c>
      <c r="N9">
        <v>67</v>
      </c>
      <c r="O9">
        <v>3</v>
      </c>
      <c r="P9">
        <v>1</v>
      </c>
      <c r="Q9" t="s">
        <v>50</v>
      </c>
      <c r="R9">
        <v>3</v>
      </c>
      <c r="S9" t="s">
        <v>52</v>
      </c>
      <c r="T9">
        <v>2693</v>
      </c>
      <c r="U9">
        <v>13335</v>
      </c>
      <c r="V9">
        <v>1</v>
      </c>
      <c r="W9" t="s">
        <v>42</v>
      </c>
      <c r="X9" t="s">
        <v>43</v>
      </c>
      <c r="Y9">
        <v>22</v>
      </c>
      <c r="Z9">
        <v>4</v>
      </c>
      <c r="AA9">
        <v>2</v>
      </c>
      <c r="AB9">
        <v>80</v>
      </c>
      <c r="AC9">
        <v>1</v>
      </c>
      <c r="AD9">
        <v>1</v>
      </c>
      <c r="AE9">
        <v>2</v>
      </c>
      <c r="AF9">
        <v>3</v>
      </c>
      <c r="AG9">
        <v>1</v>
      </c>
      <c r="AH9">
        <v>0</v>
      </c>
      <c r="AI9">
        <v>0</v>
      </c>
      <c r="AJ9">
        <v>0</v>
      </c>
    </row>
    <row r="10" spans="1:36" x14ac:dyDescent="0.3">
      <c r="A10">
        <v>38</v>
      </c>
      <c r="B10" t="s">
        <v>43</v>
      </c>
      <c r="C10" s="6">
        <f t="shared" si="0"/>
        <v>0</v>
      </c>
      <c r="D10" t="s">
        <v>44</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t="s">
        <v>43</v>
      </c>
      <c r="Y10">
        <v>21</v>
      </c>
      <c r="Z10">
        <v>4</v>
      </c>
      <c r="AA10">
        <v>2</v>
      </c>
      <c r="AB10">
        <v>80</v>
      </c>
      <c r="AC10">
        <v>0</v>
      </c>
      <c r="AD10">
        <v>10</v>
      </c>
      <c r="AE10">
        <v>2</v>
      </c>
      <c r="AF10">
        <v>3</v>
      </c>
      <c r="AG10">
        <v>9</v>
      </c>
      <c r="AH10">
        <v>7</v>
      </c>
      <c r="AI10">
        <v>1</v>
      </c>
      <c r="AJ10">
        <v>8</v>
      </c>
    </row>
    <row r="11" spans="1:36" x14ac:dyDescent="0.3">
      <c r="A11">
        <v>36</v>
      </c>
      <c r="B11" t="s">
        <v>43</v>
      </c>
      <c r="C11" s="6">
        <f t="shared" si="0"/>
        <v>0</v>
      </c>
      <c r="D11" t="s">
        <v>36</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t="s">
        <v>43</v>
      </c>
      <c r="Y11">
        <v>13</v>
      </c>
      <c r="Z11">
        <v>3</v>
      </c>
      <c r="AA11">
        <v>2</v>
      </c>
      <c r="AB11">
        <v>80</v>
      </c>
      <c r="AC11">
        <v>2</v>
      </c>
      <c r="AD11">
        <v>17</v>
      </c>
      <c r="AE11">
        <v>3</v>
      </c>
      <c r="AF11">
        <v>2</v>
      </c>
      <c r="AG11">
        <v>7</v>
      </c>
      <c r="AH11">
        <v>7</v>
      </c>
      <c r="AI11">
        <v>7</v>
      </c>
      <c r="AJ11">
        <v>7</v>
      </c>
    </row>
    <row r="12" spans="1:36" x14ac:dyDescent="0.3">
      <c r="A12">
        <v>35</v>
      </c>
      <c r="B12" t="s">
        <v>43</v>
      </c>
      <c r="C12" s="6">
        <f t="shared" si="0"/>
        <v>0</v>
      </c>
      <c r="D12" t="s">
        <v>36</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t="s">
        <v>43</v>
      </c>
      <c r="Y12">
        <v>13</v>
      </c>
      <c r="Z12">
        <v>3</v>
      </c>
      <c r="AA12">
        <v>3</v>
      </c>
      <c r="AB12">
        <v>80</v>
      </c>
      <c r="AC12">
        <v>1</v>
      </c>
      <c r="AD12">
        <v>6</v>
      </c>
      <c r="AE12">
        <v>5</v>
      </c>
      <c r="AF12">
        <v>3</v>
      </c>
      <c r="AG12">
        <v>5</v>
      </c>
      <c r="AH12">
        <v>4</v>
      </c>
      <c r="AI12">
        <v>0</v>
      </c>
      <c r="AJ12">
        <v>3</v>
      </c>
    </row>
    <row r="13" spans="1:36" x14ac:dyDescent="0.3">
      <c r="A13">
        <v>29</v>
      </c>
      <c r="B13" t="s">
        <v>43</v>
      </c>
      <c r="C13" s="6">
        <f t="shared" si="0"/>
        <v>0</v>
      </c>
      <c r="D13" t="s">
        <v>36</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t="s">
        <v>35</v>
      </c>
      <c r="Y13">
        <v>12</v>
      </c>
      <c r="Z13">
        <v>3</v>
      </c>
      <c r="AA13">
        <v>4</v>
      </c>
      <c r="AB13">
        <v>80</v>
      </c>
      <c r="AC13">
        <v>0</v>
      </c>
      <c r="AD13">
        <v>10</v>
      </c>
      <c r="AE13">
        <v>3</v>
      </c>
      <c r="AF13">
        <v>3</v>
      </c>
      <c r="AG13">
        <v>9</v>
      </c>
      <c r="AH13">
        <v>5</v>
      </c>
      <c r="AI13">
        <v>0</v>
      </c>
      <c r="AJ13">
        <v>8</v>
      </c>
    </row>
    <row r="14" spans="1:36" x14ac:dyDescent="0.3">
      <c r="A14">
        <v>31</v>
      </c>
      <c r="B14" t="s">
        <v>43</v>
      </c>
      <c r="C14" s="6">
        <f t="shared" si="0"/>
        <v>0</v>
      </c>
      <c r="D14" t="s">
        <v>36</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t="s">
        <v>43</v>
      </c>
      <c r="Y14">
        <v>17</v>
      </c>
      <c r="Z14">
        <v>3</v>
      </c>
      <c r="AA14">
        <v>4</v>
      </c>
      <c r="AB14">
        <v>80</v>
      </c>
      <c r="AC14">
        <v>1</v>
      </c>
      <c r="AD14">
        <v>5</v>
      </c>
      <c r="AE14">
        <v>1</v>
      </c>
      <c r="AF14">
        <v>2</v>
      </c>
      <c r="AG14">
        <v>5</v>
      </c>
      <c r="AH14">
        <v>2</v>
      </c>
      <c r="AI14">
        <v>4</v>
      </c>
      <c r="AJ14">
        <v>3</v>
      </c>
    </row>
    <row r="15" spans="1:36" x14ac:dyDescent="0.3">
      <c r="A15">
        <v>34</v>
      </c>
      <c r="B15" t="s">
        <v>43</v>
      </c>
      <c r="C15" s="6">
        <f t="shared" si="0"/>
        <v>0</v>
      </c>
      <c r="D15" t="s">
        <v>36</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t="s">
        <v>43</v>
      </c>
      <c r="Y15">
        <v>11</v>
      </c>
      <c r="Z15">
        <v>3</v>
      </c>
      <c r="AA15">
        <v>3</v>
      </c>
      <c r="AB15">
        <v>80</v>
      </c>
      <c r="AC15">
        <v>1</v>
      </c>
      <c r="AD15">
        <v>3</v>
      </c>
      <c r="AE15">
        <v>2</v>
      </c>
      <c r="AF15">
        <v>3</v>
      </c>
      <c r="AG15">
        <v>2</v>
      </c>
      <c r="AH15">
        <v>2</v>
      </c>
      <c r="AI15">
        <v>1</v>
      </c>
      <c r="AJ15">
        <v>2</v>
      </c>
    </row>
    <row r="16" spans="1:36" x14ac:dyDescent="0.3">
      <c r="A16">
        <v>28</v>
      </c>
      <c r="B16" t="s">
        <v>35</v>
      </c>
      <c r="C16" s="6">
        <f t="shared" si="0"/>
        <v>1</v>
      </c>
      <c r="D16" t="s">
        <v>36</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t="s">
        <v>35</v>
      </c>
      <c r="Y16">
        <v>14</v>
      </c>
      <c r="Z16">
        <v>3</v>
      </c>
      <c r="AA16">
        <v>2</v>
      </c>
      <c r="AB16">
        <v>80</v>
      </c>
      <c r="AC16">
        <v>0</v>
      </c>
      <c r="AD16">
        <v>6</v>
      </c>
      <c r="AE16">
        <v>4</v>
      </c>
      <c r="AF16">
        <v>3</v>
      </c>
      <c r="AG16">
        <v>4</v>
      </c>
      <c r="AH16">
        <v>2</v>
      </c>
      <c r="AI16">
        <v>0</v>
      </c>
      <c r="AJ16">
        <v>3</v>
      </c>
    </row>
    <row r="17" spans="1:36" x14ac:dyDescent="0.3">
      <c r="A17">
        <v>29</v>
      </c>
      <c r="B17" t="s">
        <v>43</v>
      </c>
      <c r="C17" s="6">
        <f t="shared" si="0"/>
        <v>0</v>
      </c>
      <c r="D17" t="s">
        <v>36</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t="s">
        <v>43</v>
      </c>
      <c r="Y17">
        <v>11</v>
      </c>
      <c r="Z17">
        <v>3</v>
      </c>
      <c r="AA17">
        <v>3</v>
      </c>
      <c r="AB17">
        <v>80</v>
      </c>
      <c r="AC17">
        <v>1</v>
      </c>
      <c r="AD17">
        <v>10</v>
      </c>
      <c r="AE17">
        <v>1</v>
      </c>
      <c r="AF17">
        <v>3</v>
      </c>
      <c r="AG17">
        <v>10</v>
      </c>
      <c r="AH17">
        <v>9</v>
      </c>
      <c r="AI17">
        <v>8</v>
      </c>
      <c r="AJ17">
        <v>8</v>
      </c>
    </row>
    <row r="18" spans="1:36" x14ac:dyDescent="0.3">
      <c r="A18">
        <v>32</v>
      </c>
      <c r="B18" t="s">
        <v>43</v>
      </c>
      <c r="C18" s="6">
        <f t="shared" si="0"/>
        <v>0</v>
      </c>
      <c r="D18" t="s">
        <v>36</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t="s">
        <v>35</v>
      </c>
      <c r="Y18">
        <v>12</v>
      </c>
      <c r="Z18">
        <v>3</v>
      </c>
      <c r="AA18">
        <v>4</v>
      </c>
      <c r="AB18">
        <v>80</v>
      </c>
      <c r="AC18">
        <v>2</v>
      </c>
      <c r="AD18">
        <v>7</v>
      </c>
      <c r="AE18">
        <v>5</v>
      </c>
      <c r="AF18">
        <v>2</v>
      </c>
      <c r="AG18">
        <v>6</v>
      </c>
      <c r="AH18">
        <v>2</v>
      </c>
      <c r="AI18">
        <v>0</v>
      </c>
      <c r="AJ18">
        <v>5</v>
      </c>
    </row>
    <row r="19" spans="1:36" x14ac:dyDescent="0.3">
      <c r="A19">
        <v>22</v>
      </c>
      <c r="B19" t="s">
        <v>43</v>
      </c>
      <c r="C19" s="6">
        <f t="shared" si="0"/>
        <v>0</v>
      </c>
      <c r="D19" t="s">
        <v>55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t="s">
        <v>35</v>
      </c>
      <c r="Y19">
        <v>13</v>
      </c>
      <c r="Z19">
        <v>3</v>
      </c>
      <c r="AA19">
        <v>2</v>
      </c>
      <c r="AB19">
        <v>80</v>
      </c>
      <c r="AC19">
        <v>2</v>
      </c>
      <c r="AD19">
        <v>1</v>
      </c>
      <c r="AE19">
        <v>2</v>
      </c>
      <c r="AF19">
        <v>2</v>
      </c>
      <c r="AG19">
        <v>1</v>
      </c>
      <c r="AH19">
        <v>0</v>
      </c>
      <c r="AI19">
        <v>0</v>
      </c>
      <c r="AJ19">
        <v>0</v>
      </c>
    </row>
    <row r="20" spans="1:36" x14ac:dyDescent="0.3">
      <c r="A20">
        <v>53</v>
      </c>
      <c r="B20" t="s">
        <v>43</v>
      </c>
      <c r="C20" s="6">
        <f t="shared" si="0"/>
        <v>0</v>
      </c>
      <c r="D20" t="s">
        <v>36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t="s">
        <v>43</v>
      </c>
      <c r="Y20">
        <v>16</v>
      </c>
      <c r="Z20">
        <v>3</v>
      </c>
      <c r="AA20">
        <v>3</v>
      </c>
      <c r="AB20">
        <v>80</v>
      </c>
      <c r="AC20">
        <v>0</v>
      </c>
      <c r="AD20">
        <v>31</v>
      </c>
      <c r="AE20">
        <v>3</v>
      </c>
      <c r="AF20">
        <v>3</v>
      </c>
      <c r="AG20">
        <v>25</v>
      </c>
      <c r="AH20">
        <v>8</v>
      </c>
      <c r="AI20">
        <v>3</v>
      </c>
      <c r="AJ20">
        <v>7</v>
      </c>
    </row>
    <row r="21" spans="1:36" x14ac:dyDescent="0.3">
      <c r="A21">
        <v>38</v>
      </c>
      <c r="B21" t="s">
        <v>43</v>
      </c>
      <c r="C21" s="6">
        <f t="shared" si="0"/>
        <v>0</v>
      </c>
      <c r="D21" t="s">
        <v>36</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t="s">
        <v>35</v>
      </c>
      <c r="Y21">
        <v>11</v>
      </c>
      <c r="Z21">
        <v>3</v>
      </c>
      <c r="AA21">
        <v>3</v>
      </c>
      <c r="AB21">
        <v>80</v>
      </c>
      <c r="AC21">
        <v>0</v>
      </c>
      <c r="AD21">
        <v>6</v>
      </c>
      <c r="AE21">
        <v>3</v>
      </c>
      <c r="AF21">
        <v>3</v>
      </c>
      <c r="AG21">
        <v>3</v>
      </c>
      <c r="AH21">
        <v>2</v>
      </c>
      <c r="AI21">
        <v>1</v>
      </c>
      <c r="AJ21">
        <v>2</v>
      </c>
    </row>
    <row r="22" spans="1:36" x14ac:dyDescent="0.3">
      <c r="A22">
        <v>24</v>
      </c>
      <c r="B22" t="s">
        <v>43</v>
      </c>
      <c r="C22" s="6">
        <f t="shared" si="0"/>
        <v>0</v>
      </c>
      <c r="D22" t="s">
        <v>55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t="s">
        <v>43</v>
      </c>
      <c r="Y22">
        <v>18</v>
      </c>
      <c r="Z22">
        <v>3</v>
      </c>
      <c r="AA22">
        <v>4</v>
      </c>
      <c r="AB22">
        <v>80</v>
      </c>
      <c r="AC22">
        <v>1</v>
      </c>
      <c r="AD22">
        <v>5</v>
      </c>
      <c r="AE22">
        <v>5</v>
      </c>
      <c r="AF22">
        <v>2</v>
      </c>
      <c r="AG22">
        <v>4</v>
      </c>
      <c r="AH22">
        <v>2</v>
      </c>
      <c r="AI22">
        <v>1</v>
      </c>
      <c r="AJ22">
        <v>3</v>
      </c>
    </row>
    <row r="23" spans="1:36" x14ac:dyDescent="0.3">
      <c r="A23">
        <v>36</v>
      </c>
      <c r="B23" t="s">
        <v>35</v>
      </c>
      <c r="C23" s="6">
        <f t="shared" si="0"/>
        <v>1</v>
      </c>
      <c r="D23" t="s">
        <v>36</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t="s">
        <v>43</v>
      </c>
      <c r="Y23">
        <v>23</v>
      </c>
      <c r="Z23">
        <v>4</v>
      </c>
      <c r="AA23">
        <v>2</v>
      </c>
      <c r="AB23">
        <v>80</v>
      </c>
      <c r="AC23">
        <v>0</v>
      </c>
      <c r="AD23">
        <v>10</v>
      </c>
      <c r="AE23">
        <v>4</v>
      </c>
      <c r="AF23">
        <v>3</v>
      </c>
      <c r="AG23">
        <v>5</v>
      </c>
      <c r="AH23">
        <v>3</v>
      </c>
      <c r="AI23">
        <v>0</v>
      </c>
      <c r="AJ23">
        <v>3</v>
      </c>
    </row>
    <row r="24" spans="1:36" x14ac:dyDescent="0.3">
      <c r="A24">
        <v>34</v>
      </c>
      <c r="B24" t="s">
        <v>43</v>
      </c>
      <c r="C24" s="6">
        <f t="shared" si="0"/>
        <v>0</v>
      </c>
      <c r="D24" t="s">
        <v>36</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t="s">
        <v>43</v>
      </c>
      <c r="Y24">
        <v>11</v>
      </c>
      <c r="Z24">
        <v>3</v>
      </c>
      <c r="AA24">
        <v>3</v>
      </c>
      <c r="AB24">
        <v>80</v>
      </c>
      <c r="AC24">
        <v>0</v>
      </c>
      <c r="AD24">
        <v>13</v>
      </c>
      <c r="AE24">
        <v>4</v>
      </c>
      <c r="AF24">
        <v>3</v>
      </c>
      <c r="AG24">
        <v>12</v>
      </c>
      <c r="AH24">
        <v>6</v>
      </c>
      <c r="AI24">
        <v>2</v>
      </c>
      <c r="AJ24">
        <v>11</v>
      </c>
    </row>
    <row r="25" spans="1:36" x14ac:dyDescent="0.3">
      <c r="A25">
        <v>21</v>
      </c>
      <c r="B25" t="s">
        <v>43</v>
      </c>
      <c r="C25" s="6">
        <f t="shared" si="0"/>
        <v>0</v>
      </c>
      <c r="D25" t="s">
        <v>36</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t="s">
        <v>43</v>
      </c>
      <c r="Y25">
        <v>14</v>
      </c>
      <c r="Z25">
        <v>3</v>
      </c>
      <c r="AA25">
        <v>4</v>
      </c>
      <c r="AB25">
        <v>80</v>
      </c>
      <c r="AC25">
        <v>0</v>
      </c>
      <c r="AD25">
        <v>0</v>
      </c>
      <c r="AE25">
        <v>6</v>
      </c>
      <c r="AF25">
        <v>3</v>
      </c>
      <c r="AG25">
        <v>0</v>
      </c>
      <c r="AH25">
        <v>0</v>
      </c>
      <c r="AI25">
        <v>0</v>
      </c>
      <c r="AJ25">
        <v>0</v>
      </c>
    </row>
    <row r="26" spans="1:36" x14ac:dyDescent="0.3">
      <c r="A26">
        <v>34</v>
      </c>
      <c r="B26" t="s">
        <v>35</v>
      </c>
      <c r="C26" s="6">
        <f t="shared" si="0"/>
        <v>1</v>
      </c>
      <c r="D26" t="s">
        <v>36</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t="s">
        <v>43</v>
      </c>
      <c r="Y26">
        <v>11</v>
      </c>
      <c r="Z26">
        <v>3</v>
      </c>
      <c r="AA26">
        <v>3</v>
      </c>
      <c r="AB26">
        <v>80</v>
      </c>
      <c r="AC26">
        <v>0</v>
      </c>
      <c r="AD26">
        <v>8</v>
      </c>
      <c r="AE26">
        <v>2</v>
      </c>
      <c r="AF26">
        <v>3</v>
      </c>
      <c r="AG26">
        <v>4</v>
      </c>
      <c r="AH26">
        <v>2</v>
      </c>
      <c r="AI26">
        <v>1</v>
      </c>
      <c r="AJ26">
        <v>3</v>
      </c>
    </row>
    <row r="27" spans="1:36" x14ac:dyDescent="0.3">
      <c r="A27">
        <v>53</v>
      </c>
      <c r="B27" t="s">
        <v>43</v>
      </c>
      <c r="C27" s="6">
        <f t="shared" si="0"/>
        <v>0</v>
      </c>
      <c r="D27" t="s">
        <v>36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t="s">
        <v>43</v>
      </c>
      <c r="Y27">
        <v>11</v>
      </c>
      <c r="Z27">
        <v>3</v>
      </c>
      <c r="AA27">
        <v>4</v>
      </c>
      <c r="AB27">
        <v>80</v>
      </c>
      <c r="AC27">
        <v>1</v>
      </c>
      <c r="AD27">
        <v>26</v>
      </c>
      <c r="AE27">
        <v>3</v>
      </c>
      <c r="AF27">
        <v>2</v>
      </c>
      <c r="AG27">
        <v>14</v>
      </c>
      <c r="AH27">
        <v>13</v>
      </c>
      <c r="AI27">
        <v>4</v>
      </c>
      <c r="AJ27">
        <v>8</v>
      </c>
    </row>
    <row r="28" spans="1:36" x14ac:dyDescent="0.3">
      <c r="A28">
        <v>32</v>
      </c>
      <c r="B28" t="s">
        <v>35</v>
      </c>
      <c r="C28" s="6">
        <f t="shared" si="0"/>
        <v>1</v>
      </c>
      <c r="D28" t="s">
        <v>44</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t="s">
        <v>35</v>
      </c>
      <c r="Y28">
        <v>22</v>
      </c>
      <c r="Z28">
        <v>4</v>
      </c>
      <c r="AA28">
        <v>2</v>
      </c>
      <c r="AB28">
        <v>80</v>
      </c>
      <c r="AC28">
        <v>0</v>
      </c>
      <c r="AD28">
        <v>10</v>
      </c>
      <c r="AE28">
        <v>5</v>
      </c>
      <c r="AF28">
        <v>3</v>
      </c>
      <c r="AG28">
        <v>10</v>
      </c>
      <c r="AH28">
        <v>2</v>
      </c>
      <c r="AI28">
        <v>6</v>
      </c>
      <c r="AJ28">
        <v>7</v>
      </c>
    </row>
    <row r="29" spans="1:36" x14ac:dyDescent="0.3">
      <c r="A29">
        <v>42</v>
      </c>
      <c r="B29" t="s">
        <v>43</v>
      </c>
      <c r="C29" s="6">
        <f t="shared" si="0"/>
        <v>0</v>
      </c>
      <c r="D29" t="s">
        <v>36</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t="s">
        <v>43</v>
      </c>
      <c r="Y29">
        <v>11</v>
      </c>
      <c r="Z29">
        <v>3</v>
      </c>
      <c r="AA29">
        <v>4</v>
      </c>
      <c r="AB29">
        <v>80</v>
      </c>
      <c r="AC29">
        <v>1</v>
      </c>
      <c r="AD29">
        <v>10</v>
      </c>
      <c r="AE29">
        <v>2</v>
      </c>
      <c r="AF29">
        <v>3</v>
      </c>
      <c r="AG29">
        <v>9</v>
      </c>
      <c r="AH29">
        <v>7</v>
      </c>
      <c r="AI29">
        <v>4</v>
      </c>
      <c r="AJ29">
        <v>2</v>
      </c>
    </row>
    <row r="30" spans="1:36" x14ac:dyDescent="0.3">
      <c r="A30">
        <v>44</v>
      </c>
      <c r="B30" t="s">
        <v>43</v>
      </c>
      <c r="C30" s="6">
        <f t="shared" si="0"/>
        <v>0</v>
      </c>
      <c r="D30" t="s">
        <v>36</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t="s">
        <v>43</v>
      </c>
      <c r="Y30">
        <v>14</v>
      </c>
      <c r="Z30">
        <v>3</v>
      </c>
      <c r="AA30">
        <v>4</v>
      </c>
      <c r="AB30">
        <v>80</v>
      </c>
      <c r="AC30">
        <v>1</v>
      </c>
      <c r="AD30">
        <v>24</v>
      </c>
      <c r="AE30">
        <v>4</v>
      </c>
      <c r="AF30">
        <v>3</v>
      </c>
      <c r="AG30">
        <v>22</v>
      </c>
      <c r="AH30">
        <v>6</v>
      </c>
      <c r="AI30">
        <v>5</v>
      </c>
      <c r="AJ30">
        <v>17</v>
      </c>
    </row>
    <row r="31" spans="1:36" x14ac:dyDescent="0.3">
      <c r="A31">
        <v>46</v>
      </c>
      <c r="B31" t="s">
        <v>43</v>
      </c>
      <c r="C31" s="6">
        <f t="shared" si="0"/>
        <v>0</v>
      </c>
      <c r="D31" t="s">
        <v>36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t="s">
        <v>43</v>
      </c>
      <c r="Y31">
        <v>12</v>
      </c>
      <c r="Z31">
        <v>3</v>
      </c>
      <c r="AA31">
        <v>4</v>
      </c>
      <c r="AB31">
        <v>80</v>
      </c>
      <c r="AC31">
        <v>0</v>
      </c>
      <c r="AD31">
        <v>22</v>
      </c>
      <c r="AE31">
        <v>2</v>
      </c>
      <c r="AF31">
        <v>2</v>
      </c>
      <c r="AG31">
        <v>2</v>
      </c>
      <c r="AH31">
        <v>2</v>
      </c>
      <c r="AI31">
        <v>2</v>
      </c>
      <c r="AJ31">
        <v>1</v>
      </c>
    </row>
    <row r="32" spans="1:36" x14ac:dyDescent="0.3">
      <c r="A32">
        <v>33</v>
      </c>
      <c r="B32" t="s">
        <v>43</v>
      </c>
      <c r="C32" s="6">
        <f t="shared" si="0"/>
        <v>0</v>
      </c>
      <c r="D32" t="s">
        <v>36</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t="s">
        <v>43</v>
      </c>
      <c r="Y32">
        <v>11</v>
      </c>
      <c r="Z32">
        <v>3</v>
      </c>
      <c r="AA32">
        <v>4</v>
      </c>
      <c r="AB32">
        <v>80</v>
      </c>
      <c r="AC32">
        <v>0</v>
      </c>
      <c r="AD32">
        <v>7</v>
      </c>
      <c r="AE32">
        <v>3</v>
      </c>
      <c r="AF32">
        <v>3</v>
      </c>
      <c r="AG32">
        <v>1</v>
      </c>
      <c r="AH32">
        <v>1</v>
      </c>
      <c r="AI32">
        <v>0</v>
      </c>
      <c r="AJ32">
        <v>0</v>
      </c>
    </row>
    <row r="33" spans="1:36" x14ac:dyDescent="0.3">
      <c r="A33">
        <v>44</v>
      </c>
      <c r="B33" t="s">
        <v>43</v>
      </c>
      <c r="C33" s="6">
        <f t="shared" si="0"/>
        <v>0</v>
      </c>
      <c r="D33" t="s">
        <v>36</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t="s">
        <v>35</v>
      </c>
      <c r="Y33">
        <v>13</v>
      </c>
      <c r="Z33">
        <v>3</v>
      </c>
      <c r="AA33">
        <v>4</v>
      </c>
      <c r="AB33">
        <v>80</v>
      </c>
      <c r="AC33">
        <v>0</v>
      </c>
      <c r="AD33">
        <v>9</v>
      </c>
      <c r="AE33">
        <v>5</v>
      </c>
      <c r="AF33">
        <v>4</v>
      </c>
      <c r="AG33">
        <v>4</v>
      </c>
      <c r="AH33">
        <v>2</v>
      </c>
      <c r="AI33">
        <v>1</v>
      </c>
      <c r="AJ33">
        <v>3</v>
      </c>
    </row>
    <row r="34" spans="1:36" x14ac:dyDescent="0.3">
      <c r="A34">
        <v>30</v>
      </c>
      <c r="B34" t="s">
        <v>43</v>
      </c>
      <c r="C34" s="6">
        <f t="shared" si="0"/>
        <v>0</v>
      </c>
      <c r="D34" t="s">
        <v>36</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t="s">
        <v>43</v>
      </c>
      <c r="Y34">
        <v>13</v>
      </c>
      <c r="Z34">
        <v>3</v>
      </c>
      <c r="AA34">
        <v>1</v>
      </c>
      <c r="AB34">
        <v>80</v>
      </c>
      <c r="AC34">
        <v>0</v>
      </c>
      <c r="AD34">
        <v>10</v>
      </c>
      <c r="AE34">
        <v>5</v>
      </c>
      <c r="AF34">
        <v>3</v>
      </c>
      <c r="AG34">
        <v>10</v>
      </c>
      <c r="AH34">
        <v>0</v>
      </c>
      <c r="AI34">
        <v>1</v>
      </c>
      <c r="AJ34">
        <v>8</v>
      </c>
    </row>
    <row r="35" spans="1:36" x14ac:dyDescent="0.3">
      <c r="A35">
        <v>39</v>
      </c>
      <c r="B35" t="s">
        <v>35</v>
      </c>
      <c r="C35" s="6">
        <f t="shared" si="0"/>
        <v>1</v>
      </c>
      <c r="D35" t="s">
        <v>36</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t="s">
        <v>43</v>
      </c>
      <c r="Y35">
        <v>14</v>
      </c>
      <c r="Z35">
        <v>3</v>
      </c>
      <c r="AA35">
        <v>3</v>
      </c>
      <c r="AB35">
        <v>80</v>
      </c>
      <c r="AC35">
        <v>1</v>
      </c>
      <c r="AD35">
        <v>19</v>
      </c>
      <c r="AE35">
        <v>6</v>
      </c>
      <c r="AF35">
        <v>4</v>
      </c>
      <c r="AG35">
        <v>1</v>
      </c>
      <c r="AH35">
        <v>0</v>
      </c>
      <c r="AI35">
        <v>0</v>
      </c>
      <c r="AJ35">
        <v>0</v>
      </c>
    </row>
    <row r="36" spans="1:36" x14ac:dyDescent="0.3">
      <c r="A36">
        <v>24</v>
      </c>
      <c r="B36" t="s">
        <v>35</v>
      </c>
      <c r="C36" s="6">
        <f t="shared" si="0"/>
        <v>1</v>
      </c>
      <c r="D36" t="s">
        <v>36</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t="s">
        <v>35</v>
      </c>
      <c r="Y36">
        <v>16</v>
      </c>
      <c r="Z36">
        <v>3</v>
      </c>
      <c r="AA36">
        <v>1</v>
      </c>
      <c r="AB36">
        <v>80</v>
      </c>
      <c r="AC36">
        <v>1</v>
      </c>
      <c r="AD36">
        <v>6</v>
      </c>
      <c r="AE36">
        <v>2</v>
      </c>
      <c r="AF36">
        <v>2</v>
      </c>
      <c r="AG36">
        <v>2</v>
      </c>
      <c r="AH36">
        <v>0</v>
      </c>
      <c r="AI36">
        <v>2</v>
      </c>
      <c r="AJ36">
        <v>0</v>
      </c>
    </row>
    <row r="37" spans="1:36" x14ac:dyDescent="0.3">
      <c r="A37">
        <v>43</v>
      </c>
      <c r="B37" t="s">
        <v>43</v>
      </c>
      <c r="C37" s="6">
        <f t="shared" si="0"/>
        <v>0</v>
      </c>
      <c r="D37" t="s">
        <v>36</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t="s">
        <v>43</v>
      </c>
      <c r="Y37">
        <v>12</v>
      </c>
      <c r="Z37">
        <v>3</v>
      </c>
      <c r="AA37">
        <v>4</v>
      </c>
      <c r="AB37">
        <v>80</v>
      </c>
      <c r="AC37">
        <v>2</v>
      </c>
      <c r="AD37">
        <v>6</v>
      </c>
      <c r="AE37">
        <v>3</v>
      </c>
      <c r="AF37">
        <v>2</v>
      </c>
      <c r="AG37">
        <v>5</v>
      </c>
      <c r="AH37">
        <v>3</v>
      </c>
      <c r="AI37">
        <v>1</v>
      </c>
      <c r="AJ37">
        <v>4</v>
      </c>
    </row>
    <row r="38" spans="1:36" x14ac:dyDescent="0.3">
      <c r="A38">
        <v>50</v>
      </c>
      <c r="B38" t="s">
        <v>35</v>
      </c>
      <c r="C38" s="6">
        <f t="shared" si="0"/>
        <v>1</v>
      </c>
      <c r="D38" t="s">
        <v>36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t="s">
        <v>35</v>
      </c>
      <c r="Y38">
        <v>14</v>
      </c>
      <c r="Z38">
        <v>3</v>
      </c>
      <c r="AA38">
        <v>3</v>
      </c>
      <c r="AB38">
        <v>80</v>
      </c>
      <c r="AC38">
        <v>0</v>
      </c>
      <c r="AD38">
        <v>3</v>
      </c>
      <c r="AE38">
        <v>2</v>
      </c>
      <c r="AF38">
        <v>3</v>
      </c>
      <c r="AG38">
        <v>3</v>
      </c>
      <c r="AH38">
        <v>2</v>
      </c>
      <c r="AI38">
        <v>0</v>
      </c>
      <c r="AJ38">
        <v>2</v>
      </c>
    </row>
    <row r="39" spans="1:36" x14ac:dyDescent="0.3">
      <c r="A39">
        <v>35</v>
      </c>
      <c r="B39" t="s">
        <v>43</v>
      </c>
      <c r="C39" s="6">
        <f t="shared" si="0"/>
        <v>0</v>
      </c>
      <c r="D39" t="s">
        <v>36</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t="s">
        <v>43</v>
      </c>
      <c r="Y39">
        <v>13</v>
      </c>
      <c r="Z39">
        <v>3</v>
      </c>
      <c r="AA39">
        <v>1</v>
      </c>
      <c r="AB39">
        <v>80</v>
      </c>
      <c r="AC39">
        <v>0</v>
      </c>
      <c r="AD39">
        <v>2</v>
      </c>
      <c r="AE39">
        <v>3</v>
      </c>
      <c r="AF39">
        <v>3</v>
      </c>
      <c r="AG39">
        <v>2</v>
      </c>
      <c r="AH39">
        <v>2</v>
      </c>
      <c r="AI39">
        <v>2</v>
      </c>
      <c r="AJ39">
        <v>2</v>
      </c>
    </row>
    <row r="40" spans="1:36" x14ac:dyDescent="0.3">
      <c r="A40">
        <v>36</v>
      </c>
      <c r="B40" t="s">
        <v>43</v>
      </c>
      <c r="C40" s="6">
        <f t="shared" si="0"/>
        <v>0</v>
      </c>
      <c r="D40" t="s">
        <v>36</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t="s">
        <v>35</v>
      </c>
      <c r="Y40">
        <v>14</v>
      </c>
      <c r="Z40">
        <v>3</v>
      </c>
      <c r="AA40">
        <v>4</v>
      </c>
      <c r="AB40">
        <v>80</v>
      </c>
      <c r="AC40">
        <v>1</v>
      </c>
      <c r="AD40">
        <v>6</v>
      </c>
      <c r="AE40">
        <v>3</v>
      </c>
      <c r="AF40">
        <v>4</v>
      </c>
      <c r="AG40">
        <v>1</v>
      </c>
      <c r="AH40">
        <v>1</v>
      </c>
      <c r="AI40">
        <v>0</v>
      </c>
      <c r="AJ40">
        <v>0</v>
      </c>
    </row>
    <row r="41" spans="1:36" x14ac:dyDescent="0.3">
      <c r="A41">
        <v>33</v>
      </c>
      <c r="B41" t="s">
        <v>43</v>
      </c>
      <c r="C41" s="6">
        <f t="shared" si="0"/>
        <v>0</v>
      </c>
      <c r="D41" t="s">
        <v>44</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t="s">
        <v>43</v>
      </c>
      <c r="Y41">
        <v>19</v>
      </c>
      <c r="Z41">
        <v>3</v>
      </c>
      <c r="AA41">
        <v>1</v>
      </c>
      <c r="AB41">
        <v>80</v>
      </c>
      <c r="AC41">
        <v>2</v>
      </c>
      <c r="AD41">
        <v>10</v>
      </c>
      <c r="AE41">
        <v>3</v>
      </c>
      <c r="AF41">
        <v>3</v>
      </c>
      <c r="AG41">
        <v>5</v>
      </c>
      <c r="AH41">
        <v>3</v>
      </c>
      <c r="AI41">
        <v>1</v>
      </c>
      <c r="AJ41">
        <v>3</v>
      </c>
    </row>
    <row r="42" spans="1:36" x14ac:dyDescent="0.3">
      <c r="A42">
        <v>35</v>
      </c>
      <c r="B42" t="s">
        <v>43</v>
      </c>
      <c r="C42" s="6">
        <f t="shared" si="0"/>
        <v>0</v>
      </c>
      <c r="D42" t="s">
        <v>36</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t="s">
        <v>43</v>
      </c>
      <c r="Y42">
        <v>12</v>
      </c>
      <c r="Z42">
        <v>3</v>
      </c>
      <c r="AA42">
        <v>3</v>
      </c>
      <c r="AB42">
        <v>80</v>
      </c>
      <c r="AC42">
        <v>1</v>
      </c>
      <c r="AD42">
        <v>1</v>
      </c>
      <c r="AE42">
        <v>3</v>
      </c>
      <c r="AF42">
        <v>3</v>
      </c>
      <c r="AG42">
        <v>1</v>
      </c>
      <c r="AH42">
        <v>0</v>
      </c>
      <c r="AI42">
        <v>0</v>
      </c>
      <c r="AJ42">
        <v>0</v>
      </c>
    </row>
    <row r="43" spans="1:36" x14ac:dyDescent="0.3">
      <c r="A43">
        <v>27</v>
      </c>
      <c r="B43" t="s">
        <v>43</v>
      </c>
      <c r="C43" s="6">
        <f t="shared" si="0"/>
        <v>0</v>
      </c>
      <c r="D43" t="s">
        <v>36</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t="s">
        <v>43</v>
      </c>
      <c r="Y43">
        <v>13</v>
      </c>
      <c r="Z43">
        <v>3</v>
      </c>
      <c r="AA43">
        <v>4</v>
      </c>
      <c r="AB43">
        <v>80</v>
      </c>
      <c r="AC43">
        <v>1</v>
      </c>
      <c r="AD43">
        <v>1</v>
      </c>
      <c r="AE43">
        <v>6</v>
      </c>
      <c r="AF43">
        <v>3</v>
      </c>
      <c r="AG43">
        <v>1</v>
      </c>
      <c r="AH43">
        <v>0</v>
      </c>
      <c r="AI43">
        <v>0</v>
      </c>
      <c r="AJ43">
        <v>0</v>
      </c>
    </row>
    <row r="44" spans="1:36" x14ac:dyDescent="0.3">
      <c r="A44">
        <v>26</v>
      </c>
      <c r="B44" t="s">
        <v>35</v>
      </c>
      <c r="C44" s="6">
        <f t="shared" si="0"/>
        <v>1</v>
      </c>
      <c r="D44" t="s">
        <v>36</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t="s">
        <v>43</v>
      </c>
      <c r="Y44">
        <v>12</v>
      </c>
      <c r="Z44">
        <v>3</v>
      </c>
      <c r="AA44">
        <v>3</v>
      </c>
      <c r="AB44">
        <v>80</v>
      </c>
      <c r="AC44">
        <v>0</v>
      </c>
      <c r="AD44">
        <v>1</v>
      </c>
      <c r="AE44">
        <v>2</v>
      </c>
      <c r="AF44">
        <v>2</v>
      </c>
      <c r="AG44">
        <v>1</v>
      </c>
      <c r="AH44">
        <v>0</v>
      </c>
      <c r="AI44">
        <v>0</v>
      </c>
      <c r="AJ44">
        <v>1</v>
      </c>
    </row>
    <row r="45" spans="1:36" x14ac:dyDescent="0.3">
      <c r="A45">
        <v>27</v>
      </c>
      <c r="B45" t="s">
        <v>43</v>
      </c>
      <c r="C45" s="6">
        <f t="shared" si="0"/>
        <v>0</v>
      </c>
      <c r="D45" t="s">
        <v>44</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t="s">
        <v>43</v>
      </c>
      <c r="Y45">
        <v>15</v>
      </c>
      <c r="Z45">
        <v>3</v>
      </c>
      <c r="AA45">
        <v>4</v>
      </c>
      <c r="AB45">
        <v>80</v>
      </c>
      <c r="AC45">
        <v>0</v>
      </c>
      <c r="AD45">
        <v>9</v>
      </c>
      <c r="AE45">
        <v>0</v>
      </c>
      <c r="AF45">
        <v>3</v>
      </c>
      <c r="AG45">
        <v>9</v>
      </c>
      <c r="AH45">
        <v>8</v>
      </c>
      <c r="AI45">
        <v>1</v>
      </c>
      <c r="AJ45">
        <v>7</v>
      </c>
    </row>
    <row r="46" spans="1:36" x14ac:dyDescent="0.3">
      <c r="A46">
        <v>30</v>
      </c>
      <c r="B46" t="s">
        <v>43</v>
      </c>
      <c r="C46" s="6">
        <f t="shared" si="0"/>
        <v>0</v>
      </c>
      <c r="D46" t="s">
        <v>44</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t="s">
        <v>43</v>
      </c>
      <c r="Y46">
        <v>23</v>
      </c>
      <c r="Z46">
        <v>4</v>
      </c>
      <c r="AA46">
        <v>4</v>
      </c>
      <c r="AB46">
        <v>80</v>
      </c>
      <c r="AC46">
        <v>0</v>
      </c>
      <c r="AD46">
        <v>12</v>
      </c>
      <c r="AE46">
        <v>2</v>
      </c>
      <c r="AF46">
        <v>3</v>
      </c>
      <c r="AG46">
        <v>12</v>
      </c>
      <c r="AH46">
        <v>8</v>
      </c>
      <c r="AI46">
        <v>3</v>
      </c>
      <c r="AJ46">
        <v>7</v>
      </c>
    </row>
    <row r="47" spans="1:36" x14ac:dyDescent="0.3">
      <c r="A47">
        <v>41</v>
      </c>
      <c r="B47" t="s">
        <v>35</v>
      </c>
      <c r="C47" s="6">
        <f t="shared" si="0"/>
        <v>1</v>
      </c>
      <c r="D47" t="s">
        <v>36</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t="s">
        <v>43</v>
      </c>
      <c r="Y47">
        <v>12</v>
      </c>
      <c r="Z47">
        <v>3</v>
      </c>
      <c r="AA47">
        <v>4</v>
      </c>
      <c r="AB47">
        <v>80</v>
      </c>
      <c r="AC47">
        <v>0</v>
      </c>
      <c r="AD47">
        <v>23</v>
      </c>
      <c r="AE47">
        <v>0</v>
      </c>
      <c r="AF47">
        <v>3</v>
      </c>
      <c r="AG47">
        <v>22</v>
      </c>
      <c r="AH47">
        <v>15</v>
      </c>
      <c r="AI47">
        <v>15</v>
      </c>
      <c r="AJ47">
        <v>8</v>
      </c>
    </row>
    <row r="48" spans="1:36" x14ac:dyDescent="0.3">
      <c r="A48">
        <v>34</v>
      </c>
      <c r="B48" t="s">
        <v>43</v>
      </c>
      <c r="C48" s="6">
        <f t="shared" si="0"/>
        <v>0</v>
      </c>
      <c r="D48" t="s">
        <v>55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t="s">
        <v>43</v>
      </c>
      <c r="Y48">
        <v>20</v>
      </c>
      <c r="Z48">
        <v>4</v>
      </c>
      <c r="AA48">
        <v>3</v>
      </c>
      <c r="AB48">
        <v>80</v>
      </c>
      <c r="AC48">
        <v>0</v>
      </c>
      <c r="AD48">
        <v>10</v>
      </c>
      <c r="AE48">
        <v>2</v>
      </c>
      <c r="AF48">
        <v>3</v>
      </c>
      <c r="AG48">
        <v>9</v>
      </c>
      <c r="AH48">
        <v>5</v>
      </c>
      <c r="AI48">
        <v>8</v>
      </c>
      <c r="AJ48">
        <v>7</v>
      </c>
    </row>
    <row r="49" spans="1:36" x14ac:dyDescent="0.3">
      <c r="A49">
        <v>37</v>
      </c>
      <c r="B49" t="s">
        <v>43</v>
      </c>
      <c r="C49" s="6">
        <f t="shared" si="0"/>
        <v>0</v>
      </c>
      <c r="D49" t="s">
        <v>36</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t="s">
        <v>43</v>
      </c>
      <c r="Y49">
        <v>21</v>
      </c>
      <c r="Z49">
        <v>4</v>
      </c>
      <c r="AA49">
        <v>1</v>
      </c>
      <c r="AB49">
        <v>80</v>
      </c>
      <c r="AC49">
        <v>0</v>
      </c>
      <c r="AD49">
        <v>8</v>
      </c>
      <c r="AE49">
        <v>1</v>
      </c>
      <c r="AF49">
        <v>3</v>
      </c>
      <c r="AG49">
        <v>1</v>
      </c>
      <c r="AH49">
        <v>0</v>
      </c>
      <c r="AI49">
        <v>0</v>
      </c>
      <c r="AJ49">
        <v>0</v>
      </c>
    </row>
    <row r="50" spans="1:36" x14ac:dyDescent="0.3">
      <c r="A50">
        <v>46</v>
      </c>
      <c r="B50" t="s">
        <v>43</v>
      </c>
      <c r="C50" s="6">
        <f t="shared" si="0"/>
        <v>0</v>
      </c>
      <c r="D50" t="s">
        <v>44</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t="s">
        <v>35</v>
      </c>
      <c r="Y50">
        <v>21</v>
      </c>
      <c r="Z50">
        <v>4</v>
      </c>
      <c r="AA50">
        <v>3</v>
      </c>
      <c r="AB50">
        <v>80</v>
      </c>
      <c r="AC50">
        <v>0</v>
      </c>
      <c r="AD50">
        <v>14</v>
      </c>
      <c r="AE50">
        <v>4</v>
      </c>
      <c r="AF50">
        <v>3</v>
      </c>
      <c r="AG50">
        <v>9</v>
      </c>
      <c r="AH50">
        <v>6</v>
      </c>
      <c r="AI50">
        <v>0</v>
      </c>
      <c r="AJ50">
        <v>8</v>
      </c>
    </row>
    <row r="51" spans="1:36" x14ac:dyDescent="0.3">
      <c r="A51">
        <v>35</v>
      </c>
      <c r="B51" t="s">
        <v>43</v>
      </c>
      <c r="C51" s="6">
        <f t="shared" si="0"/>
        <v>0</v>
      </c>
      <c r="D51" t="s">
        <v>36</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t="s">
        <v>43</v>
      </c>
      <c r="Y51">
        <v>19</v>
      </c>
      <c r="Z51">
        <v>3</v>
      </c>
      <c r="AA51">
        <v>4</v>
      </c>
      <c r="AB51">
        <v>80</v>
      </c>
      <c r="AC51">
        <v>0</v>
      </c>
      <c r="AD51">
        <v>1</v>
      </c>
      <c r="AE51">
        <v>2</v>
      </c>
      <c r="AF51">
        <v>3</v>
      </c>
      <c r="AG51">
        <v>1</v>
      </c>
      <c r="AH51">
        <v>0</v>
      </c>
      <c r="AI51">
        <v>0</v>
      </c>
      <c r="AJ51">
        <v>1</v>
      </c>
    </row>
    <row r="52" spans="1:36" x14ac:dyDescent="0.3">
      <c r="A52">
        <v>48</v>
      </c>
      <c r="B52" t="s">
        <v>35</v>
      </c>
      <c r="C52" s="6">
        <f t="shared" si="0"/>
        <v>1</v>
      </c>
      <c r="D52" t="s">
        <v>36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t="s">
        <v>35</v>
      </c>
      <c r="Y52">
        <v>13</v>
      </c>
      <c r="Z52">
        <v>3</v>
      </c>
      <c r="AA52">
        <v>4</v>
      </c>
      <c r="AB52">
        <v>80</v>
      </c>
      <c r="AC52">
        <v>0</v>
      </c>
      <c r="AD52">
        <v>23</v>
      </c>
      <c r="AE52">
        <v>2</v>
      </c>
      <c r="AF52">
        <v>3</v>
      </c>
      <c r="AG52">
        <v>1</v>
      </c>
      <c r="AH52">
        <v>0</v>
      </c>
      <c r="AI52">
        <v>0</v>
      </c>
      <c r="AJ52">
        <v>0</v>
      </c>
    </row>
    <row r="53" spans="1:36" x14ac:dyDescent="0.3">
      <c r="A53">
        <v>28</v>
      </c>
      <c r="B53" t="s">
        <v>35</v>
      </c>
      <c r="C53" s="6">
        <f t="shared" si="0"/>
        <v>1</v>
      </c>
      <c r="D53" t="s">
        <v>36</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t="s">
        <v>35</v>
      </c>
      <c r="Y53">
        <v>13</v>
      </c>
      <c r="Z53">
        <v>3</v>
      </c>
      <c r="AA53">
        <v>3</v>
      </c>
      <c r="AB53">
        <v>80</v>
      </c>
      <c r="AC53">
        <v>0</v>
      </c>
      <c r="AD53">
        <v>2</v>
      </c>
      <c r="AE53">
        <v>3</v>
      </c>
      <c r="AF53">
        <v>2</v>
      </c>
      <c r="AG53">
        <v>2</v>
      </c>
      <c r="AH53">
        <v>2</v>
      </c>
      <c r="AI53">
        <v>2</v>
      </c>
      <c r="AJ53">
        <v>2</v>
      </c>
    </row>
    <row r="54" spans="1:36" x14ac:dyDescent="0.3">
      <c r="A54">
        <v>44</v>
      </c>
      <c r="B54" t="s">
        <v>43</v>
      </c>
      <c r="C54" s="6">
        <f t="shared" si="0"/>
        <v>0</v>
      </c>
      <c r="D54" t="s">
        <v>36</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t="s">
        <v>35</v>
      </c>
      <c r="Y54">
        <v>21</v>
      </c>
      <c r="Z54">
        <v>4</v>
      </c>
      <c r="AA54">
        <v>3</v>
      </c>
      <c r="AB54">
        <v>80</v>
      </c>
      <c r="AC54">
        <v>1</v>
      </c>
      <c r="AD54">
        <v>9</v>
      </c>
      <c r="AE54">
        <v>2</v>
      </c>
      <c r="AF54">
        <v>2</v>
      </c>
      <c r="AG54">
        <v>4</v>
      </c>
      <c r="AH54">
        <v>3</v>
      </c>
      <c r="AI54">
        <v>1</v>
      </c>
      <c r="AJ54">
        <v>3</v>
      </c>
    </row>
    <row r="55" spans="1:36" x14ac:dyDescent="0.3">
      <c r="A55">
        <v>35</v>
      </c>
      <c r="B55" t="s">
        <v>43</v>
      </c>
      <c r="C55" s="6">
        <f t="shared" si="0"/>
        <v>0</v>
      </c>
      <c r="D55" t="s">
        <v>55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t="s">
        <v>35</v>
      </c>
      <c r="Y55">
        <v>13</v>
      </c>
      <c r="Z55">
        <v>3</v>
      </c>
      <c r="AA55">
        <v>3</v>
      </c>
      <c r="AB55">
        <v>80</v>
      </c>
      <c r="AC55">
        <v>1</v>
      </c>
      <c r="AD55">
        <v>10</v>
      </c>
      <c r="AE55">
        <v>3</v>
      </c>
      <c r="AF55">
        <v>3</v>
      </c>
      <c r="AG55">
        <v>4</v>
      </c>
      <c r="AH55">
        <v>0</v>
      </c>
      <c r="AI55">
        <v>2</v>
      </c>
      <c r="AJ55">
        <v>3</v>
      </c>
    </row>
    <row r="56" spans="1:36" x14ac:dyDescent="0.3">
      <c r="A56">
        <v>26</v>
      </c>
      <c r="B56" t="s">
        <v>43</v>
      </c>
      <c r="C56" s="6">
        <f t="shared" si="0"/>
        <v>0</v>
      </c>
      <c r="D56" t="s">
        <v>36</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t="s">
        <v>35</v>
      </c>
      <c r="Y56">
        <v>19</v>
      </c>
      <c r="Z56">
        <v>3</v>
      </c>
      <c r="AA56">
        <v>3</v>
      </c>
      <c r="AB56">
        <v>80</v>
      </c>
      <c r="AC56">
        <v>1</v>
      </c>
      <c r="AD56">
        <v>5</v>
      </c>
      <c r="AE56">
        <v>2</v>
      </c>
      <c r="AF56">
        <v>2</v>
      </c>
      <c r="AG56">
        <v>2</v>
      </c>
      <c r="AH56">
        <v>2</v>
      </c>
      <c r="AI56">
        <v>0</v>
      </c>
      <c r="AJ56">
        <v>0</v>
      </c>
    </row>
    <row r="57" spans="1:36" x14ac:dyDescent="0.3">
      <c r="A57">
        <v>33</v>
      </c>
      <c r="B57" t="s">
        <v>43</v>
      </c>
      <c r="C57" s="6">
        <f t="shared" si="0"/>
        <v>0</v>
      </c>
      <c r="D57" t="s">
        <v>44</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t="s">
        <v>35</v>
      </c>
      <c r="Y57">
        <v>12</v>
      </c>
      <c r="Z57">
        <v>3</v>
      </c>
      <c r="AA57">
        <v>3</v>
      </c>
      <c r="AB57">
        <v>80</v>
      </c>
      <c r="AC57">
        <v>0</v>
      </c>
      <c r="AD57">
        <v>15</v>
      </c>
      <c r="AE57">
        <v>1</v>
      </c>
      <c r="AF57">
        <v>3</v>
      </c>
      <c r="AG57">
        <v>15</v>
      </c>
      <c r="AH57">
        <v>14</v>
      </c>
      <c r="AI57">
        <v>8</v>
      </c>
      <c r="AJ57">
        <v>12</v>
      </c>
    </row>
    <row r="58" spans="1:36" x14ac:dyDescent="0.3">
      <c r="A58">
        <v>35</v>
      </c>
      <c r="B58" t="s">
        <v>43</v>
      </c>
      <c r="C58" s="6">
        <f t="shared" si="0"/>
        <v>0</v>
      </c>
      <c r="D58" t="s">
        <v>44</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t="s">
        <v>43</v>
      </c>
      <c r="Y58">
        <v>22</v>
      </c>
      <c r="Z58">
        <v>4</v>
      </c>
      <c r="AA58">
        <v>4</v>
      </c>
      <c r="AB58">
        <v>80</v>
      </c>
      <c r="AC58">
        <v>1</v>
      </c>
      <c r="AD58">
        <v>9</v>
      </c>
      <c r="AE58">
        <v>3</v>
      </c>
      <c r="AF58">
        <v>2</v>
      </c>
      <c r="AG58">
        <v>9</v>
      </c>
      <c r="AH58">
        <v>8</v>
      </c>
      <c r="AI58">
        <v>1</v>
      </c>
      <c r="AJ58">
        <v>8</v>
      </c>
    </row>
    <row r="59" spans="1:36" x14ac:dyDescent="0.3">
      <c r="A59">
        <v>35</v>
      </c>
      <c r="B59" t="s">
        <v>43</v>
      </c>
      <c r="C59" s="6">
        <f t="shared" si="0"/>
        <v>0</v>
      </c>
      <c r="D59" t="s">
        <v>36</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t="s">
        <v>35</v>
      </c>
      <c r="Y59">
        <v>15</v>
      </c>
      <c r="Z59">
        <v>3</v>
      </c>
      <c r="AA59">
        <v>3</v>
      </c>
      <c r="AB59">
        <v>80</v>
      </c>
      <c r="AC59">
        <v>1</v>
      </c>
      <c r="AD59">
        <v>4</v>
      </c>
      <c r="AE59">
        <v>3</v>
      </c>
      <c r="AF59">
        <v>3</v>
      </c>
      <c r="AG59">
        <v>2</v>
      </c>
      <c r="AH59">
        <v>2</v>
      </c>
      <c r="AI59">
        <v>2</v>
      </c>
      <c r="AJ59">
        <v>2</v>
      </c>
    </row>
    <row r="60" spans="1:36" x14ac:dyDescent="0.3">
      <c r="A60">
        <v>31</v>
      </c>
      <c r="B60" t="s">
        <v>43</v>
      </c>
      <c r="C60" s="6">
        <f t="shared" si="0"/>
        <v>0</v>
      </c>
      <c r="D60" t="s">
        <v>36</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t="s">
        <v>43</v>
      </c>
      <c r="Y60">
        <v>22</v>
      </c>
      <c r="Z60">
        <v>4</v>
      </c>
      <c r="AA60">
        <v>4</v>
      </c>
      <c r="AB60">
        <v>80</v>
      </c>
      <c r="AC60">
        <v>1</v>
      </c>
      <c r="AD60">
        <v>10</v>
      </c>
      <c r="AE60">
        <v>3</v>
      </c>
      <c r="AF60">
        <v>2</v>
      </c>
      <c r="AG60">
        <v>7</v>
      </c>
      <c r="AH60">
        <v>7</v>
      </c>
      <c r="AI60">
        <v>1</v>
      </c>
      <c r="AJ60">
        <v>7</v>
      </c>
    </row>
    <row r="61" spans="1:36" x14ac:dyDescent="0.3">
      <c r="A61">
        <v>37</v>
      </c>
      <c r="B61" t="s">
        <v>43</v>
      </c>
      <c r="C61" s="6">
        <f t="shared" si="0"/>
        <v>0</v>
      </c>
      <c r="D61" t="s">
        <v>36</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t="s">
        <v>43</v>
      </c>
      <c r="Y61">
        <v>18</v>
      </c>
      <c r="Z61">
        <v>3</v>
      </c>
      <c r="AA61">
        <v>3</v>
      </c>
      <c r="AB61">
        <v>80</v>
      </c>
      <c r="AC61">
        <v>1</v>
      </c>
      <c r="AD61">
        <v>7</v>
      </c>
      <c r="AE61">
        <v>2</v>
      </c>
      <c r="AF61">
        <v>4</v>
      </c>
      <c r="AG61">
        <v>7</v>
      </c>
      <c r="AH61">
        <v>5</v>
      </c>
      <c r="AI61">
        <v>0</v>
      </c>
      <c r="AJ61">
        <v>7</v>
      </c>
    </row>
    <row r="62" spans="1:36" x14ac:dyDescent="0.3">
      <c r="A62">
        <v>32</v>
      </c>
      <c r="B62" t="s">
        <v>43</v>
      </c>
      <c r="C62" s="6">
        <f t="shared" si="0"/>
        <v>0</v>
      </c>
      <c r="D62" t="s">
        <v>36</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t="s">
        <v>35</v>
      </c>
      <c r="Y62">
        <v>22</v>
      </c>
      <c r="Z62">
        <v>4</v>
      </c>
      <c r="AA62">
        <v>2</v>
      </c>
      <c r="AB62">
        <v>80</v>
      </c>
      <c r="AC62">
        <v>1</v>
      </c>
      <c r="AD62">
        <v>9</v>
      </c>
      <c r="AE62">
        <v>3</v>
      </c>
      <c r="AF62">
        <v>3</v>
      </c>
      <c r="AG62">
        <v>9</v>
      </c>
      <c r="AH62">
        <v>8</v>
      </c>
      <c r="AI62">
        <v>7</v>
      </c>
      <c r="AJ62">
        <v>8</v>
      </c>
    </row>
    <row r="63" spans="1:36" x14ac:dyDescent="0.3">
      <c r="A63">
        <v>38</v>
      </c>
      <c r="B63" t="s">
        <v>43</v>
      </c>
      <c r="C63" s="6">
        <f t="shared" si="0"/>
        <v>0</v>
      </c>
      <c r="D63" t="s">
        <v>44</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t="s">
        <v>43</v>
      </c>
      <c r="Y63">
        <v>11</v>
      </c>
      <c r="Z63">
        <v>3</v>
      </c>
      <c r="AA63">
        <v>4</v>
      </c>
      <c r="AB63">
        <v>80</v>
      </c>
      <c r="AC63">
        <v>0</v>
      </c>
      <c r="AD63">
        <v>10</v>
      </c>
      <c r="AE63">
        <v>2</v>
      </c>
      <c r="AF63">
        <v>3</v>
      </c>
      <c r="AG63">
        <v>10</v>
      </c>
      <c r="AH63">
        <v>3</v>
      </c>
      <c r="AI63">
        <v>9</v>
      </c>
      <c r="AJ63">
        <v>9</v>
      </c>
    </row>
    <row r="64" spans="1:36" x14ac:dyDescent="0.3">
      <c r="A64">
        <v>50</v>
      </c>
      <c r="B64" t="s">
        <v>43</v>
      </c>
      <c r="C64" s="6">
        <f t="shared" si="0"/>
        <v>0</v>
      </c>
      <c r="D64" t="s">
        <v>36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t="s">
        <v>35</v>
      </c>
      <c r="Y64">
        <v>12</v>
      </c>
      <c r="Z64">
        <v>3</v>
      </c>
      <c r="AA64">
        <v>4</v>
      </c>
      <c r="AB64">
        <v>80</v>
      </c>
      <c r="AC64">
        <v>1</v>
      </c>
      <c r="AD64">
        <v>29</v>
      </c>
      <c r="AE64">
        <v>2</v>
      </c>
      <c r="AF64">
        <v>2</v>
      </c>
      <c r="AG64">
        <v>27</v>
      </c>
      <c r="AH64">
        <v>3</v>
      </c>
      <c r="AI64">
        <v>13</v>
      </c>
      <c r="AJ64">
        <v>8</v>
      </c>
    </row>
    <row r="65" spans="1:36" x14ac:dyDescent="0.3">
      <c r="A65">
        <v>59</v>
      </c>
      <c r="B65" t="s">
        <v>43</v>
      </c>
      <c r="C65" s="6">
        <f t="shared" si="0"/>
        <v>0</v>
      </c>
      <c r="D65" t="s">
        <v>36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t="s">
        <v>43</v>
      </c>
      <c r="Y65">
        <v>11</v>
      </c>
      <c r="Z65">
        <v>3</v>
      </c>
      <c r="AA65">
        <v>4</v>
      </c>
      <c r="AB65">
        <v>80</v>
      </c>
      <c r="AC65">
        <v>0</v>
      </c>
      <c r="AD65">
        <v>28</v>
      </c>
      <c r="AE65">
        <v>3</v>
      </c>
      <c r="AF65">
        <v>2</v>
      </c>
      <c r="AG65">
        <v>21</v>
      </c>
      <c r="AH65">
        <v>16</v>
      </c>
      <c r="AI65">
        <v>7</v>
      </c>
      <c r="AJ65">
        <v>9</v>
      </c>
    </row>
    <row r="66" spans="1:36" x14ac:dyDescent="0.3">
      <c r="A66">
        <v>36</v>
      </c>
      <c r="B66" t="s">
        <v>43</v>
      </c>
      <c r="C66" s="6">
        <f t="shared" si="0"/>
        <v>0</v>
      </c>
      <c r="D66" t="s">
        <v>36</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t="s">
        <v>43</v>
      </c>
      <c r="Y66">
        <v>13</v>
      </c>
      <c r="Z66">
        <v>3</v>
      </c>
      <c r="AA66">
        <v>2</v>
      </c>
      <c r="AB66">
        <v>80</v>
      </c>
      <c r="AC66">
        <v>3</v>
      </c>
      <c r="AD66">
        <v>17</v>
      </c>
      <c r="AE66">
        <v>2</v>
      </c>
      <c r="AF66">
        <v>3</v>
      </c>
      <c r="AG66">
        <v>17</v>
      </c>
      <c r="AH66">
        <v>14</v>
      </c>
      <c r="AI66">
        <v>12</v>
      </c>
      <c r="AJ66">
        <v>8</v>
      </c>
    </row>
    <row r="67" spans="1:36" x14ac:dyDescent="0.3">
      <c r="A67">
        <v>55</v>
      </c>
      <c r="B67" t="s">
        <v>43</v>
      </c>
      <c r="C67" s="6">
        <f t="shared" ref="C67:C130" si="1">IF(B67="Yes",1,0)</f>
        <v>0</v>
      </c>
      <c r="D67" t="s">
        <v>36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t="s">
        <v>35</v>
      </c>
      <c r="Y67">
        <v>14</v>
      </c>
      <c r="Z67">
        <v>3</v>
      </c>
      <c r="AA67">
        <v>3</v>
      </c>
      <c r="AB67">
        <v>80</v>
      </c>
      <c r="AC67">
        <v>3</v>
      </c>
      <c r="AD67">
        <v>21</v>
      </c>
      <c r="AE67">
        <v>2</v>
      </c>
      <c r="AF67">
        <v>3</v>
      </c>
      <c r="AG67">
        <v>5</v>
      </c>
      <c r="AH67">
        <v>0</v>
      </c>
      <c r="AI67">
        <v>0</v>
      </c>
      <c r="AJ67">
        <v>2</v>
      </c>
    </row>
    <row r="68" spans="1:36" x14ac:dyDescent="0.3">
      <c r="A68">
        <v>36</v>
      </c>
      <c r="B68" t="s">
        <v>43</v>
      </c>
      <c r="C68" s="6">
        <f t="shared" si="1"/>
        <v>0</v>
      </c>
      <c r="D68" t="s">
        <v>44</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t="s">
        <v>43</v>
      </c>
      <c r="Y68">
        <v>13</v>
      </c>
      <c r="Z68">
        <v>3</v>
      </c>
      <c r="AA68">
        <v>3</v>
      </c>
      <c r="AB68">
        <v>80</v>
      </c>
      <c r="AC68">
        <v>0</v>
      </c>
      <c r="AD68">
        <v>6</v>
      </c>
      <c r="AE68">
        <v>3</v>
      </c>
      <c r="AF68">
        <v>3</v>
      </c>
      <c r="AG68">
        <v>6</v>
      </c>
      <c r="AH68">
        <v>5</v>
      </c>
      <c r="AI68">
        <v>0</v>
      </c>
      <c r="AJ68">
        <v>3</v>
      </c>
    </row>
    <row r="69" spans="1:36" x14ac:dyDescent="0.3">
      <c r="A69">
        <v>45</v>
      </c>
      <c r="B69" t="s">
        <v>43</v>
      </c>
      <c r="C69" s="6">
        <f t="shared" si="1"/>
        <v>0</v>
      </c>
      <c r="D69" t="s">
        <v>36</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t="s">
        <v>43</v>
      </c>
      <c r="Y69">
        <v>17</v>
      </c>
      <c r="Z69">
        <v>3</v>
      </c>
      <c r="AA69">
        <v>3</v>
      </c>
      <c r="AB69">
        <v>80</v>
      </c>
      <c r="AC69">
        <v>1</v>
      </c>
      <c r="AD69">
        <v>25</v>
      </c>
      <c r="AE69">
        <v>2</v>
      </c>
      <c r="AF69">
        <v>3</v>
      </c>
      <c r="AG69">
        <v>1</v>
      </c>
      <c r="AH69">
        <v>0</v>
      </c>
      <c r="AI69">
        <v>0</v>
      </c>
      <c r="AJ69">
        <v>0</v>
      </c>
    </row>
    <row r="70" spans="1:36" x14ac:dyDescent="0.3">
      <c r="A70">
        <v>35</v>
      </c>
      <c r="B70" t="s">
        <v>43</v>
      </c>
      <c r="C70" s="6">
        <f t="shared" si="1"/>
        <v>0</v>
      </c>
      <c r="D70" t="s">
        <v>44</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t="s">
        <v>43</v>
      </c>
      <c r="Y70">
        <v>13</v>
      </c>
      <c r="Z70">
        <v>3</v>
      </c>
      <c r="AA70">
        <v>4</v>
      </c>
      <c r="AB70">
        <v>80</v>
      </c>
      <c r="AC70">
        <v>1</v>
      </c>
      <c r="AD70">
        <v>5</v>
      </c>
      <c r="AE70">
        <v>2</v>
      </c>
      <c r="AF70">
        <v>2</v>
      </c>
      <c r="AG70">
        <v>3</v>
      </c>
      <c r="AH70">
        <v>2</v>
      </c>
      <c r="AI70">
        <v>1</v>
      </c>
      <c r="AJ70">
        <v>2</v>
      </c>
    </row>
    <row r="71" spans="1:36" x14ac:dyDescent="0.3">
      <c r="A71">
        <v>36</v>
      </c>
      <c r="B71" t="s">
        <v>35</v>
      </c>
      <c r="C71" s="6">
        <f t="shared" si="1"/>
        <v>1</v>
      </c>
      <c r="D71" t="s">
        <v>36</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t="s">
        <v>35</v>
      </c>
      <c r="Y71">
        <v>17</v>
      </c>
      <c r="Z71">
        <v>3</v>
      </c>
      <c r="AA71">
        <v>1</v>
      </c>
      <c r="AB71">
        <v>80</v>
      </c>
      <c r="AC71">
        <v>1</v>
      </c>
      <c r="AD71">
        <v>2</v>
      </c>
      <c r="AE71">
        <v>0</v>
      </c>
      <c r="AF71">
        <v>2</v>
      </c>
      <c r="AG71">
        <v>1</v>
      </c>
      <c r="AH71">
        <v>0</v>
      </c>
      <c r="AI71">
        <v>0</v>
      </c>
      <c r="AJ71">
        <v>0</v>
      </c>
    </row>
    <row r="72" spans="1:36" x14ac:dyDescent="0.3">
      <c r="A72">
        <v>59</v>
      </c>
      <c r="B72" t="s">
        <v>43</v>
      </c>
      <c r="C72" s="6">
        <f t="shared" si="1"/>
        <v>0</v>
      </c>
      <c r="D72" t="s">
        <v>44</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t="s">
        <v>43</v>
      </c>
      <c r="Y72">
        <v>11</v>
      </c>
      <c r="Z72">
        <v>3</v>
      </c>
      <c r="AA72">
        <v>4</v>
      </c>
      <c r="AB72">
        <v>80</v>
      </c>
      <c r="AC72">
        <v>0</v>
      </c>
      <c r="AD72">
        <v>20</v>
      </c>
      <c r="AE72">
        <v>2</v>
      </c>
      <c r="AF72">
        <v>2</v>
      </c>
      <c r="AG72">
        <v>4</v>
      </c>
      <c r="AH72">
        <v>3</v>
      </c>
      <c r="AI72">
        <v>1</v>
      </c>
      <c r="AJ72">
        <v>3</v>
      </c>
    </row>
    <row r="73" spans="1:36" x14ac:dyDescent="0.3">
      <c r="A73">
        <v>29</v>
      </c>
      <c r="B73" t="s">
        <v>43</v>
      </c>
      <c r="C73" s="6">
        <f t="shared" si="1"/>
        <v>0</v>
      </c>
      <c r="D73" t="s">
        <v>36</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t="s">
        <v>43</v>
      </c>
      <c r="Y73">
        <v>23</v>
      </c>
      <c r="Z73">
        <v>4</v>
      </c>
      <c r="AA73">
        <v>4</v>
      </c>
      <c r="AB73">
        <v>80</v>
      </c>
      <c r="AC73">
        <v>1</v>
      </c>
      <c r="AD73">
        <v>6</v>
      </c>
      <c r="AE73">
        <v>3</v>
      </c>
      <c r="AF73">
        <v>3</v>
      </c>
      <c r="AG73">
        <v>5</v>
      </c>
      <c r="AH73">
        <v>4</v>
      </c>
      <c r="AI73">
        <v>0</v>
      </c>
      <c r="AJ73">
        <v>4</v>
      </c>
    </row>
    <row r="74" spans="1:36" x14ac:dyDescent="0.3">
      <c r="A74">
        <v>31</v>
      </c>
      <c r="B74" t="s">
        <v>43</v>
      </c>
      <c r="C74" s="6">
        <f t="shared" si="1"/>
        <v>0</v>
      </c>
      <c r="D74" t="s">
        <v>36</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t="s">
        <v>43</v>
      </c>
      <c r="Y74">
        <v>17</v>
      </c>
      <c r="Z74">
        <v>3</v>
      </c>
      <c r="AA74">
        <v>2</v>
      </c>
      <c r="AB74">
        <v>80</v>
      </c>
      <c r="AC74">
        <v>0</v>
      </c>
      <c r="AD74">
        <v>1</v>
      </c>
      <c r="AE74">
        <v>4</v>
      </c>
      <c r="AF74">
        <v>3</v>
      </c>
      <c r="AG74">
        <v>1</v>
      </c>
      <c r="AH74">
        <v>1</v>
      </c>
      <c r="AI74">
        <v>1</v>
      </c>
      <c r="AJ74">
        <v>0</v>
      </c>
    </row>
    <row r="75" spans="1:36" x14ac:dyDescent="0.3">
      <c r="A75">
        <v>32</v>
      </c>
      <c r="B75" t="s">
        <v>43</v>
      </c>
      <c r="C75" s="6">
        <f t="shared" si="1"/>
        <v>0</v>
      </c>
      <c r="D75" t="s">
        <v>36</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t="s">
        <v>43</v>
      </c>
      <c r="Y75">
        <v>17</v>
      </c>
      <c r="Z75">
        <v>3</v>
      </c>
      <c r="AA75">
        <v>2</v>
      </c>
      <c r="AB75">
        <v>80</v>
      </c>
      <c r="AC75">
        <v>2</v>
      </c>
      <c r="AD75">
        <v>10</v>
      </c>
      <c r="AE75">
        <v>3</v>
      </c>
      <c r="AF75">
        <v>3</v>
      </c>
      <c r="AG75">
        <v>10</v>
      </c>
      <c r="AH75">
        <v>4</v>
      </c>
      <c r="AI75">
        <v>0</v>
      </c>
      <c r="AJ75">
        <v>9</v>
      </c>
    </row>
    <row r="76" spans="1:36" x14ac:dyDescent="0.3">
      <c r="A76">
        <v>36</v>
      </c>
      <c r="B76" t="s">
        <v>43</v>
      </c>
      <c r="C76" s="6">
        <f t="shared" si="1"/>
        <v>0</v>
      </c>
      <c r="D76" t="s">
        <v>36</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t="s">
        <v>43</v>
      </c>
      <c r="Y76">
        <v>12</v>
      </c>
      <c r="Z76">
        <v>3</v>
      </c>
      <c r="AA76">
        <v>2</v>
      </c>
      <c r="AB76">
        <v>80</v>
      </c>
      <c r="AC76">
        <v>0</v>
      </c>
      <c r="AD76">
        <v>5</v>
      </c>
      <c r="AE76">
        <v>3</v>
      </c>
      <c r="AF76">
        <v>3</v>
      </c>
      <c r="AG76">
        <v>1</v>
      </c>
      <c r="AH76">
        <v>0</v>
      </c>
      <c r="AI76">
        <v>0</v>
      </c>
      <c r="AJ76">
        <v>0</v>
      </c>
    </row>
    <row r="77" spans="1:36" x14ac:dyDescent="0.3">
      <c r="A77">
        <v>31</v>
      </c>
      <c r="B77" t="s">
        <v>43</v>
      </c>
      <c r="C77" s="6">
        <f t="shared" si="1"/>
        <v>0</v>
      </c>
      <c r="D77" t="s">
        <v>36</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t="s">
        <v>43</v>
      </c>
      <c r="Y77">
        <v>23</v>
      </c>
      <c r="Z77">
        <v>4</v>
      </c>
      <c r="AA77">
        <v>4</v>
      </c>
      <c r="AB77">
        <v>80</v>
      </c>
      <c r="AC77">
        <v>0</v>
      </c>
      <c r="AD77">
        <v>11</v>
      </c>
      <c r="AE77">
        <v>2</v>
      </c>
      <c r="AF77">
        <v>3</v>
      </c>
      <c r="AG77">
        <v>11</v>
      </c>
      <c r="AH77">
        <v>7</v>
      </c>
      <c r="AI77">
        <v>1</v>
      </c>
      <c r="AJ77">
        <v>8</v>
      </c>
    </row>
    <row r="78" spans="1:36" x14ac:dyDescent="0.3">
      <c r="A78">
        <v>35</v>
      </c>
      <c r="B78" t="s">
        <v>43</v>
      </c>
      <c r="C78" s="6">
        <f t="shared" si="1"/>
        <v>0</v>
      </c>
      <c r="D78" t="s">
        <v>36</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t="s">
        <v>43</v>
      </c>
      <c r="Y78">
        <v>14</v>
      </c>
      <c r="Z78">
        <v>3</v>
      </c>
      <c r="AA78">
        <v>2</v>
      </c>
      <c r="AB78">
        <v>80</v>
      </c>
      <c r="AC78">
        <v>0</v>
      </c>
      <c r="AD78">
        <v>16</v>
      </c>
      <c r="AE78">
        <v>2</v>
      </c>
      <c r="AF78">
        <v>3</v>
      </c>
      <c r="AG78">
        <v>15</v>
      </c>
      <c r="AH78">
        <v>13</v>
      </c>
      <c r="AI78">
        <v>2</v>
      </c>
      <c r="AJ78">
        <v>8</v>
      </c>
    </row>
    <row r="79" spans="1:36" x14ac:dyDescent="0.3">
      <c r="A79">
        <v>45</v>
      </c>
      <c r="B79" t="s">
        <v>43</v>
      </c>
      <c r="C79" s="6">
        <f t="shared" si="1"/>
        <v>0</v>
      </c>
      <c r="D79" t="s">
        <v>36</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t="s">
        <v>35</v>
      </c>
      <c r="Y79">
        <v>14</v>
      </c>
      <c r="Z79">
        <v>3</v>
      </c>
      <c r="AA79">
        <v>2</v>
      </c>
      <c r="AB79">
        <v>80</v>
      </c>
      <c r="AC79">
        <v>0</v>
      </c>
      <c r="AD79">
        <v>17</v>
      </c>
      <c r="AE79">
        <v>3</v>
      </c>
      <c r="AF79">
        <v>4</v>
      </c>
      <c r="AG79">
        <v>0</v>
      </c>
      <c r="AH79">
        <v>0</v>
      </c>
      <c r="AI79">
        <v>0</v>
      </c>
      <c r="AJ79">
        <v>0</v>
      </c>
    </row>
    <row r="80" spans="1:36" x14ac:dyDescent="0.3">
      <c r="A80">
        <v>37</v>
      </c>
      <c r="B80" t="s">
        <v>43</v>
      </c>
      <c r="C80" s="6">
        <f t="shared" si="1"/>
        <v>0</v>
      </c>
      <c r="D80" t="s">
        <v>36</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t="s">
        <v>43</v>
      </c>
      <c r="Y80">
        <v>13</v>
      </c>
      <c r="Z80">
        <v>3</v>
      </c>
      <c r="AA80">
        <v>1</v>
      </c>
      <c r="AB80">
        <v>80</v>
      </c>
      <c r="AC80">
        <v>0</v>
      </c>
      <c r="AD80">
        <v>16</v>
      </c>
      <c r="AE80">
        <v>3</v>
      </c>
      <c r="AF80">
        <v>4</v>
      </c>
      <c r="AG80">
        <v>5</v>
      </c>
      <c r="AH80">
        <v>2</v>
      </c>
      <c r="AI80">
        <v>0</v>
      </c>
      <c r="AJ80">
        <v>2</v>
      </c>
    </row>
    <row r="81" spans="1:36" x14ac:dyDescent="0.3">
      <c r="A81">
        <v>46</v>
      </c>
      <c r="B81" t="s">
        <v>43</v>
      </c>
      <c r="C81" s="6">
        <f t="shared" si="1"/>
        <v>0</v>
      </c>
      <c r="D81" t="s">
        <v>36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t="s">
        <v>35</v>
      </c>
      <c r="Y81">
        <v>22</v>
      </c>
      <c r="Z81">
        <v>4</v>
      </c>
      <c r="AA81">
        <v>4</v>
      </c>
      <c r="AB81">
        <v>80</v>
      </c>
      <c r="AC81">
        <v>1</v>
      </c>
      <c r="AD81">
        <v>16</v>
      </c>
      <c r="AE81">
        <v>2</v>
      </c>
      <c r="AF81">
        <v>3</v>
      </c>
      <c r="AG81">
        <v>4</v>
      </c>
      <c r="AH81">
        <v>2</v>
      </c>
      <c r="AI81">
        <v>0</v>
      </c>
      <c r="AJ81">
        <v>2</v>
      </c>
    </row>
    <row r="82" spans="1:36" x14ac:dyDescent="0.3">
      <c r="A82">
        <v>30</v>
      </c>
      <c r="B82" t="s">
        <v>43</v>
      </c>
      <c r="C82" s="6">
        <f t="shared" si="1"/>
        <v>0</v>
      </c>
      <c r="D82" t="s">
        <v>36</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t="s">
        <v>35</v>
      </c>
      <c r="Y82">
        <v>12</v>
      </c>
      <c r="Z82">
        <v>3</v>
      </c>
      <c r="AA82">
        <v>3</v>
      </c>
      <c r="AB82">
        <v>80</v>
      </c>
      <c r="AC82">
        <v>2</v>
      </c>
      <c r="AD82">
        <v>10</v>
      </c>
      <c r="AE82">
        <v>1</v>
      </c>
      <c r="AF82">
        <v>2</v>
      </c>
      <c r="AG82">
        <v>10</v>
      </c>
      <c r="AH82">
        <v>8</v>
      </c>
      <c r="AI82">
        <v>3</v>
      </c>
      <c r="AJ82">
        <v>0</v>
      </c>
    </row>
    <row r="83" spans="1:36" x14ac:dyDescent="0.3">
      <c r="A83">
        <v>35</v>
      </c>
      <c r="B83" t="s">
        <v>43</v>
      </c>
      <c r="C83" s="6">
        <f t="shared" si="1"/>
        <v>0</v>
      </c>
      <c r="D83" t="s">
        <v>36</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t="s">
        <v>43</v>
      </c>
      <c r="Y83">
        <v>18</v>
      </c>
      <c r="Z83">
        <v>3</v>
      </c>
      <c r="AA83">
        <v>1</v>
      </c>
      <c r="AB83">
        <v>80</v>
      </c>
      <c r="AC83">
        <v>0</v>
      </c>
      <c r="AD83">
        <v>6</v>
      </c>
      <c r="AE83">
        <v>3</v>
      </c>
      <c r="AF83">
        <v>3</v>
      </c>
      <c r="AG83">
        <v>6</v>
      </c>
      <c r="AH83">
        <v>4</v>
      </c>
      <c r="AI83">
        <v>0</v>
      </c>
      <c r="AJ83">
        <v>4</v>
      </c>
    </row>
    <row r="84" spans="1:36" x14ac:dyDescent="0.3">
      <c r="A84">
        <v>55</v>
      </c>
      <c r="B84" t="s">
        <v>43</v>
      </c>
      <c r="C84" s="6">
        <f t="shared" si="1"/>
        <v>0</v>
      </c>
      <c r="D84" t="s">
        <v>36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t="s">
        <v>43</v>
      </c>
      <c r="Y84">
        <v>14</v>
      </c>
      <c r="Z84">
        <v>3</v>
      </c>
      <c r="AA84">
        <v>4</v>
      </c>
      <c r="AB84">
        <v>80</v>
      </c>
      <c r="AC84">
        <v>1</v>
      </c>
      <c r="AD84">
        <v>24</v>
      </c>
      <c r="AE84">
        <v>4</v>
      </c>
      <c r="AF84">
        <v>3</v>
      </c>
      <c r="AG84">
        <v>1</v>
      </c>
      <c r="AH84">
        <v>0</v>
      </c>
      <c r="AI84">
        <v>1</v>
      </c>
      <c r="AJ84">
        <v>0</v>
      </c>
    </row>
    <row r="85" spans="1:36" x14ac:dyDescent="0.3">
      <c r="A85">
        <v>38</v>
      </c>
      <c r="B85" t="s">
        <v>43</v>
      </c>
      <c r="C85" s="6">
        <f t="shared" si="1"/>
        <v>0</v>
      </c>
      <c r="D85" t="s">
        <v>55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t="s">
        <v>35</v>
      </c>
      <c r="Y85">
        <v>12</v>
      </c>
      <c r="Z85">
        <v>3</v>
      </c>
      <c r="AA85">
        <v>4</v>
      </c>
      <c r="AB85">
        <v>80</v>
      </c>
      <c r="AC85">
        <v>3</v>
      </c>
      <c r="AD85">
        <v>17</v>
      </c>
      <c r="AE85">
        <v>3</v>
      </c>
      <c r="AF85">
        <v>3</v>
      </c>
      <c r="AG85">
        <v>13</v>
      </c>
      <c r="AH85">
        <v>11</v>
      </c>
      <c r="AI85">
        <v>1</v>
      </c>
      <c r="AJ85">
        <v>9</v>
      </c>
    </row>
    <row r="86" spans="1:36" x14ac:dyDescent="0.3">
      <c r="A86">
        <v>34</v>
      </c>
      <c r="B86" t="s">
        <v>43</v>
      </c>
      <c r="C86" s="6">
        <f t="shared" si="1"/>
        <v>0</v>
      </c>
      <c r="D86" t="s">
        <v>36</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t="s">
        <v>43</v>
      </c>
      <c r="Y86">
        <v>15</v>
      </c>
      <c r="Z86">
        <v>3</v>
      </c>
      <c r="AA86">
        <v>3</v>
      </c>
      <c r="AB86">
        <v>80</v>
      </c>
      <c r="AC86">
        <v>0</v>
      </c>
      <c r="AD86">
        <v>5</v>
      </c>
      <c r="AE86">
        <v>2</v>
      </c>
      <c r="AF86">
        <v>3</v>
      </c>
      <c r="AG86">
        <v>5</v>
      </c>
      <c r="AH86">
        <v>2</v>
      </c>
      <c r="AI86">
        <v>1</v>
      </c>
      <c r="AJ86">
        <v>3</v>
      </c>
    </row>
    <row r="87" spans="1:36" x14ac:dyDescent="0.3">
      <c r="A87">
        <v>56</v>
      </c>
      <c r="B87" t="s">
        <v>43</v>
      </c>
      <c r="C87" s="6">
        <f t="shared" si="1"/>
        <v>0</v>
      </c>
      <c r="D87" t="s">
        <v>36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t="s">
        <v>43</v>
      </c>
      <c r="Y87">
        <v>11</v>
      </c>
      <c r="Z87">
        <v>3</v>
      </c>
      <c r="AA87">
        <v>1</v>
      </c>
      <c r="AB87">
        <v>80</v>
      </c>
      <c r="AC87">
        <v>0</v>
      </c>
      <c r="AD87">
        <v>37</v>
      </c>
      <c r="AE87">
        <v>3</v>
      </c>
      <c r="AF87">
        <v>2</v>
      </c>
      <c r="AG87">
        <v>6</v>
      </c>
      <c r="AH87">
        <v>4</v>
      </c>
      <c r="AI87">
        <v>0</v>
      </c>
      <c r="AJ87">
        <v>2</v>
      </c>
    </row>
    <row r="88" spans="1:36" x14ac:dyDescent="0.3">
      <c r="A88">
        <v>23</v>
      </c>
      <c r="B88" t="s">
        <v>43</v>
      </c>
      <c r="C88" s="6">
        <f t="shared" si="1"/>
        <v>0</v>
      </c>
      <c r="D88" t="s">
        <v>36</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t="s">
        <v>43</v>
      </c>
      <c r="Y88">
        <v>13</v>
      </c>
      <c r="Z88">
        <v>3</v>
      </c>
      <c r="AA88">
        <v>3</v>
      </c>
      <c r="AB88">
        <v>80</v>
      </c>
      <c r="AC88">
        <v>1</v>
      </c>
      <c r="AD88">
        <v>3</v>
      </c>
      <c r="AE88">
        <v>3</v>
      </c>
      <c r="AF88">
        <v>3</v>
      </c>
      <c r="AG88">
        <v>0</v>
      </c>
      <c r="AH88">
        <v>0</v>
      </c>
      <c r="AI88">
        <v>0</v>
      </c>
      <c r="AJ88">
        <v>0</v>
      </c>
    </row>
    <row r="89" spans="1:36" x14ac:dyDescent="0.3">
      <c r="A89">
        <v>51</v>
      </c>
      <c r="B89" t="s">
        <v>43</v>
      </c>
      <c r="C89" s="6">
        <f t="shared" si="1"/>
        <v>0</v>
      </c>
      <c r="D89" t="s">
        <v>36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t="s">
        <v>43</v>
      </c>
      <c r="Y89">
        <v>23</v>
      </c>
      <c r="Z89">
        <v>4</v>
      </c>
      <c r="AA89">
        <v>2</v>
      </c>
      <c r="AB89">
        <v>80</v>
      </c>
      <c r="AC89">
        <v>2</v>
      </c>
      <c r="AD89">
        <v>10</v>
      </c>
      <c r="AE89">
        <v>4</v>
      </c>
      <c r="AF89">
        <v>3</v>
      </c>
      <c r="AG89">
        <v>4</v>
      </c>
      <c r="AH89">
        <v>2</v>
      </c>
      <c r="AI89">
        <v>0</v>
      </c>
      <c r="AJ89">
        <v>3</v>
      </c>
    </row>
    <row r="90" spans="1:36" x14ac:dyDescent="0.3">
      <c r="A90">
        <v>30</v>
      </c>
      <c r="B90" t="s">
        <v>43</v>
      </c>
      <c r="C90" s="6">
        <f t="shared" si="1"/>
        <v>0</v>
      </c>
      <c r="D90" t="s">
        <v>36</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t="s">
        <v>43</v>
      </c>
      <c r="Y90">
        <v>19</v>
      </c>
      <c r="Z90">
        <v>3</v>
      </c>
      <c r="AA90">
        <v>1</v>
      </c>
      <c r="AB90">
        <v>80</v>
      </c>
      <c r="AC90">
        <v>3</v>
      </c>
      <c r="AD90">
        <v>11</v>
      </c>
      <c r="AE90">
        <v>3</v>
      </c>
      <c r="AF90">
        <v>3</v>
      </c>
      <c r="AG90">
        <v>11</v>
      </c>
      <c r="AH90">
        <v>10</v>
      </c>
      <c r="AI90">
        <v>10</v>
      </c>
      <c r="AJ90">
        <v>8</v>
      </c>
    </row>
    <row r="91" spans="1:36" x14ac:dyDescent="0.3">
      <c r="A91">
        <v>46</v>
      </c>
      <c r="B91" t="s">
        <v>35</v>
      </c>
      <c r="C91" s="6">
        <f t="shared" si="1"/>
        <v>1</v>
      </c>
      <c r="D91" t="s">
        <v>36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t="s">
        <v>43</v>
      </c>
      <c r="Y91">
        <v>16</v>
      </c>
      <c r="Z91">
        <v>3</v>
      </c>
      <c r="AA91">
        <v>4</v>
      </c>
      <c r="AB91">
        <v>80</v>
      </c>
      <c r="AC91">
        <v>0</v>
      </c>
      <c r="AD91">
        <v>9</v>
      </c>
      <c r="AE91">
        <v>3</v>
      </c>
      <c r="AF91">
        <v>3</v>
      </c>
      <c r="AG91">
        <v>9</v>
      </c>
      <c r="AH91">
        <v>8</v>
      </c>
      <c r="AI91">
        <v>4</v>
      </c>
      <c r="AJ91">
        <v>7</v>
      </c>
    </row>
    <row r="92" spans="1:36" x14ac:dyDescent="0.3">
      <c r="A92">
        <v>40</v>
      </c>
      <c r="B92" t="s">
        <v>43</v>
      </c>
      <c r="C92" s="6">
        <f t="shared" si="1"/>
        <v>0</v>
      </c>
      <c r="D92" t="s">
        <v>44</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t="s">
        <v>43</v>
      </c>
      <c r="Y92">
        <v>22</v>
      </c>
      <c r="Z92">
        <v>4</v>
      </c>
      <c r="AA92">
        <v>4</v>
      </c>
      <c r="AB92">
        <v>80</v>
      </c>
      <c r="AC92">
        <v>1</v>
      </c>
      <c r="AD92">
        <v>22</v>
      </c>
      <c r="AE92">
        <v>3</v>
      </c>
      <c r="AF92">
        <v>2</v>
      </c>
      <c r="AG92">
        <v>22</v>
      </c>
      <c r="AH92">
        <v>3</v>
      </c>
      <c r="AI92">
        <v>11</v>
      </c>
      <c r="AJ92">
        <v>11</v>
      </c>
    </row>
    <row r="93" spans="1:36" x14ac:dyDescent="0.3">
      <c r="A93">
        <v>51</v>
      </c>
      <c r="B93" t="s">
        <v>43</v>
      </c>
      <c r="C93" s="6">
        <f t="shared" si="1"/>
        <v>0</v>
      </c>
      <c r="D93" t="s">
        <v>36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t="s">
        <v>35</v>
      </c>
      <c r="Y93">
        <v>22</v>
      </c>
      <c r="Z93">
        <v>4</v>
      </c>
      <c r="AA93">
        <v>4</v>
      </c>
      <c r="AB93">
        <v>80</v>
      </c>
      <c r="AC93">
        <v>0</v>
      </c>
      <c r="AD93">
        <v>11</v>
      </c>
      <c r="AE93">
        <v>2</v>
      </c>
      <c r="AF93">
        <v>1</v>
      </c>
      <c r="AG93">
        <v>10</v>
      </c>
      <c r="AH93">
        <v>7</v>
      </c>
      <c r="AI93">
        <v>1</v>
      </c>
      <c r="AJ93">
        <v>0</v>
      </c>
    </row>
    <row r="94" spans="1:36" x14ac:dyDescent="0.3">
      <c r="A94">
        <v>30</v>
      </c>
      <c r="B94" t="s">
        <v>43</v>
      </c>
      <c r="C94" s="6">
        <f t="shared" si="1"/>
        <v>0</v>
      </c>
      <c r="D94" t="s">
        <v>36</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t="s">
        <v>35</v>
      </c>
      <c r="Y94">
        <v>12</v>
      </c>
      <c r="Z94">
        <v>3</v>
      </c>
      <c r="AA94">
        <v>2</v>
      </c>
      <c r="AB94">
        <v>80</v>
      </c>
      <c r="AC94">
        <v>3</v>
      </c>
      <c r="AD94">
        <v>11</v>
      </c>
      <c r="AE94">
        <v>4</v>
      </c>
      <c r="AF94">
        <v>2</v>
      </c>
      <c r="AG94">
        <v>11</v>
      </c>
      <c r="AH94">
        <v>8</v>
      </c>
      <c r="AI94">
        <v>2</v>
      </c>
      <c r="AJ94">
        <v>7</v>
      </c>
    </row>
    <row r="95" spans="1:36" x14ac:dyDescent="0.3">
      <c r="A95">
        <v>46</v>
      </c>
      <c r="B95" t="s">
        <v>43</v>
      </c>
      <c r="C95" s="6">
        <f t="shared" si="1"/>
        <v>0</v>
      </c>
      <c r="D95" t="s">
        <v>44</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t="s">
        <v>35</v>
      </c>
      <c r="Y95">
        <v>13</v>
      </c>
      <c r="Z95">
        <v>3</v>
      </c>
      <c r="AA95">
        <v>3</v>
      </c>
      <c r="AB95">
        <v>80</v>
      </c>
      <c r="AC95">
        <v>1</v>
      </c>
      <c r="AD95">
        <v>21</v>
      </c>
      <c r="AE95">
        <v>5</v>
      </c>
      <c r="AF95">
        <v>2</v>
      </c>
      <c r="AG95">
        <v>10</v>
      </c>
      <c r="AH95">
        <v>9</v>
      </c>
      <c r="AI95">
        <v>9</v>
      </c>
      <c r="AJ95">
        <v>5</v>
      </c>
    </row>
    <row r="96" spans="1:36" x14ac:dyDescent="0.3">
      <c r="A96">
        <v>32</v>
      </c>
      <c r="B96" t="s">
        <v>43</v>
      </c>
      <c r="C96" s="6">
        <f t="shared" si="1"/>
        <v>0</v>
      </c>
      <c r="D96" t="s">
        <v>36</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t="s">
        <v>43</v>
      </c>
      <c r="Y96">
        <v>16</v>
      </c>
      <c r="Z96">
        <v>3</v>
      </c>
      <c r="AA96">
        <v>1</v>
      </c>
      <c r="AB96">
        <v>80</v>
      </c>
      <c r="AC96">
        <v>0</v>
      </c>
      <c r="AD96">
        <v>12</v>
      </c>
      <c r="AE96">
        <v>0</v>
      </c>
      <c r="AF96">
        <v>3</v>
      </c>
      <c r="AG96">
        <v>11</v>
      </c>
      <c r="AH96">
        <v>8</v>
      </c>
      <c r="AI96">
        <v>5</v>
      </c>
      <c r="AJ96">
        <v>7</v>
      </c>
    </row>
    <row r="97" spans="1:36" x14ac:dyDescent="0.3">
      <c r="A97">
        <v>54</v>
      </c>
      <c r="B97" t="s">
        <v>43</v>
      </c>
      <c r="C97" s="6">
        <f t="shared" si="1"/>
        <v>0</v>
      </c>
      <c r="D97" t="s">
        <v>36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t="s">
        <v>43</v>
      </c>
      <c r="Y97">
        <v>12</v>
      </c>
      <c r="Z97">
        <v>3</v>
      </c>
      <c r="AA97">
        <v>1</v>
      </c>
      <c r="AB97">
        <v>80</v>
      </c>
      <c r="AC97">
        <v>1</v>
      </c>
      <c r="AD97">
        <v>16</v>
      </c>
      <c r="AE97">
        <v>5</v>
      </c>
      <c r="AF97">
        <v>1</v>
      </c>
      <c r="AG97">
        <v>4</v>
      </c>
      <c r="AH97">
        <v>3</v>
      </c>
      <c r="AI97">
        <v>0</v>
      </c>
      <c r="AJ97">
        <v>3</v>
      </c>
    </row>
    <row r="98" spans="1:36" x14ac:dyDescent="0.3">
      <c r="A98">
        <v>24</v>
      </c>
      <c r="B98" t="s">
        <v>43</v>
      </c>
      <c r="C98" s="6">
        <f t="shared" si="1"/>
        <v>0</v>
      </c>
      <c r="D98" t="s">
        <v>36</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t="s">
        <v>43</v>
      </c>
      <c r="Y98">
        <v>21</v>
      </c>
      <c r="Z98">
        <v>4</v>
      </c>
      <c r="AA98">
        <v>1</v>
      </c>
      <c r="AB98">
        <v>80</v>
      </c>
      <c r="AC98">
        <v>1</v>
      </c>
      <c r="AD98">
        <v>4</v>
      </c>
      <c r="AE98">
        <v>2</v>
      </c>
      <c r="AF98">
        <v>2</v>
      </c>
      <c r="AG98">
        <v>3</v>
      </c>
      <c r="AH98">
        <v>2</v>
      </c>
      <c r="AI98">
        <v>0</v>
      </c>
      <c r="AJ98">
        <v>2</v>
      </c>
    </row>
    <row r="99" spans="1:36" x14ac:dyDescent="0.3">
      <c r="A99">
        <v>28</v>
      </c>
      <c r="B99" t="s">
        <v>43</v>
      </c>
      <c r="C99" s="6">
        <f t="shared" si="1"/>
        <v>0</v>
      </c>
      <c r="D99" t="s">
        <v>55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t="s">
        <v>43</v>
      </c>
      <c r="Y99">
        <v>15</v>
      </c>
      <c r="Z99">
        <v>3</v>
      </c>
      <c r="AA99">
        <v>2</v>
      </c>
      <c r="AB99">
        <v>80</v>
      </c>
      <c r="AC99">
        <v>0</v>
      </c>
      <c r="AD99">
        <v>5</v>
      </c>
      <c r="AE99">
        <v>3</v>
      </c>
      <c r="AF99">
        <v>4</v>
      </c>
      <c r="AG99">
        <v>5</v>
      </c>
      <c r="AH99">
        <v>4</v>
      </c>
      <c r="AI99">
        <v>0</v>
      </c>
      <c r="AJ99">
        <v>4</v>
      </c>
    </row>
    <row r="100" spans="1:36" x14ac:dyDescent="0.3">
      <c r="A100">
        <v>58</v>
      </c>
      <c r="B100" t="s">
        <v>43</v>
      </c>
      <c r="C100" s="6">
        <f t="shared" si="1"/>
        <v>0</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t="s">
        <v>43</v>
      </c>
      <c r="Y100">
        <v>13</v>
      </c>
      <c r="Z100">
        <v>3</v>
      </c>
      <c r="AA100">
        <v>3</v>
      </c>
      <c r="AB100">
        <v>80</v>
      </c>
      <c r="AC100">
        <v>0</v>
      </c>
      <c r="AD100">
        <v>38</v>
      </c>
      <c r="AE100">
        <v>1</v>
      </c>
      <c r="AF100">
        <v>2</v>
      </c>
      <c r="AG100">
        <v>37</v>
      </c>
      <c r="AH100">
        <v>10</v>
      </c>
      <c r="AI100">
        <v>1</v>
      </c>
      <c r="AJ100">
        <v>8</v>
      </c>
    </row>
    <row r="101" spans="1:36" x14ac:dyDescent="0.3">
      <c r="A101">
        <v>44</v>
      </c>
      <c r="B101" t="s">
        <v>43</v>
      </c>
      <c r="C101" s="6">
        <f t="shared" si="1"/>
        <v>0</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t="s">
        <v>43</v>
      </c>
      <c r="Y101">
        <v>12</v>
      </c>
      <c r="Z101">
        <v>3</v>
      </c>
      <c r="AA101">
        <v>3</v>
      </c>
      <c r="AB101">
        <v>80</v>
      </c>
      <c r="AC101">
        <v>1</v>
      </c>
      <c r="AD101">
        <v>17</v>
      </c>
      <c r="AE101">
        <v>3</v>
      </c>
      <c r="AF101">
        <v>4</v>
      </c>
      <c r="AG101">
        <v>3</v>
      </c>
      <c r="AH101">
        <v>2</v>
      </c>
      <c r="AI101">
        <v>1</v>
      </c>
      <c r="AJ101">
        <v>2</v>
      </c>
    </row>
    <row r="102" spans="1:36" x14ac:dyDescent="0.3">
      <c r="A102">
        <v>37</v>
      </c>
      <c r="B102" t="s">
        <v>35</v>
      </c>
      <c r="C102" s="6">
        <f t="shared" si="1"/>
        <v>1</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t="s">
        <v>35</v>
      </c>
      <c r="Y102">
        <v>22</v>
      </c>
      <c r="Z102">
        <v>4</v>
      </c>
      <c r="AA102">
        <v>4</v>
      </c>
      <c r="AB102">
        <v>80</v>
      </c>
      <c r="AC102">
        <v>0</v>
      </c>
      <c r="AD102">
        <v>7</v>
      </c>
      <c r="AE102">
        <v>3</v>
      </c>
      <c r="AF102">
        <v>3</v>
      </c>
      <c r="AG102">
        <v>3</v>
      </c>
      <c r="AH102">
        <v>2</v>
      </c>
      <c r="AI102">
        <v>0</v>
      </c>
      <c r="AJ102">
        <v>2</v>
      </c>
    </row>
    <row r="103" spans="1:36" x14ac:dyDescent="0.3">
      <c r="A103">
        <v>32</v>
      </c>
      <c r="B103" t="s">
        <v>43</v>
      </c>
      <c r="C103" s="6">
        <f t="shared" si="1"/>
        <v>0</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t="s">
        <v>43</v>
      </c>
      <c r="Y103">
        <v>13</v>
      </c>
      <c r="Z103">
        <v>3</v>
      </c>
      <c r="AA103">
        <v>4</v>
      </c>
      <c r="AB103">
        <v>80</v>
      </c>
      <c r="AC103">
        <v>0</v>
      </c>
      <c r="AD103">
        <v>1</v>
      </c>
      <c r="AE103">
        <v>2</v>
      </c>
      <c r="AF103">
        <v>3</v>
      </c>
      <c r="AG103">
        <v>1</v>
      </c>
      <c r="AH103">
        <v>0</v>
      </c>
      <c r="AI103">
        <v>0</v>
      </c>
      <c r="AJ103">
        <v>0</v>
      </c>
    </row>
    <row r="104" spans="1:36" x14ac:dyDescent="0.3">
      <c r="A104">
        <v>20</v>
      </c>
      <c r="B104" t="s">
        <v>35</v>
      </c>
      <c r="C104" s="6">
        <f t="shared" si="1"/>
        <v>1</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t="s">
        <v>35</v>
      </c>
      <c r="Y104">
        <v>18</v>
      </c>
      <c r="Z104">
        <v>3</v>
      </c>
      <c r="AA104">
        <v>2</v>
      </c>
      <c r="AB104">
        <v>80</v>
      </c>
      <c r="AC104">
        <v>0</v>
      </c>
      <c r="AD104">
        <v>1</v>
      </c>
      <c r="AE104">
        <v>5</v>
      </c>
      <c r="AF104">
        <v>3</v>
      </c>
      <c r="AG104">
        <v>1</v>
      </c>
      <c r="AH104">
        <v>0</v>
      </c>
      <c r="AI104">
        <v>1</v>
      </c>
      <c r="AJ104">
        <v>0</v>
      </c>
    </row>
    <row r="105" spans="1:36" x14ac:dyDescent="0.3">
      <c r="A105">
        <v>34</v>
      </c>
      <c r="B105" t="s">
        <v>43</v>
      </c>
      <c r="C105" s="6">
        <f t="shared" si="1"/>
        <v>0</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t="s">
        <v>43</v>
      </c>
      <c r="Y105">
        <v>14</v>
      </c>
      <c r="Z105">
        <v>3</v>
      </c>
      <c r="AA105">
        <v>3</v>
      </c>
      <c r="AB105">
        <v>80</v>
      </c>
      <c r="AC105">
        <v>0</v>
      </c>
      <c r="AD105">
        <v>16</v>
      </c>
      <c r="AE105">
        <v>3</v>
      </c>
      <c r="AF105">
        <v>3</v>
      </c>
      <c r="AG105">
        <v>16</v>
      </c>
      <c r="AH105">
        <v>13</v>
      </c>
      <c r="AI105">
        <v>2</v>
      </c>
      <c r="AJ105">
        <v>10</v>
      </c>
    </row>
    <row r="106" spans="1:36" x14ac:dyDescent="0.3">
      <c r="A106">
        <v>37</v>
      </c>
      <c r="B106" t="s">
        <v>43</v>
      </c>
      <c r="C106" s="6">
        <f t="shared" si="1"/>
        <v>0</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t="s">
        <v>43</v>
      </c>
      <c r="Y106">
        <v>14</v>
      </c>
      <c r="Z106">
        <v>3</v>
      </c>
      <c r="AA106">
        <v>4</v>
      </c>
      <c r="AB106">
        <v>80</v>
      </c>
      <c r="AC106">
        <v>1</v>
      </c>
      <c r="AD106">
        <v>17</v>
      </c>
      <c r="AE106">
        <v>2</v>
      </c>
      <c r="AF106">
        <v>4</v>
      </c>
      <c r="AG106">
        <v>1</v>
      </c>
      <c r="AH106">
        <v>0</v>
      </c>
      <c r="AI106">
        <v>0</v>
      </c>
      <c r="AJ106">
        <v>0</v>
      </c>
    </row>
    <row r="107" spans="1:36" x14ac:dyDescent="0.3">
      <c r="A107">
        <v>59</v>
      </c>
      <c r="B107" t="s">
        <v>43</v>
      </c>
      <c r="C107" s="6">
        <f t="shared" si="1"/>
        <v>0</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t="s">
        <v>43</v>
      </c>
      <c r="Y107">
        <v>21</v>
      </c>
      <c r="Z107">
        <v>4</v>
      </c>
      <c r="AA107">
        <v>4</v>
      </c>
      <c r="AB107">
        <v>80</v>
      </c>
      <c r="AC107">
        <v>1</v>
      </c>
      <c r="AD107">
        <v>30</v>
      </c>
      <c r="AE107">
        <v>3</v>
      </c>
      <c r="AF107">
        <v>3</v>
      </c>
      <c r="AG107">
        <v>3</v>
      </c>
      <c r="AH107">
        <v>2</v>
      </c>
      <c r="AI107">
        <v>2</v>
      </c>
      <c r="AJ107">
        <v>2</v>
      </c>
    </row>
    <row r="108" spans="1:36" x14ac:dyDescent="0.3">
      <c r="A108">
        <v>50</v>
      </c>
      <c r="B108" t="s">
        <v>43</v>
      </c>
      <c r="C108" s="6">
        <f t="shared" si="1"/>
        <v>0</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t="s">
        <v>35</v>
      </c>
      <c r="Y108">
        <v>19</v>
      </c>
      <c r="Z108">
        <v>3</v>
      </c>
      <c r="AA108">
        <v>1</v>
      </c>
      <c r="AB108">
        <v>80</v>
      </c>
      <c r="AC108">
        <v>0</v>
      </c>
      <c r="AD108">
        <v>28</v>
      </c>
      <c r="AE108">
        <v>1</v>
      </c>
      <c r="AF108">
        <v>2</v>
      </c>
      <c r="AG108">
        <v>8</v>
      </c>
      <c r="AH108">
        <v>3</v>
      </c>
      <c r="AI108">
        <v>0</v>
      </c>
      <c r="AJ108">
        <v>7</v>
      </c>
    </row>
    <row r="109" spans="1:36" x14ac:dyDescent="0.3">
      <c r="A109">
        <v>25</v>
      </c>
      <c r="B109" t="s">
        <v>35</v>
      </c>
      <c r="C109" s="6">
        <f t="shared" si="1"/>
        <v>1</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t="s">
        <v>35</v>
      </c>
      <c r="Y109">
        <v>11</v>
      </c>
      <c r="Z109">
        <v>3</v>
      </c>
      <c r="AA109">
        <v>4</v>
      </c>
      <c r="AB109">
        <v>80</v>
      </c>
      <c r="AC109">
        <v>0</v>
      </c>
      <c r="AD109">
        <v>6</v>
      </c>
      <c r="AE109">
        <v>1</v>
      </c>
      <c r="AF109">
        <v>3</v>
      </c>
      <c r="AG109">
        <v>6</v>
      </c>
      <c r="AH109">
        <v>4</v>
      </c>
      <c r="AI109">
        <v>0</v>
      </c>
      <c r="AJ109">
        <v>3</v>
      </c>
    </row>
    <row r="110" spans="1:36" x14ac:dyDescent="0.3">
      <c r="A110">
        <v>25</v>
      </c>
      <c r="B110" t="s">
        <v>43</v>
      </c>
      <c r="C110" s="6">
        <f t="shared" si="1"/>
        <v>0</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t="s">
        <v>43</v>
      </c>
      <c r="Y110">
        <v>11</v>
      </c>
      <c r="Z110">
        <v>3</v>
      </c>
      <c r="AA110">
        <v>3</v>
      </c>
      <c r="AB110">
        <v>80</v>
      </c>
      <c r="AC110">
        <v>2</v>
      </c>
      <c r="AD110">
        <v>2</v>
      </c>
      <c r="AE110">
        <v>2</v>
      </c>
      <c r="AF110">
        <v>3</v>
      </c>
      <c r="AG110">
        <v>2</v>
      </c>
      <c r="AH110">
        <v>2</v>
      </c>
      <c r="AI110">
        <v>2</v>
      </c>
      <c r="AJ110">
        <v>1</v>
      </c>
    </row>
    <row r="111" spans="1:36" x14ac:dyDescent="0.3">
      <c r="A111">
        <v>22</v>
      </c>
      <c r="B111" t="s">
        <v>43</v>
      </c>
      <c r="C111" s="6">
        <f t="shared" si="1"/>
        <v>0</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t="s">
        <v>43</v>
      </c>
      <c r="Y111">
        <v>15</v>
      </c>
      <c r="Z111">
        <v>3</v>
      </c>
      <c r="AA111">
        <v>3</v>
      </c>
      <c r="AB111">
        <v>80</v>
      </c>
      <c r="AC111">
        <v>0</v>
      </c>
      <c r="AD111">
        <v>1</v>
      </c>
      <c r="AE111">
        <v>5</v>
      </c>
      <c r="AF111">
        <v>3</v>
      </c>
      <c r="AG111">
        <v>0</v>
      </c>
      <c r="AH111">
        <v>0</v>
      </c>
      <c r="AI111">
        <v>0</v>
      </c>
      <c r="AJ111">
        <v>0</v>
      </c>
    </row>
    <row r="112" spans="1:36" x14ac:dyDescent="0.3">
      <c r="A112">
        <v>51</v>
      </c>
      <c r="B112" t="s">
        <v>43</v>
      </c>
      <c r="C112" s="6">
        <f t="shared" si="1"/>
        <v>0</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t="s">
        <v>43</v>
      </c>
      <c r="Y112">
        <v>20</v>
      </c>
      <c r="Z112">
        <v>4</v>
      </c>
      <c r="AA112">
        <v>3</v>
      </c>
      <c r="AB112">
        <v>80</v>
      </c>
      <c r="AC112">
        <v>0</v>
      </c>
      <c r="AD112">
        <v>23</v>
      </c>
      <c r="AE112">
        <v>1</v>
      </c>
      <c r="AF112">
        <v>2</v>
      </c>
      <c r="AG112">
        <v>13</v>
      </c>
      <c r="AH112">
        <v>12</v>
      </c>
      <c r="AI112">
        <v>12</v>
      </c>
      <c r="AJ112">
        <v>8</v>
      </c>
    </row>
    <row r="113" spans="1:36" x14ac:dyDescent="0.3">
      <c r="A113">
        <v>34</v>
      </c>
      <c r="B113" t="s">
        <v>35</v>
      </c>
      <c r="C113" s="6">
        <f t="shared" si="1"/>
        <v>1</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t="s">
        <v>35</v>
      </c>
      <c r="Y113">
        <v>24</v>
      </c>
      <c r="Z113">
        <v>4</v>
      </c>
      <c r="AA113">
        <v>4</v>
      </c>
      <c r="AB113">
        <v>80</v>
      </c>
      <c r="AC113">
        <v>0</v>
      </c>
      <c r="AD113">
        <v>9</v>
      </c>
      <c r="AE113">
        <v>3</v>
      </c>
      <c r="AF113">
        <v>3</v>
      </c>
      <c r="AG113">
        <v>9</v>
      </c>
      <c r="AH113">
        <v>7</v>
      </c>
      <c r="AI113">
        <v>0</v>
      </c>
      <c r="AJ113">
        <v>6</v>
      </c>
    </row>
    <row r="114" spans="1:36" x14ac:dyDescent="0.3">
      <c r="A114">
        <v>54</v>
      </c>
      <c r="B114" t="s">
        <v>43</v>
      </c>
      <c r="C114" s="6">
        <f t="shared" si="1"/>
        <v>0</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t="s">
        <v>35</v>
      </c>
      <c r="Y114">
        <v>12</v>
      </c>
      <c r="Z114">
        <v>3</v>
      </c>
      <c r="AA114">
        <v>3</v>
      </c>
      <c r="AB114">
        <v>80</v>
      </c>
      <c r="AC114">
        <v>0</v>
      </c>
      <c r="AD114">
        <v>23</v>
      </c>
      <c r="AE114">
        <v>3</v>
      </c>
      <c r="AF114">
        <v>3</v>
      </c>
      <c r="AG114">
        <v>5</v>
      </c>
      <c r="AH114">
        <v>3</v>
      </c>
      <c r="AI114">
        <v>4</v>
      </c>
      <c r="AJ114">
        <v>4</v>
      </c>
    </row>
    <row r="115" spans="1:36" x14ac:dyDescent="0.3">
      <c r="A115">
        <v>24</v>
      </c>
      <c r="B115" t="s">
        <v>43</v>
      </c>
      <c r="C115" s="6">
        <f t="shared" si="1"/>
        <v>0</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t="s">
        <v>43</v>
      </c>
      <c r="Y115">
        <v>12</v>
      </c>
      <c r="Z115">
        <v>3</v>
      </c>
      <c r="AA115">
        <v>3</v>
      </c>
      <c r="AB115">
        <v>80</v>
      </c>
      <c r="AC115">
        <v>1</v>
      </c>
      <c r="AD115">
        <v>6</v>
      </c>
      <c r="AE115">
        <v>2</v>
      </c>
      <c r="AF115">
        <v>3</v>
      </c>
      <c r="AG115">
        <v>5</v>
      </c>
      <c r="AH115">
        <v>3</v>
      </c>
      <c r="AI115">
        <v>1</v>
      </c>
      <c r="AJ115">
        <v>2</v>
      </c>
    </row>
    <row r="116" spans="1:36" x14ac:dyDescent="0.3">
      <c r="A116">
        <v>34</v>
      </c>
      <c r="B116" t="s">
        <v>43</v>
      </c>
      <c r="C116" s="6">
        <f t="shared" si="1"/>
        <v>0</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t="s">
        <v>43</v>
      </c>
      <c r="Y116">
        <v>15</v>
      </c>
      <c r="Z116">
        <v>3</v>
      </c>
      <c r="AA116">
        <v>3</v>
      </c>
      <c r="AB116">
        <v>80</v>
      </c>
      <c r="AC116">
        <v>1</v>
      </c>
      <c r="AD116">
        <v>12</v>
      </c>
      <c r="AE116">
        <v>3</v>
      </c>
      <c r="AF116">
        <v>3</v>
      </c>
      <c r="AG116">
        <v>1</v>
      </c>
      <c r="AH116">
        <v>0</v>
      </c>
      <c r="AI116">
        <v>0</v>
      </c>
      <c r="AJ116">
        <v>0</v>
      </c>
    </row>
    <row r="117" spans="1:36" x14ac:dyDescent="0.3">
      <c r="A117">
        <v>37</v>
      </c>
      <c r="B117" t="s">
        <v>43</v>
      </c>
      <c r="C117" s="6">
        <f t="shared" si="1"/>
        <v>0</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t="s">
        <v>43</v>
      </c>
      <c r="Y117">
        <v>12</v>
      </c>
      <c r="Z117">
        <v>3</v>
      </c>
      <c r="AA117">
        <v>1</v>
      </c>
      <c r="AB117">
        <v>80</v>
      </c>
      <c r="AC117">
        <v>0</v>
      </c>
      <c r="AD117">
        <v>12</v>
      </c>
      <c r="AE117">
        <v>3</v>
      </c>
      <c r="AF117">
        <v>3</v>
      </c>
      <c r="AG117">
        <v>5</v>
      </c>
      <c r="AH117">
        <v>3</v>
      </c>
      <c r="AI117">
        <v>1</v>
      </c>
      <c r="AJ117">
        <v>3</v>
      </c>
    </row>
    <row r="118" spans="1:36" x14ac:dyDescent="0.3">
      <c r="A118">
        <v>34</v>
      </c>
      <c r="B118" t="s">
        <v>43</v>
      </c>
      <c r="C118" s="6">
        <f t="shared" si="1"/>
        <v>0</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t="s">
        <v>43</v>
      </c>
      <c r="Y118">
        <v>12</v>
      </c>
      <c r="Z118">
        <v>3</v>
      </c>
      <c r="AA118">
        <v>4</v>
      </c>
      <c r="AB118">
        <v>80</v>
      </c>
      <c r="AC118">
        <v>0</v>
      </c>
      <c r="AD118">
        <v>14</v>
      </c>
      <c r="AE118">
        <v>6</v>
      </c>
      <c r="AF118">
        <v>3</v>
      </c>
      <c r="AG118">
        <v>11</v>
      </c>
      <c r="AH118">
        <v>10</v>
      </c>
      <c r="AI118">
        <v>5</v>
      </c>
      <c r="AJ118">
        <v>8</v>
      </c>
    </row>
    <row r="119" spans="1:36" x14ac:dyDescent="0.3">
      <c r="A119">
        <v>36</v>
      </c>
      <c r="B119" t="s">
        <v>43</v>
      </c>
      <c r="C119" s="6">
        <f t="shared" si="1"/>
        <v>0</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t="s">
        <v>43</v>
      </c>
      <c r="Y119">
        <v>14</v>
      </c>
      <c r="Z119">
        <v>3</v>
      </c>
      <c r="AA119">
        <v>3</v>
      </c>
      <c r="AB119">
        <v>80</v>
      </c>
      <c r="AC119">
        <v>1</v>
      </c>
      <c r="AD119">
        <v>10</v>
      </c>
      <c r="AE119">
        <v>6</v>
      </c>
      <c r="AF119">
        <v>3</v>
      </c>
      <c r="AG119">
        <v>9</v>
      </c>
      <c r="AH119">
        <v>7</v>
      </c>
      <c r="AI119">
        <v>2</v>
      </c>
      <c r="AJ119">
        <v>8</v>
      </c>
    </row>
    <row r="120" spans="1:36" x14ac:dyDescent="0.3">
      <c r="A120">
        <v>36</v>
      </c>
      <c r="B120" t="s">
        <v>43</v>
      </c>
      <c r="C120" s="6">
        <f t="shared" si="1"/>
        <v>0</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t="s">
        <v>43</v>
      </c>
      <c r="Y120">
        <v>22</v>
      </c>
      <c r="Z120">
        <v>4</v>
      </c>
      <c r="AA120">
        <v>1</v>
      </c>
      <c r="AB120">
        <v>80</v>
      </c>
      <c r="AC120">
        <v>1</v>
      </c>
      <c r="AD120">
        <v>7</v>
      </c>
      <c r="AE120">
        <v>2</v>
      </c>
      <c r="AF120">
        <v>3</v>
      </c>
      <c r="AG120">
        <v>1</v>
      </c>
      <c r="AH120">
        <v>0</v>
      </c>
      <c r="AI120">
        <v>0</v>
      </c>
      <c r="AJ120">
        <v>0</v>
      </c>
    </row>
    <row r="121" spans="1:36" x14ac:dyDescent="0.3">
      <c r="A121">
        <v>43</v>
      </c>
      <c r="B121" t="s">
        <v>43</v>
      </c>
      <c r="C121" s="6">
        <f t="shared" si="1"/>
        <v>0</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t="s">
        <v>35</v>
      </c>
      <c r="Y121">
        <v>12</v>
      </c>
      <c r="Z121">
        <v>3</v>
      </c>
      <c r="AA121">
        <v>4</v>
      </c>
      <c r="AB121">
        <v>80</v>
      </c>
      <c r="AC121">
        <v>2</v>
      </c>
      <c r="AD121">
        <v>25</v>
      </c>
      <c r="AE121">
        <v>3</v>
      </c>
      <c r="AF121">
        <v>4</v>
      </c>
      <c r="AG121">
        <v>25</v>
      </c>
      <c r="AH121">
        <v>12</v>
      </c>
      <c r="AI121">
        <v>4</v>
      </c>
      <c r="AJ121">
        <v>12</v>
      </c>
    </row>
    <row r="122" spans="1:36" x14ac:dyDescent="0.3">
      <c r="A122">
        <v>30</v>
      </c>
      <c r="B122" t="s">
        <v>43</v>
      </c>
      <c r="C122" s="6">
        <f t="shared" si="1"/>
        <v>0</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t="s">
        <v>43</v>
      </c>
      <c r="Y122">
        <v>25</v>
      </c>
      <c r="Z122">
        <v>4</v>
      </c>
      <c r="AA122">
        <v>3</v>
      </c>
      <c r="AB122">
        <v>80</v>
      </c>
      <c r="AC122">
        <v>3</v>
      </c>
      <c r="AD122">
        <v>10</v>
      </c>
      <c r="AE122">
        <v>2</v>
      </c>
      <c r="AF122">
        <v>2</v>
      </c>
      <c r="AG122">
        <v>10</v>
      </c>
      <c r="AH122">
        <v>7</v>
      </c>
      <c r="AI122">
        <v>0</v>
      </c>
      <c r="AJ122">
        <v>9</v>
      </c>
    </row>
    <row r="123" spans="1:36" x14ac:dyDescent="0.3">
      <c r="A123">
        <v>33</v>
      </c>
      <c r="B123" t="s">
        <v>43</v>
      </c>
      <c r="C123" s="6">
        <f t="shared" si="1"/>
        <v>0</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t="s">
        <v>43</v>
      </c>
      <c r="Y123">
        <v>13</v>
      </c>
      <c r="Z123">
        <v>3</v>
      </c>
      <c r="AA123">
        <v>1</v>
      </c>
      <c r="AB123">
        <v>80</v>
      </c>
      <c r="AC123">
        <v>1</v>
      </c>
      <c r="AD123">
        <v>8</v>
      </c>
      <c r="AE123">
        <v>2</v>
      </c>
      <c r="AF123">
        <v>4</v>
      </c>
      <c r="AG123">
        <v>7</v>
      </c>
      <c r="AH123">
        <v>7</v>
      </c>
      <c r="AI123">
        <v>0</v>
      </c>
      <c r="AJ123">
        <v>7</v>
      </c>
    </row>
    <row r="124" spans="1:36" x14ac:dyDescent="0.3">
      <c r="A124">
        <v>56</v>
      </c>
      <c r="B124" t="s">
        <v>35</v>
      </c>
      <c r="C124" s="6">
        <f t="shared" si="1"/>
        <v>1</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t="s">
        <v>35</v>
      </c>
      <c r="Y124">
        <v>18</v>
      </c>
      <c r="Z124">
        <v>3</v>
      </c>
      <c r="AA124">
        <v>1</v>
      </c>
      <c r="AB124">
        <v>80</v>
      </c>
      <c r="AC124">
        <v>3</v>
      </c>
      <c r="AD124">
        <v>7</v>
      </c>
      <c r="AE124">
        <v>2</v>
      </c>
      <c r="AF124">
        <v>3</v>
      </c>
      <c r="AG124">
        <v>5</v>
      </c>
      <c r="AH124">
        <v>4</v>
      </c>
      <c r="AI124">
        <v>4</v>
      </c>
      <c r="AJ124">
        <v>3</v>
      </c>
    </row>
    <row r="125" spans="1:36" x14ac:dyDescent="0.3">
      <c r="A125">
        <v>51</v>
      </c>
      <c r="B125" t="s">
        <v>43</v>
      </c>
      <c r="C125" s="6">
        <f t="shared" si="1"/>
        <v>0</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t="s">
        <v>43</v>
      </c>
      <c r="Y125">
        <v>13</v>
      </c>
      <c r="Z125">
        <v>3</v>
      </c>
      <c r="AA125">
        <v>3</v>
      </c>
      <c r="AB125">
        <v>80</v>
      </c>
      <c r="AC125">
        <v>0</v>
      </c>
      <c r="AD125">
        <v>23</v>
      </c>
      <c r="AE125">
        <v>5</v>
      </c>
      <c r="AF125">
        <v>3</v>
      </c>
      <c r="AG125">
        <v>20</v>
      </c>
      <c r="AH125">
        <v>18</v>
      </c>
      <c r="AI125">
        <v>15</v>
      </c>
      <c r="AJ125">
        <v>15</v>
      </c>
    </row>
    <row r="126" spans="1:36" x14ac:dyDescent="0.3">
      <c r="A126">
        <v>31</v>
      </c>
      <c r="B126" t="s">
        <v>35</v>
      </c>
      <c r="C126" s="6">
        <f t="shared" si="1"/>
        <v>1</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t="s">
        <v>35</v>
      </c>
      <c r="Y126">
        <v>18</v>
      </c>
      <c r="Z126">
        <v>3</v>
      </c>
      <c r="AA126">
        <v>2</v>
      </c>
      <c r="AB126">
        <v>80</v>
      </c>
      <c r="AC126">
        <v>0</v>
      </c>
      <c r="AD126">
        <v>12</v>
      </c>
      <c r="AE126">
        <v>3</v>
      </c>
      <c r="AF126">
        <v>2</v>
      </c>
      <c r="AG126">
        <v>7</v>
      </c>
      <c r="AH126">
        <v>7</v>
      </c>
      <c r="AI126">
        <v>7</v>
      </c>
      <c r="AJ126">
        <v>7</v>
      </c>
    </row>
    <row r="127" spans="1:36" x14ac:dyDescent="0.3">
      <c r="A127">
        <v>26</v>
      </c>
      <c r="B127" t="s">
        <v>43</v>
      </c>
      <c r="C127" s="6">
        <f t="shared" si="1"/>
        <v>0</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t="s">
        <v>43</v>
      </c>
      <c r="Y127">
        <v>19</v>
      </c>
      <c r="Z127">
        <v>3</v>
      </c>
      <c r="AA127">
        <v>3</v>
      </c>
      <c r="AB127">
        <v>80</v>
      </c>
      <c r="AC127">
        <v>0</v>
      </c>
      <c r="AD127">
        <v>5</v>
      </c>
      <c r="AE127">
        <v>3</v>
      </c>
      <c r="AF127">
        <v>2</v>
      </c>
      <c r="AG127">
        <v>5</v>
      </c>
      <c r="AH127">
        <v>4</v>
      </c>
      <c r="AI127">
        <v>4</v>
      </c>
      <c r="AJ127">
        <v>3</v>
      </c>
    </row>
    <row r="128" spans="1:36" x14ac:dyDescent="0.3">
      <c r="A128">
        <v>58</v>
      </c>
      <c r="B128" t="s">
        <v>35</v>
      </c>
      <c r="C128" s="6">
        <f t="shared" si="1"/>
        <v>1</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t="s">
        <v>43</v>
      </c>
      <c r="Y128">
        <v>12</v>
      </c>
      <c r="Z128">
        <v>3</v>
      </c>
      <c r="AA128">
        <v>4</v>
      </c>
      <c r="AB128">
        <v>80</v>
      </c>
      <c r="AC128">
        <v>1</v>
      </c>
      <c r="AD128">
        <v>40</v>
      </c>
      <c r="AE128">
        <v>3</v>
      </c>
      <c r="AF128">
        <v>2</v>
      </c>
      <c r="AG128">
        <v>40</v>
      </c>
      <c r="AH128">
        <v>10</v>
      </c>
      <c r="AI128">
        <v>15</v>
      </c>
      <c r="AJ128">
        <v>6</v>
      </c>
    </row>
    <row r="129" spans="1:36" x14ac:dyDescent="0.3">
      <c r="A129">
        <v>19</v>
      </c>
      <c r="B129" t="s">
        <v>35</v>
      </c>
      <c r="C129" s="6">
        <f t="shared" si="1"/>
        <v>1</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t="s">
        <v>35</v>
      </c>
      <c r="Y129">
        <v>19</v>
      </c>
      <c r="Z129">
        <v>3</v>
      </c>
      <c r="AA129">
        <v>4</v>
      </c>
      <c r="AB129">
        <v>80</v>
      </c>
      <c r="AC129">
        <v>0</v>
      </c>
      <c r="AD129">
        <v>0</v>
      </c>
      <c r="AE129">
        <v>2</v>
      </c>
      <c r="AF129">
        <v>2</v>
      </c>
      <c r="AG129">
        <v>0</v>
      </c>
      <c r="AH129">
        <v>0</v>
      </c>
      <c r="AI129">
        <v>0</v>
      </c>
      <c r="AJ129">
        <v>0</v>
      </c>
    </row>
    <row r="130" spans="1:36" x14ac:dyDescent="0.3">
      <c r="A130">
        <v>22</v>
      </c>
      <c r="B130" t="s">
        <v>43</v>
      </c>
      <c r="C130" s="6">
        <f t="shared" si="1"/>
        <v>0</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t="s">
        <v>43</v>
      </c>
      <c r="Y130">
        <v>14</v>
      </c>
      <c r="Z130">
        <v>3</v>
      </c>
      <c r="AA130">
        <v>3</v>
      </c>
      <c r="AB130">
        <v>80</v>
      </c>
      <c r="AC130">
        <v>1</v>
      </c>
      <c r="AD130">
        <v>3</v>
      </c>
      <c r="AE130">
        <v>2</v>
      </c>
      <c r="AF130">
        <v>3</v>
      </c>
      <c r="AG130">
        <v>2</v>
      </c>
      <c r="AH130">
        <v>1</v>
      </c>
      <c r="AI130">
        <v>2</v>
      </c>
      <c r="AJ130">
        <v>1</v>
      </c>
    </row>
    <row r="131" spans="1:36" x14ac:dyDescent="0.3">
      <c r="A131">
        <v>49</v>
      </c>
      <c r="B131" t="s">
        <v>43</v>
      </c>
      <c r="C131" s="6">
        <f t="shared" ref="C131:C194" si="2">IF(B131="Yes",1,0)</f>
        <v>0</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t="s">
        <v>43</v>
      </c>
      <c r="Y131">
        <v>14</v>
      </c>
      <c r="Z131">
        <v>3</v>
      </c>
      <c r="AA131">
        <v>3</v>
      </c>
      <c r="AB131">
        <v>80</v>
      </c>
      <c r="AC131">
        <v>0</v>
      </c>
      <c r="AD131">
        <v>16</v>
      </c>
      <c r="AE131">
        <v>2</v>
      </c>
      <c r="AF131">
        <v>2</v>
      </c>
      <c r="AG131">
        <v>15</v>
      </c>
      <c r="AH131">
        <v>11</v>
      </c>
      <c r="AI131">
        <v>5</v>
      </c>
      <c r="AJ131">
        <v>11</v>
      </c>
    </row>
    <row r="132" spans="1:36" x14ac:dyDescent="0.3">
      <c r="A132">
        <v>43</v>
      </c>
      <c r="B132" t="s">
        <v>43</v>
      </c>
      <c r="C132" s="6">
        <f t="shared" si="2"/>
        <v>0</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t="s">
        <v>43</v>
      </c>
      <c r="Y132">
        <v>12</v>
      </c>
      <c r="Z132">
        <v>3</v>
      </c>
      <c r="AA132">
        <v>4</v>
      </c>
      <c r="AB132">
        <v>80</v>
      </c>
      <c r="AC132">
        <v>0</v>
      </c>
      <c r="AD132">
        <v>18</v>
      </c>
      <c r="AE132">
        <v>2</v>
      </c>
      <c r="AF132">
        <v>3</v>
      </c>
      <c r="AG132">
        <v>3</v>
      </c>
      <c r="AH132">
        <v>2</v>
      </c>
      <c r="AI132">
        <v>1</v>
      </c>
      <c r="AJ132">
        <v>2</v>
      </c>
    </row>
    <row r="133" spans="1:36" x14ac:dyDescent="0.3">
      <c r="A133">
        <v>50</v>
      </c>
      <c r="B133" t="s">
        <v>43</v>
      </c>
      <c r="C133" s="6">
        <f t="shared" si="2"/>
        <v>0</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t="s">
        <v>43</v>
      </c>
      <c r="Y133">
        <v>11</v>
      </c>
      <c r="Z133">
        <v>3</v>
      </c>
      <c r="AA133">
        <v>4</v>
      </c>
      <c r="AB133">
        <v>80</v>
      </c>
      <c r="AC133">
        <v>0</v>
      </c>
      <c r="AD133">
        <v>16</v>
      </c>
      <c r="AE133">
        <v>3</v>
      </c>
      <c r="AF133">
        <v>3</v>
      </c>
      <c r="AG133">
        <v>2</v>
      </c>
      <c r="AH133">
        <v>2</v>
      </c>
      <c r="AI133">
        <v>2</v>
      </c>
      <c r="AJ133">
        <v>1</v>
      </c>
    </row>
    <row r="134" spans="1:36" x14ac:dyDescent="0.3">
      <c r="A134">
        <v>31</v>
      </c>
      <c r="B134" t="s">
        <v>35</v>
      </c>
      <c r="C134" s="6">
        <f t="shared" si="2"/>
        <v>1</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t="s">
        <v>35</v>
      </c>
      <c r="Y134">
        <v>11</v>
      </c>
      <c r="Z134">
        <v>3</v>
      </c>
      <c r="AA134">
        <v>3</v>
      </c>
      <c r="AB134">
        <v>80</v>
      </c>
      <c r="AC134">
        <v>1</v>
      </c>
      <c r="AD134">
        <v>4</v>
      </c>
      <c r="AE134">
        <v>2</v>
      </c>
      <c r="AF134">
        <v>3</v>
      </c>
      <c r="AG134">
        <v>2</v>
      </c>
      <c r="AH134">
        <v>2</v>
      </c>
      <c r="AI134">
        <v>2</v>
      </c>
      <c r="AJ134">
        <v>2</v>
      </c>
    </row>
    <row r="135" spans="1:36" x14ac:dyDescent="0.3">
      <c r="A135">
        <v>41</v>
      </c>
      <c r="B135" t="s">
        <v>43</v>
      </c>
      <c r="C135" s="6">
        <f t="shared" si="2"/>
        <v>0</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t="s">
        <v>35</v>
      </c>
      <c r="Y135">
        <v>13</v>
      </c>
      <c r="Z135">
        <v>3</v>
      </c>
      <c r="AA135">
        <v>3</v>
      </c>
      <c r="AB135">
        <v>80</v>
      </c>
      <c r="AC135">
        <v>1</v>
      </c>
      <c r="AD135">
        <v>12</v>
      </c>
      <c r="AE135">
        <v>2</v>
      </c>
      <c r="AF135">
        <v>3</v>
      </c>
      <c r="AG135">
        <v>9</v>
      </c>
      <c r="AH135">
        <v>7</v>
      </c>
      <c r="AI135">
        <v>0</v>
      </c>
      <c r="AJ135">
        <v>7</v>
      </c>
    </row>
    <row r="136" spans="1:36" x14ac:dyDescent="0.3">
      <c r="A136">
        <v>26</v>
      </c>
      <c r="B136" t="s">
        <v>43</v>
      </c>
      <c r="C136" s="6">
        <f t="shared" si="2"/>
        <v>0</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t="s">
        <v>43</v>
      </c>
      <c r="Y136">
        <v>23</v>
      </c>
      <c r="Z136">
        <v>4</v>
      </c>
      <c r="AA136">
        <v>4</v>
      </c>
      <c r="AB136">
        <v>80</v>
      </c>
      <c r="AC136">
        <v>1</v>
      </c>
      <c r="AD136">
        <v>8</v>
      </c>
      <c r="AE136">
        <v>3</v>
      </c>
      <c r="AF136">
        <v>3</v>
      </c>
      <c r="AG136">
        <v>8</v>
      </c>
      <c r="AH136">
        <v>7</v>
      </c>
      <c r="AI136">
        <v>5</v>
      </c>
      <c r="AJ136">
        <v>7</v>
      </c>
    </row>
    <row r="137" spans="1:36" x14ac:dyDescent="0.3">
      <c r="A137">
        <v>36</v>
      </c>
      <c r="B137" t="s">
        <v>43</v>
      </c>
      <c r="C137" s="6">
        <f t="shared" si="2"/>
        <v>0</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t="s">
        <v>43</v>
      </c>
      <c r="Y137">
        <v>20</v>
      </c>
      <c r="Z137">
        <v>4</v>
      </c>
      <c r="AA137">
        <v>4</v>
      </c>
      <c r="AB137">
        <v>80</v>
      </c>
      <c r="AC137">
        <v>2</v>
      </c>
      <c r="AD137">
        <v>7</v>
      </c>
      <c r="AE137">
        <v>0</v>
      </c>
      <c r="AF137">
        <v>3</v>
      </c>
      <c r="AG137">
        <v>3</v>
      </c>
      <c r="AH137">
        <v>2</v>
      </c>
      <c r="AI137">
        <v>0</v>
      </c>
      <c r="AJ137">
        <v>1</v>
      </c>
    </row>
    <row r="138" spans="1:36" x14ac:dyDescent="0.3">
      <c r="A138">
        <v>51</v>
      </c>
      <c r="B138" t="s">
        <v>35</v>
      </c>
      <c r="C138" s="6">
        <f t="shared" si="2"/>
        <v>1</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t="s">
        <v>43</v>
      </c>
      <c r="Y138">
        <v>15</v>
      </c>
      <c r="Z138">
        <v>3</v>
      </c>
      <c r="AA138">
        <v>4</v>
      </c>
      <c r="AB138">
        <v>80</v>
      </c>
      <c r="AC138">
        <v>0</v>
      </c>
      <c r="AD138">
        <v>18</v>
      </c>
      <c r="AE138">
        <v>2</v>
      </c>
      <c r="AF138">
        <v>3</v>
      </c>
      <c r="AG138">
        <v>4</v>
      </c>
      <c r="AH138">
        <v>2</v>
      </c>
      <c r="AI138">
        <v>0</v>
      </c>
      <c r="AJ138">
        <v>3</v>
      </c>
    </row>
    <row r="139" spans="1:36" x14ac:dyDescent="0.3">
      <c r="A139">
        <v>39</v>
      </c>
      <c r="B139" t="s">
        <v>43</v>
      </c>
      <c r="C139" s="6">
        <f t="shared" si="2"/>
        <v>0</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t="s">
        <v>43</v>
      </c>
      <c r="Y139">
        <v>14</v>
      </c>
      <c r="Z139">
        <v>3</v>
      </c>
      <c r="AA139">
        <v>3</v>
      </c>
      <c r="AB139">
        <v>80</v>
      </c>
      <c r="AC139">
        <v>1</v>
      </c>
      <c r="AD139">
        <v>17</v>
      </c>
      <c r="AE139">
        <v>1</v>
      </c>
      <c r="AF139">
        <v>4</v>
      </c>
      <c r="AG139">
        <v>15</v>
      </c>
      <c r="AH139">
        <v>11</v>
      </c>
      <c r="AI139">
        <v>5</v>
      </c>
      <c r="AJ139">
        <v>9</v>
      </c>
    </row>
    <row r="140" spans="1:36" x14ac:dyDescent="0.3">
      <c r="A140">
        <v>25</v>
      </c>
      <c r="B140" t="s">
        <v>43</v>
      </c>
      <c r="C140" s="6">
        <f t="shared" si="2"/>
        <v>0</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t="s">
        <v>43</v>
      </c>
      <c r="Y140">
        <v>18</v>
      </c>
      <c r="Z140">
        <v>3</v>
      </c>
      <c r="AA140">
        <v>4</v>
      </c>
      <c r="AB140">
        <v>80</v>
      </c>
      <c r="AC140">
        <v>0</v>
      </c>
      <c r="AD140">
        <v>6</v>
      </c>
      <c r="AE140">
        <v>3</v>
      </c>
      <c r="AF140">
        <v>3</v>
      </c>
      <c r="AG140">
        <v>2</v>
      </c>
      <c r="AH140">
        <v>2</v>
      </c>
      <c r="AI140">
        <v>2</v>
      </c>
      <c r="AJ140">
        <v>2</v>
      </c>
    </row>
    <row r="141" spans="1:36" x14ac:dyDescent="0.3">
      <c r="A141">
        <v>30</v>
      </c>
      <c r="B141" t="s">
        <v>43</v>
      </c>
      <c r="C141" s="6">
        <f t="shared" si="2"/>
        <v>0</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t="s">
        <v>35</v>
      </c>
      <c r="Y141">
        <v>19</v>
      </c>
      <c r="Z141">
        <v>3</v>
      </c>
      <c r="AA141">
        <v>4</v>
      </c>
      <c r="AB141">
        <v>80</v>
      </c>
      <c r="AC141">
        <v>0</v>
      </c>
      <c r="AD141">
        <v>12</v>
      </c>
      <c r="AE141">
        <v>2</v>
      </c>
      <c r="AF141">
        <v>1</v>
      </c>
      <c r="AG141">
        <v>11</v>
      </c>
      <c r="AH141">
        <v>9</v>
      </c>
      <c r="AI141">
        <v>4</v>
      </c>
      <c r="AJ141">
        <v>7</v>
      </c>
    </row>
    <row r="142" spans="1:36" x14ac:dyDescent="0.3">
      <c r="A142">
        <v>32</v>
      </c>
      <c r="B142" t="s">
        <v>35</v>
      </c>
      <c r="C142" s="6">
        <f t="shared" si="2"/>
        <v>1</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t="s">
        <v>43</v>
      </c>
      <c r="Y142">
        <v>22</v>
      </c>
      <c r="Z142">
        <v>4</v>
      </c>
      <c r="AA142">
        <v>1</v>
      </c>
      <c r="AB142">
        <v>80</v>
      </c>
      <c r="AC142">
        <v>0</v>
      </c>
      <c r="AD142">
        <v>10</v>
      </c>
      <c r="AE142">
        <v>2</v>
      </c>
      <c r="AF142">
        <v>4</v>
      </c>
      <c r="AG142">
        <v>5</v>
      </c>
      <c r="AH142">
        <v>4</v>
      </c>
      <c r="AI142">
        <v>0</v>
      </c>
      <c r="AJ142">
        <v>4</v>
      </c>
    </row>
    <row r="143" spans="1:36" x14ac:dyDescent="0.3">
      <c r="A143">
        <v>45</v>
      </c>
      <c r="B143" t="s">
        <v>43</v>
      </c>
      <c r="C143" s="6">
        <f t="shared" si="2"/>
        <v>0</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t="s">
        <v>43</v>
      </c>
      <c r="Y143">
        <v>13</v>
      </c>
      <c r="Z143">
        <v>3</v>
      </c>
      <c r="AA143">
        <v>2</v>
      </c>
      <c r="AB143">
        <v>80</v>
      </c>
      <c r="AC143">
        <v>0</v>
      </c>
      <c r="AD143">
        <v>9</v>
      </c>
      <c r="AE143">
        <v>2</v>
      </c>
      <c r="AF143">
        <v>2</v>
      </c>
      <c r="AG143">
        <v>6</v>
      </c>
      <c r="AH143">
        <v>5</v>
      </c>
      <c r="AI143">
        <v>0</v>
      </c>
      <c r="AJ143">
        <v>3</v>
      </c>
    </row>
    <row r="144" spans="1:36" x14ac:dyDescent="0.3">
      <c r="A144">
        <v>38</v>
      </c>
      <c r="B144" t="s">
        <v>43</v>
      </c>
      <c r="C144" s="6">
        <f t="shared" si="2"/>
        <v>0</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t="s">
        <v>35</v>
      </c>
      <c r="Y144">
        <v>20</v>
      </c>
      <c r="Z144">
        <v>4</v>
      </c>
      <c r="AA144">
        <v>2</v>
      </c>
      <c r="AB144">
        <v>80</v>
      </c>
      <c r="AC144">
        <v>0</v>
      </c>
      <c r="AD144">
        <v>19</v>
      </c>
      <c r="AE144">
        <v>2</v>
      </c>
      <c r="AF144">
        <v>3</v>
      </c>
      <c r="AG144">
        <v>3</v>
      </c>
      <c r="AH144">
        <v>2</v>
      </c>
      <c r="AI144">
        <v>2</v>
      </c>
      <c r="AJ144">
        <v>2</v>
      </c>
    </row>
    <row r="145" spans="1:36" x14ac:dyDescent="0.3">
      <c r="A145">
        <v>30</v>
      </c>
      <c r="B145" t="s">
        <v>43</v>
      </c>
      <c r="C145" s="6">
        <f t="shared" si="2"/>
        <v>0</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t="s">
        <v>43</v>
      </c>
      <c r="Y145">
        <v>14</v>
      </c>
      <c r="Z145">
        <v>3</v>
      </c>
      <c r="AA145">
        <v>3</v>
      </c>
      <c r="AB145">
        <v>80</v>
      </c>
      <c r="AC145">
        <v>0</v>
      </c>
      <c r="AD145">
        <v>5</v>
      </c>
      <c r="AE145">
        <v>4</v>
      </c>
      <c r="AF145">
        <v>2</v>
      </c>
      <c r="AG145">
        <v>5</v>
      </c>
      <c r="AH145">
        <v>4</v>
      </c>
      <c r="AI145">
        <v>0</v>
      </c>
      <c r="AJ145">
        <v>4</v>
      </c>
    </row>
    <row r="146" spans="1:36" x14ac:dyDescent="0.3">
      <c r="A146">
        <v>32</v>
      </c>
      <c r="B146" t="s">
        <v>43</v>
      </c>
      <c r="C146" s="6">
        <f t="shared" si="2"/>
        <v>0</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t="s">
        <v>43</v>
      </c>
      <c r="Y146">
        <v>17</v>
      </c>
      <c r="Z146">
        <v>3</v>
      </c>
      <c r="AA146">
        <v>4</v>
      </c>
      <c r="AB146">
        <v>80</v>
      </c>
      <c r="AC146">
        <v>3</v>
      </c>
      <c r="AD146">
        <v>9</v>
      </c>
      <c r="AE146">
        <v>2</v>
      </c>
      <c r="AF146">
        <v>4</v>
      </c>
      <c r="AG146">
        <v>8</v>
      </c>
      <c r="AH146">
        <v>7</v>
      </c>
      <c r="AI146">
        <v>0</v>
      </c>
      <c r="AJ146">
        <v>7</v>
      </c>
    </row>
    <row r="147" spans="1:36" x14ac:dyDescent="0.3">
      <c r="A147">
        <v>30</v>
      </c>
      <c r="B147" t="s">
        <v>43</v>
      </c>
      <c r="C147" s="6">
        <f t="shared" si="2"/>
        <v>0</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t="s">
        <v>43</v>
      </c>
      <c r="Y147">
        <v>14</v>
      </c>
      <c r="Z147">
        <v>3</v>
      </c>
      <c r="AA147">
        <v>4</v>
      </c>
      <c r="AB147">
        <v>80</v>
      </c>
      <c r="AC147">
        <v>1</v>
      </c>
      <c r="AD147">
        <v>8</v>
      </c>
      <c r="AE147">
        <v>3</v>
      </c>
      <c r="AF147">
        <v>3</v>
      </c>
      <c r="AG147">
        <v>3</v>
      </c>
      <c r="AH147">
        <v>2</v>
      </c>
      <c r="AI147">
        <v>2</v>
      </c>
      <c r="AJ147">
        <v>2</v>
      </c>
    </row>
    <row r="148" spans="1:36" x14ac:dyDescent="0.3">
      <c r="A148">
        <v>30</v>
      </c>
      <c r="B148" t="s">
        <v>43</v>
      </c>
      <c r="C148" s="6">
        <f t="shared" si="2"/>
        <v>0</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t="s">
        <v>43</v>
      </c>
      <c r="Y148">
        <v>13</v>
      </c>
      <c r="Z148">
        <v>3</v>
      </c>
      <c r="AA148">
        <v>4</v>
      </c>
      <c r="AB148">
        <v>80</v>
      </c>
      <c r="AC148">
        <v>0</v>
      </c>
      <c r="AD148">
        <v>6</v>
      </c>
      <c r="AE148">
        <v>3</v>
      </c>
      <c r="AF148">
        <v>3</v>
      </c>
      <c r="AG148">
        <v>5</v>
      </c>
      <c r="AH148">
        <v>3</v>
      </c>
      <c r="AI148">
        <v>1</v>
      </c>
      <c r="AJ148">
        <v>2</v>
      </c>
    </row>
    <row r="149" spans="1:36" x14ac:dyDescent="0.3">
      <c r="A149">
        <v>41</v>
      </c>
      <c r="B149" t="s">
        <v>43</v>
      </c>
      <c r="C149" s="6">
        <f t="shared" si="2"/>
        <v>0</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t="s">
        <v>43</v>
      </c>
      <c r="Y149">
        <v>13</v>
      </c>
      <c r="Z149">
        <v>3</v>
      </c>
      <c r="AA149">
        <v>2</v>
      </c>
      <c r="AB149">
        <v>80</v>
      </c>
      <c r="AC149">
        <v>1</v>
      </c>
      <c r="AD149">
        <v>21</v>
      </c>
      <c r="AE149">
        <v>2</v>
      </c>
      <c r="AF149">
        <v>2</v>
      </c>
      <c r="AG149">
        <v>7</v>
      </c>
      <c r="AH149">
        <v>6</v>
      </c>
      <c r="AI149">
        <v>7</v>
      </c>
      <c r="AJ149">
        <v>7</v>
      </c>
    </row>
    <row r="150" spans="1:36" x14ac:dyDescent="0.3">
      <c r="A150">
        <v>41</v>
      </c>
      <c r="B150" t="s">
        <v>43</v>
      </c>
      <c r="C150" s="6">
        <f t="shared" si="2"/>
        <v>0</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t="s">
        <v>43</v>
      </c>
      <c r="Y150">
        <v>21</v>
      </c>
      <c r="Z150">
        <v>4</v>
      </c>
      <c r="AA150">
        <v>4</v>
      </c>
      <c r="AB150">
        <v>80</v>
      </c>
      <c r="AC150">
        <v>1</v>
      </c>
      <c r="AD150">
        <v>7</v>
      </c>
      <c r="AE150">
        <v>2</v>
      </c>
      <c r="AF150">
        <v>3</v>
      </c>
      <c r="AG150">
        <v>5</v>
      </c>
      <c r="AH150">
        <v>0</v>
      </c>
      <c r="AI150">
        <v>1</v>
      </c>
      <c r="AJ150">
        <v>4</v>
      </c>
    </row>
    <row r="151" spans="1:36" x14ac:dyDescent="0.3">
      <c r="A151">
        <v>19</v>
      </c>
      <c r="B151" t="s">
        <v>43</v>
      </c>
      <c r="C151" s="6">
        <f t="shared" si="2"/>
        <v>0</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t="s">
        <v>43</v>
      </c>
      <c r="Y151">
        <v>14</v>
      </c>
      <c r="Z151">
        <v>3</v>
      </c>
      <c r="AA151">
        <v>4</v>
      </c>
      <c r="AB151">
        <v>80</v>
      </c>
      <c r="AC151">
        <v>0</v>
      </c>
      <c r="AD151">
        <v>1</v>
      </c>
      <c r="AE151">
        <v>3</v>
      </c>
      <c r="AF151">
        <v>3</v>
      </c>
      <c r="AG151">
        <v>1</v>
      </c>
      <c r="AH151">
        <v>0</v>
      </c>
      <c r="AI151">
        <v>0</v>
      </c>
      <c r="AJ151">
        <v>0</v>
      </c>
    </row>
    <row r="152" spans="1:36" x14ac:dyDescent="0.3">
      <c r="A152">
        <v>40</v>
      </c>
      <c r="B152" t="s">
        <v>43</v>
      </c>
      <c r="C152" s="6">
        <f t="shared" si="2"/>
        <v>0</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t="s">
        <v>43</v>
      </c>
      <c r="Y152">
        <v>11</v>
      </c>
      <c r="Z152">
        <v>3</v>
      </c>
      <c r="AA152">
        <v>1</v>
      </c>
      <c r="AB152">
        <v>80</v>
      </c>
      <c r="AC152">
        <v>1</v>
      </c>
      <c r="AD152">
        <v>20</v>
      </c>
      <c r="AE152">
        <v>2</v>
      </c>
      <c r="AF152">
        <v>3</v>
      </c>
      <c r="AG152">
        <v>20</v>
      </c>
      <c r="AH152">
        <v>7</v>
      </c>
      <c r="AI152">
        <v>2</v>
      </c>
      <c r="AJ152">
        <v>13</v>
      </c>
    </row>
    <row r="153" spans="1:36" x14ac:dyDescent="0.3">
      <c r="A153">
        <v>35</v>
      </c>
      <c r="B153" t="s">
        <v>43</v>
      </c>
      <c r="C153" s="6">
        <f t="shared" si="2"/>
        <v>0</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t="s">
        <v>43</v>
      </c>
      <c r="Y153">
        <v>13</v>
      </c>
      <c r="Z153">
        <v>3</v>
      </c>
      <c r="AA153">
        <v>1</v>
      </c>
      <c r="AB153">
        <v>80</v>
      </c>
      <c r="AC153">
        <v>2</v>
      </c>
      <c r="AD153">
        <v>10</v>
      </c>
      <c r="AE153">
        <v>3</v>
      </c>
      <c r="AF153">
        <v>3</v>
      </c>
      <c r="AG153">
        <v>10</v>
      </c>
      <c r="AH153">
        <v>8</v>
      </c>
      <c r="AI153">
        <v>0</v>
      </c>
      <c r="AJ153">
        <v>6</v>
      </c>
    </row>
    <row r="154" spans="1:36" x14ac:dyDescent="0.3">
      <c r="A154">
        <v>53</v>
      </c>
      <c r="B154" t="s">
        <v>43</v>
      </c>
      <c r="C154" s="6">
        <f t="shared" si="2"/>
        <v>0</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t="s">
        <v>35</v>
      </c>
      <c r="Y154">
        <v>20</v>
      </c>
      <c r="Z154">
        <v>4</v>
      </c>
      <c r="AA154">
        <v>4</v>
      </c>
      <c r="AB154">
        <v>80</v>
      </c>
      <c r="AC154">
        <v>1</v>
      </c>
      <c r="AD154">
        <v>13</v>
      </c>
      <c r="AE154">
        <v>3</v>
      </c>
      <c r="AF154">
        <v>1</v>
      </c>
      <c r="AG154">
        <v>7</v>
      </c>
      <c r="AH154">
        <v>7</v>
      </c>
      <c r="AI154">
        <v>4</v>
      </c>
      <c r="AJ154">
        <v>5</v>
      </c>
    </row>
    <row r="155" spans="1:36" x14ac:dyDescent="0.3">
      <c r="A155">
        <v>45</v>
      </c>
      <c r="B155" t="s">
        <v>43</v>
      </c>
      <c r="C155" s="6">
        <f t="shared" si="2"/>
        <v>0</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t="s">
        <v>43</v>
      </c>
      <c r="Y155">
        <v>18</v>
      </c>
      <c r="Z155">
        <v>3</v>
      </c>
      <c r="AA155">
        <v>3</v>
      </c>
      <c r="AB155">
        <v>80</v>
      </c>
      <c r="AC155">
        <v>1</v>
      </c>
      <c r="AD155">
        <v>20</v>
      </c>
      <c r="AE155">
        <v>2</v>
      </c>
      <c r="AF155">
        <v>1</v>
      </c>
      <c r="AG155">
        <v>17</v>
      </c>
      <c r="AH155">
        <v>9</v>
      </c>
      <c r="AI155">
        <v>0</v>
      </c>
      <c r="AJ155">
        <v>15</v>
      </c>
    </row>
    <row r="156" spans="1:36" x14ac:dyDescent="0.3">
      <c r="A156">
        <v>32</v>
      </c>
      <c r="B156" t="s">
        <v>43</v>
      </c>
      <c r="C156" s="6">
        <f t="shared" si="2"/>
        <v>0</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t="s">
        <v>43</v>
      </c>
      <c r="Y156">
        <v>14</v>
      </c>
      <c r="Z156">
        <v>3</v>
      </c>
      <c r="AA156">
        <v>4</v>
      </c>
      <c r="AB156">
        <v>80</v>
      </c>
      <c r="AC156">
        <v>0</v>
      </c>
      <c r="AD156">
        <v>9</v>
      </c>
      <c r="AE156">
        <v>2</v>
      </c>
      <c r="AF156">
        <v>3</v>
      </c>
      <c r="AG156">
        <v>9</v>
      </c>
      <c r="AH156">
        <v>8</v>
      </c>
      <c r="AI156">
        <v>3</v>
      </c>
      <c r="AJ156">
        <v>7</v>
      </c>
    </row>
    <row r="157" spans="1:36" x14ac:dyDescent="0.3">
      <c r="A157">
        <v>29</v>
      </c>
      <c r="B157" t="s">
        <v>43</v>
      </c>
      <c r="C157" s="6">
        <f t="shared" si="2"/>
        <v>0</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t="s">
        <v>43</v>
      </c>
      <c r="Y157">
        <v>13</v>
      </c>
      <c r="Z157">
        <v>3</v>
      </c>
      <c r="AA157">
        <v>1</v>
      </c>
      <c r="AB157">
        <v>80</v>
      </c>
      <c r="AC157">
        <v>1</v>
      </c>
      <c r="AD157">
        <v>10</v>
      </c>
      <c r="AE157">
        <v>1</v>
      </c>
      <c r="AF157">
        <v>3</v>
      </c>
      <c r="AG157">
        <v>10</v>
      </c>
      <c r="AH157">
        <v>7</v>
      </c>
      <c r="AI157">
        <v>0</v>
      </c>
      <c r="AJ157">
        <v>9</v>
      </c>
    </row>
    <row r="158" spans="1:36" x14ac:dyDescent="0.3">
      <c r="A158">
        <v>51</v>
      </c>
      <c r="B158" t="s">
        <v>43</v>
      </c>
      <c r="C158" s="6">
        <f t="shared" si="2"/>
        <v>0</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t="s">
        <v>43</v>
      </c>
      <c r="Y158">
        <v>17</v>
      </c>
      <c r="Z158">
        <v>3</v>
      </c>
      <c r="AA158">
        <v>3</v>
      </c>
      <c r="AB158">
        <v>80</v>
      </c>
      <c r="AC158">
        <v>0</v>
      </c>
      <c r="AD158">
        <v>10</v>
      </c>
      <c r="AE158">
        <v>2</v>
      </c>
      <c r="AF158">
        <v>3</v>
      </c>
      <c r="AG158">
        <v>1</v>
      </c>
      <c r="AH158">
        <v>0</v>
      </c>
      <c r="AI158">
        <v>0</v>
      </c>
      <c r="AJ158">
        <v>0</v>
      </c>
    </row>
    <row r="159" spans="1:36" x14ac:dyDescent="0.3">
      <c r="A159">
        <v>58</v>
      </c>
      <c r="B159" t="s">
        <v>43</v>
      </c>
      <c r="C159" s="6">
        <f t="shared" si="2"/>
        <v>0</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t="s">
        <v>35</v>
      </c>
      <c r="Y159">
        <v>20</v>
      </c>
      <c r="Z159">
        <v>4</v>
      </c>
      <c r="AA159">
        <v>2</v>
      </c>
      <c r="AB159">
        <v>80</v>
      </c>
      <c r="AC159">
        <v>1</v>
      </c>
      <c r="AD159">
        <v>9</v>
      </c>
      <c r="AE159">
        <v>3</v>
      </c>
      <c r="AF159">
        <v>2</v>
      </c>
      <c r="AG159">
        <v>1</v>
      </c>
      <c r="AH159">
        <v>0</v>
      </c>
      <c r="AI159">
        <v>0</v>
      </c>
      <c r="AJ159">
        <v>0</v>
      </c>
    </row>
    <row r="160" spans="1:36" x14ac:dyDescent="0.3">
      <c r="A160">
        <v>40</v>
      </c>
      <c r="B160" t="s">
        <v>43</v>
      </c>
      <c r="C160" s="6">
        <f t="shared" si="2"/>
        <v>0</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t="s">
        <v>43</v>
      </c>
      <c r="Y160">
        <v>11</v>
      </c>
      <c r="Z160">
        <v>3</v>
      </c>
      <c r="AA160">
        <v>1</v>
      </c>
      <c r="AB160">
        <v>80</v>
      </c>
      <c r="AC160">
        <v>1</v>
      </c>
      <c r="AD160">
        <v>15</v>
      </c>
      <c r="AE160">
        <v>2</v>
      </c>
      <c r="AF160">
        <v>2</v>
      </c>
      <c r="AG160">
        <v>12</v>
      </c>
      <c r="AH160">
        <v>11</v>
      </c>
      <c r="AI160">
        <v>2</v>
      </c>
      <c r="AJ160">
        <v>11</v>
      </c>
    </row>
    <row r="161" spans="1:36" x14ac:dyDescent="0.3">
      <c r="A161">
        <v>34</v>
      </c>
      <c r="B161" t="s">
        <v>43</v>
      </c>
      <c r="C161" s="6">
        <f t="shared" si="2"/>
        <v>0</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t="s">
        <v>43</v>
      </c>
      <c r="Y161">
        <v>18</v>
      </c>
      <c r="Z161">
        <v>3</v>
      </c>
      <c r="AA161">
        <v>4</v>
      </c>
      <c r="AB161">
        <v>80</v>
      </c>
      <c r="AC161">
        <v>1</v>
      </c>
      <c r="AD161">
        <v>6</v>
      </c>
      <c r="AE161">
        <v>3</v>
      </c>
      <c r="AF161">
        <v>3</v>
      </c>
      <c r="AG161">
        <v>4</v>
      </c>
      <c r="AH161">
        <v>3</v>
      </c>
      <c r="AI161">
        <v>1</v>
      </c>
      <c r="AJ161">
        <v>2</v>
      </c>
    </row>
    <row r="162" spans="1:36" x14ac:dyDescent="0.3">
      <c r="A162">
        <v>22</v>
      </c>
      <c r="B162" t="s">
        <v>43</v>
      </c>
      <c r="C162" s="6">
        <f t="shared" si="2"/>
        <v>0</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t="s">
        <v>43</v>
      </c>
      <c r="Y162">
        <v>24</v>
      </c>
      <c r="Z162">
        <v>4</v>
      </c>
      <c r="AA162">
        <v>1</v>
      </c>
      <c r="AB162">
        <v>80</v>
      </c>
      <c r="AC162">
        <v>2</v>
      </c>
      <c r="AD162">
        <v>2</v>
      </c>
      <c r="AE162">
        <v>6</v>
      </c>
      <c r="AF162">
        <v>3</v>
      </c>
      <c r="AG162">
        <v>2</v>
      </c>
      <c r="AH162">
        <v>2</v>
      </c>
      <c r="AI162">
        <v>2</v>
      </c>
      <c r="AJ162">
        <v>2</v>
      </c>
    </row>
    <row r="163" spans="1:36" x14ac:dyDescent="0.3">
      <c r="A163">
        <v>27</v>
      </c>
      <c r="B163" t="s">
        <v>43</v>
      </c>
      <c r="C163" s="6">
        <f t="shared" si="2"/>
        <v>0</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t="s">
        <v>43</v>
      </c>
      <c r="Y163">
        <v>18</v>
      </c>
      <c r="Z163">
        <v>3</v>
      </c>
      <c r="AA163">
        <v>4</v>
      </c>
      <c r="AB163">
        <v>80</v>
      </c>
      <c r="AC163">
        <v>1</v>
      </c>
      <c r="AD163">
        <v>6</v>
      </c>
      <c r="AE163">
        <v>1</v>
      </c>
      <c r="AF163">
        <v>1</v>
      </c>
      <c r="AG163">
        <v>2</v>
      </c>
      <c r="AH163">
        <v>2</v>
      </c>
      <c r="AI163">
        <v>2</v>
      </c>
      <c r="AJ163">
        <v>2</v>
      </c>
    </row>
    <row r="164" spans="1:36" x14ac:dyDescent="0.3">
      <c r="A164">
        <v>28</v>
      </c>
      <c r="B164" t="s">
        <v>43</v>
      </c>
      <c r="C164" s="6">
        <f t="shared" si="2"/>
        <v>0</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t="s">
        <v>43</v>
      </c>
      <c r="Y164">
        <v>11</v>
      </c>
      <c r="Z164">
        <v>3</v>
      </c>
      <c r="AA164">
        <v>3</v>
      </c>
      <c r="AB164">
        <v>80</v>
      </c>
      <c r="AC164">
        <v>1</v>
      </c>
      <c r="AD164">
        <v>5</v>
      </c>
      <c r="AE164">
        <v>2</v>
      </c>
      <c r="AF164">
        <v>1</v>
      </c>
      <c r="AG164">
        <v>5</v>
      </c>
      <c r="AH164">
        <v>2</v>
      </c>
      <c r="AI164">
        <v>0</v>
      </c>
      <c r="AJ164">
        <v>2</v>
      </c>
    </row>
    <row r="165" spans="1:36" x14ac:dyDescent="0.3">
      <c r="A165">
        <v>57</v>
      </c>
      <c r="B165" t="s">
        <v>43</v>
      </c>
      <c r="C165" s="6">
        <f t="shared" si="2"/>
        <v>0</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t="s">
        <v>35</v>
      </c>
      <c r="Y165">
        <v>16</v>
      </c>
      <c r="Z165">
        <v>3</v>
      </c>
      <c r="AA165">
        <v>2</v>
      </c>
      <c r="AB165">
        <v>80</v>
      </c>
      <c r="AC165">
        <v>1</v>
      </c>
      <c r="AD165">
        <v>12</v>
      </c>
      <c r="AE165">
        <v>2</v>
      </c>
      <c r="AF165">
        <v>1</v>
      </c>
      <c r="AG165">
        <v>5</v>
      </c>
      <c r="AH165">
        <v>3</v>
      </c>
      <c r="AI165">
        <v>1</v>
      </c>
      <c r="AJ165">
        <v>4</v>
      </c>
    </row>
    <row r="166" spans="1:36" x14ac:dyDescent="0.3">
      <c r="A166">
        <v>27</v>
      </c>
      <c r="B166" t="s">
        <v>43</v>
      </c>
      <c r="C166" s="6">
        <f t="shared" si="2"/>
        <v>0</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t="s">
        <v>35</v>
      </c>
      <c r="Y166">
        <v>15</v>
      </c>
      <c r="Z166">
        <v>3</v>
      </c>
      <c r="AA166">
        <v>4</v>
      </c>
      <c r="AB166">
        <v>80</v>
      </c>
      <c r="AC166">
        <v>1</v>
      </c>
      <c r="AD166">
        <v>1</v>
      </c>
      <c r="AE166">
        <v>2</v>
      </c>
      <c r="AF166">
        <v>2</v>
      </c>
      <c r="AG166">
        <v>1</v>
      </c>
      <c r="AH166">
        <v>1</v>
      </c>
      <c r="AI166">
        <v>0</v>
      </c>
      <c r="AJ166">
        <v>1</v>
      </c>
    </row>
    <row r="167" spans="1:36" x14ac:dyDescent="0.3">
      <c r="A167">
        <v>50</v>
      </c>
      <c r="B167" t="s">
        <v>43</v>
      </c>
      <c r="C167" s="6">
        <f t="shared" si="2"/>
        <v>0</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t="s">
        <v>43</v>
      </c>
      <c r="Y167">
        <v>15</v>
      </c>
      <c r="Z167">
        <v>3</v>
      </c>
      <c r="AA167">
        <v>2</v>
      </c>
      <c r="AB167">
        <v>80</v>
      </c>
      <c r="AC167">
        <v>0</v>
      </c>
      <c r="AD167">
        <v>21</v>
      </c>
      <c r="AE167">
        <v>5</v>
      </c>
      <c r="AF167">
        <v>3</v>
      </c>
      <c r="AG167">
        <v>5</v>
      </c>
      <c r="AH167">
        <v>4</v>
      </c>
      <c r="AI167">
        <v>4</v>
      </c>
      <c r="AJ167">
        <v>4</v>
      </c>
    </row>
    <row r="168" spans="1:36" x14ac:dyDescent="0.3">
      <c r="A168">
        <v>41</v>
      </c>
      <c r="B168" t="s">
        <v>43</v>
      </c>
      <c r="C168" s="6">
        <f t="shared" si="2"/>
        <v>0</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t="s">
        <v>43</v>
      </c>
      <c r="Y168">
        <v>12</v>
      </c>
      <c r="Z168">
        <v>3</v>
      </c>
      <c r="AA168">
        <v>1</v>
      </c>
      <c r="AB168">
        <v>80</v>
      </c>
      <c r="AC168">
        <v>1</v>
      </c>
      <c r="AD168">
        <v>13</v>
      </c>
      <c r="AE168">
        <v>2</v>
      </c>
      <c r="AF168">
        <v>3</v>
      </c>
      <c r="AG168">
        <v>9</v>
      </c>
      <c r="AH168">
        <v>8</v>
      </c>
      <c r="AI168">
        <v>1</v>
      </c>
      <c r="AJ168">
        <v>8</v>
      </c>
    </row>
    <row r="169" spans="1:36" x14ac:dyDescent="0.3">
      <c r="A169">
        <v>30</v>
      </c>
      <c r="B169" t="s">
        <v>43</v>
      </c>
      <c r="C169" s="6">
        <f t="shared" si="2"/>
        <v>0</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t="s">
        <v>43</v>
      </c>
      <c r="Y169">
        <v>12</v>
      </c>
      <c r="Z169">
        <v>3</v>
      </c>
      <c r="AA169">
        <v>3</v>
      </c>
      <c r="AB169">
        <v>80</v>
      </c>
      <c r="AC169">
        <v>1</v>
      </c>
      <c r="AD169">
        <v>12</v>
      </c>
      <c r="AE169">
        <v>2</v>
      </c>
      <c r="AF169">
        <v>3</v>
      </c>
      <c r="AG169">
        <v>10</v>
      </c>
      <c r="AH169">
        <v>9</v>
      </c>
      <c r="AI169">
        <v>7</v>
      </c>
      <c r="AJ169">
        <v>4</v>
      </c>
    </row>
    <row r="170" spans="1:36" x14ac:dyDescent="0.3">
      <c r="A170">
        <v>38</v>
      </c>
      <c r="B170" t="s">
        <v>43</v>
      </c>
      <c r="C170" s="6">
        <f t="shared" si="2"/>
        <v>0</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t="s">
        <v>43</v>
      </c>
      <c r="Y170">
        <v>22</v>
      </c>
      <c r="Z170">
        <v>4</v>
      </c>
      <c r="AA170">
        <v>3</v>
      </c>
      <c r="AB170">
        <v>80</v>
      </c>
      <c r="AC170">
        <v>0</v>
      </c>
      <c r="AD170">
        <v>12</v>
      </c>
      <c r="AE170">
        <v>2</v>
      </c>
      <c r="AF170">
        <v>4</v>
      </c>
      <c r="AG170">
        <v>8</v>
      </c>
      <c r="AH170">
        <v>3</v>
      </c>
      <c r="AI170">
        <v>0</v>
      </c>
      <c r="AJ170">
        <v>7</v>
      </c>
    </row>
    <row r="171" spans="1:36" x14ac:dyDescent="0.3">
      <c r="A171">
        <v>32</v>
      </c>
      <c r="B171" t="s">
        <v>43</v>
      </c>
      <c r="C171" s="6">
        <f t="shared" si="2"/>
        <v>0</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t="s">
        <v>43</v>
      </c>
      <c r="Y171">
        <v>20</v>
      </c>
      <c r="Z171">
        <v>4</v>
      </c>
      <c r="AA171">
        <v>1</v>
      </c>
      <c r="AB171">
        <v>80</v>
      </c>
      <c r="AC171">
        <v>0</v>
      </c>
      <c r="AD171">
        <v>8</v>
      </c>
      <c r="AE171">
        <v>2</v>
      </c>
      <c r="AF171">
        <v>3</v>
      </c>
      <c r="AG171">
        <v>5</v>
      </c>
      <c r="AH171">
        <v>4</v>
      </c>
      <c r="AI171">
        <v>1</v>
      </c>
      <c r="AJ171">
        <v>4</v>
      </c>
    </row>
    <row r="172" spans="1:36" x14ac:dyDescent="0.3">
      <c r="A172">
        <v>27</v>
      </c>
      <c r="B172" t="s">
        <v>43</v>
      </c>
      <c r="C172" s="6">
        <f t="shared" si="2"/>
        <v>0</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t="s">
        <v>35</v>
      </c>
      <c r="Y172">
        <v>16</v>
      </c>
      <c r="Z172">
        <v>3</v>
      </c>
      <c r="AA172">
        <v>4</v>
      </c>
      <c r="AB172">
        <v>80</v>
      </c>
      <c r="AC172">
        <v>1</v>
      </c>
      <c r="AD172">
        <v>6</v>
      </c>
      <c r="AE172">
        <v>3</v>
      </c>
      <c r="AF172">
        <v>2</v>
      </c>
      <c r="AG172">
        <v>5</v>
      </c>
      <c r="AH172">
        <v>2</v>
      </c>
      <c r="AI172">
        <v>1</v>
      </c>
      <c r="AJ172">
        <v>1</v>
      </c>
    </row>
    <row r="173" spans="1:36" x14ac:dyDescent="0.3">
      <c r="A173">
        <v>19</v>
      </c>
      <c r="B173" t="s">
        <v>35</v>
      </c>
      <c r="C173" s="6">
        <f t="shared" si="2"/>
        <v>1</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t="s">
        <v>43</v>
      </c>
      <c r="Y173">
        <v>21</v>
      </c>
      <c r="Z173">
        <v>4</v>
      </c>
      <c r="AA173">
        <v>1</v>
      </c>
      <c r="AB173">
        <v>80</v>
      </c>
      <c r="AC173">
        <v>0</v>
      </c>
      <c r="AD173">
        <v>1</v>
      </c>
      <c r="AE173">
        <v>5</v>
      </c>
      <c r="AF173">
        <v>4</v>
      </c>
      <c r="AG173">
        <v>0</v>
      </c>
      <c r="AH173">
        <v>0</v>
      </c>
      <c r="AI173">
        <v>0</v>
      </c>
      <c r="AJ173">
        <v>0</v>
      </c>
    </row>
    <row r="174" spans="1:36" x14ac:dyDescent="0.3">
      <c r="A174">
        <v>36</v>
      </c>
      <c r="B174" t="s">
        <v>43</v>
      </c>
      <c r="C174" s="6">
        <f t="shared" si="2"/>
        <v>0</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t="s">
        <v>43</v>
      </c>
      <c r="Y174">
        <v>12</v>
      </c>
      <c r="Z174">
        <v>3</v>
      </c>
      <c r="AA174">
        <v>3</v>
      </c>
      <c r="AB174">
        <v>80</v>
      </c>
      <c r="AC174">
        <v>0</v>
      </c>
      <c r="AD174">
        <v>13</v>
      </c>
      <c r="AE174">
        <v>3</v>
      </c>
      <c r="AF174">
        <v>2</v>
      </c>
      <c r="AG174">
        <v>8</v>
      </c>
      <c r="AH174">
        <v>7</v>
      </c>
      <c r="AI174">
        <v>7</v>
      </c>
      <c r="AJ174">
        <v>2</v>
      </c>
    </row>
    <row r="175" spans="1:36" x14ac:dyDescent="0.3">
      <c r="A175">
        <v>30</v>
      </c>
      <c r="B175" t="s">
        <v>43</v>
      </c>
      <c r="C175" s="6">
        <f t="shared" si="2"/>
        <v>0</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t="s">
        <v>43</v>
      </c>
      <c r="Y175">
        <v>11</v>
      </c>
      <c r="Z175">
        <v>3</v>
      </c>
      <c r="AA175">
        <v>3</v>
      </c>
      <c r="AB175">
        <v>80</v>
      </c>
      <c r="AC175">
        <v>2</v>
      </c>
      <c r="AD175">
        <v>12</v>
      </c>
      <c r="AE175">
        <v>4</v>
      </c>
      <c r="AF175">
        <v>3</v>
      </c>
      <c r="AG175">
        <v>12</v>
      </c>
      <c r="AH175">
        <v>9</v>
      </c>
      <c r="AI175">
        <v>6</v>
      </c>
      <c r="AJ175">
        <v>10</v>
      </c>
    </row>
    <row r="176" spans="1:36" x14ac:dyDescent="0.3">
      <c r="A176">
        <v>45</v>
      </c>
      <c r="B176" t="s">
        <v>43</v>
      </c>
      <c r="C176" s="6">
        <f t="shared" si="2"/>
        <v>0</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t="s">
        <v>35</v>
      </c>
      <c r="Y176">
        <v>11</v>
      </c>
      <c r="Z176">
        <v>3</v>
      </c>
      <c r="AA176">
        <v>1</v>
      </c>
      <c r="AB176">
        <v>80</v>
      </c>
      <c r="AC176">
        <v>1</v>
      </c>
      <c r="AD176">
        <v>9</v>
      </c>
      <c r="AE176">
        <v>3</v>
      </c>
      <c r="AF176">
        <v>4</v>
      </c>
      <c r="AG176">
        <v>5</v>
      </c>
      <c r="AH176">
        <v>4</v>
      </c>
      <c r="AI176">
        <v>0</v>
      </c>
      <c r="AJ176">
        <v>3</v>
      </c>
    </row>
    <row r="177" spans="1:36" x14ac:dyDescent="0.3">
      <c r="A177">
        <v>56</v>
      </c>
      <c r="B177" t="s">
        <v>43</v>
      </c>
      <c r="C177" s="6">
        <f t="shared" si="2"/>
        <v>0</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t="s">
        <v>35</v>
      </c>
      <c r="Y177">
        <v>18</v>
      </c>
      <c r="Z177">
        <v>3</v>
      </c>
      <c r="AA177">
        <v>3</v>
      </c>
      <c r="AB177">
        <v>80</v>
      </c>
      <c r="AC177">
        <v>1</v>
      </c>
      <c r="AD177">
        <v>19</v>
      </c>
      <c r="AE177">
        <v>3</v>
      </c>
      <c r="AF177">
        <v>3</v>
      </c>
      <c r="AG177">
        <v>2</v>
      </c>
      <c r="AH177">
        <v>2</v>
      </c>
      <c r="AI177">
        <v>2</v>
      </c>
      <c r="AJ177">
        <v>2</v>
      </c>
    </row>
    <row r="178" spans="1:36" x14ac:dyDescent="0.3">
      <c r="A178">
        <v>33</v>
      </c>
      <c r="B178" t="s">
        <v>43</v>
      </c>
      <c r="C178" s="6">
        <f t="shared" si="2"/>
        <v>0</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t="s">
        <v>43</v>
      </c>
      <c r="Y178">
        <v>14</v>
      </c>
      <c r="Z178">
        <v>3</v>
      </c>
      <c r="AA178">
        <v>1</v>
      </c>
      <c r="AB178">
        <v>80</v>
      </c>
      <c r="AC178">
        <v>0</v>
      </c>
      <c r="AD178">
        <v>4</v>
      </c>
      <c r="AE178">
        <v>2</v>
      </c>
      <c r="AF178">
        <v>4</v>
      </c>
      <c r="AG178">
        <v>3</v>
      </c>
      <c r="AH178">
        <v>1</v>
      </c>
      <c r="AI178">
        <v>0</v>
      </c>
      <c r="AJ178">
        <v>2</v>
      </c>
    </row>
    <row r="179" spans="1:36" x14ac:dyDescent="0.3">
      <c r="A179">
        <v>19</v>
      </c>
      <c r="B179" t="s">
        <v>35</v>
      </c>
      <c r="C179" s="6">
        <f t="shared" si="2"/>
        <v>1</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t="s">
        <v>43</v>
      </c>
      <c r="Y179">
        <v>22</v>
      </c>
      <c r="Z179">
        <v>4</v>
      </c>
      <c r="AA179">
        <v>3</v>
      </c>
      <c r="AB179">
        <v>80</v>
      </c>
      <c r="AC179">
        <v>0</v>
      </c>
      <c r="AD179">
        <v>1</v>
      </c>
      <c r="AE179">
        <v>3</v>
      </c>
      <c r="AF179">
        <v>2</v>
      </c>
      <c r="AG179">
        <v>1</v>
      </c>
      <c r="AH179">
        <v>0</v>
      </c>
      <c r="AI179">
        <v>1</v>
      </c>
      <c r="AJ179">
        <v>0</v>
      </c>
    </row>
    <row r="180" spans="1:36" x14ac:dyDescent="0.3">
      <c r="A180">
        <v>46</v>
      </c>
      <c r="B180" t="s">
        <v>43</v>
      </c>
      <c r="C180" s="6">
        <f t="shared" si="2"/>
        <v>0</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t="s">
        <v>43</v>
      </c>
      <c r="Y180">
        <v>25</v>
      </c>
      <c r="Z180">
        <v>4</v>
      </c>
      <c r="AA180">
        <v>3</v>
      </c>
      <c r="AB180">
        <v>80</v>
      </c>
      <c r="AC180">
        <v>3</v>
      </c>
      <c r="AD180">
        <v>24</v>
      </c>
      <c r="AE180">
        <v>2</v>
      </c>
      <c r="AF180">
        <v>3</v>
      </c>
      <c r="AG180">
        <v>24</v>
      </c>
      <c r="AH180">
        <v>13</v>
      </c>
      <c r="AI180">
        <v>15</v>
      </c>
      <c r="AJ180">
        <v>7</v>
      </c>
    </row>
    <row r="181" spans="1:36" x14ac:dyDescent="0.3">
      <c r="A181">
        <v>38</v>
      </c>
      <c r="B181" t="s">
        <v>43</v>
      </c>
      <c r="C181" s="6">
        <f t="shared" si="2"/>
        <v>0</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t="s">
        <v>43</v>
      </c>
      <c r="Y181">
        <v>12</v>
      </c>
      <c r="Z181">
        <v>3</v>
      </c>
      <c r="AA181">
        <v>3</v>
      </c>
      <c r="AB181">
        <v>80</v>
      </c>
      <c r="AC181">
        <v>0</v>
      </c>
      <c r="AD181">
        <v>2</v>
      </c>
      <c r="AE181">
        <v>3</v>
      </c>
      <c r="AF181">
        <v>3</v>
      </c>
      <c r="AG181">
        <v>2</v>
      </c>
      <c r="AH181">
        <v>2</v>
      </c>
      <c r="AI181">
        <v>2</v>
      </c>
      <c r="AJ181">
        <v>1</v>
      </c>
    </row>
    <row r="182" spans="1:36" x14ac:dyDescent="0.3">
      <c r="A182">
        <v>31</v>
      </c>
      <c r="B182" t="s">
        <v>43</v>
      </c>
      <c r="C182" s="6">
        <f t="shared" si="2"/>
        <v>0</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t="s">
        <v>35</v>
      </c>
      <c r="Y182">
        <v>23</v>
      </c>
      <c r="Z182">
        <v>4</v>
      </c>
      <c r="AA182">
        <v>3</v>
      </c>
      <c r="AB182">
        <v>80</v>
      </c>
      <c r="AC182">
        <v>1</v>
      </c>
      <c r="AD182">
        <v>7</v>
      </c>
      <c r="AE182">
        <v>0</v>
      </c>
      <c r="AF182">
        <v>3</v>
      </c>
      <c r="AG182">
        <v>4</v>
      </c>
      <c r="AH182">
        <v>2</v>
      </c>
      <c r="AI182">
        <v>0</v>
      </c>
      <c r="AJ182">
        <v>2</v>
      </c>
    </row>
    <row r="183" spans="1:36" x14ac:dyDescent="0.3">
      <c r="A183">
        <v>34</v>
      </c>
      <c r="B183" t="s">
        <v>43</v>
      </c>
      <c r="C183" s="6">
        <f t="shared" si="2"/>
        <v>0</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t="s">
        <v>43</v>
      </c>
      <c r="Y183">
        <v>15</v>
      </c>
      <c r="Z183">
        <v>3</v>
      </c>
      <c r="AA183">
        <v>4</v>
      </c>
      <c r="AB183">
        <v>80</v>
      </c>
      <c r="AC183">
        <v>0</v>
      </c>
      <c r="AD183">
        <v>9</v>
      </c>
      <c r="AE183">
        <v>3</v>
      </c>
      <c r="AF183">
        <v>3</v>
      </c>
      <c r="AG183">
        <v>3</v>
      </c>
      <c r="AH183">
        <v>2</v>
      </c>
      <c r="AI183">
        <v>1</v>
      </c>
      <c r="AJ183">
        <v>2</v>
      </c>
    </row>
    <row r="184" spans="1:36" x14ac:dyDescent="0.3">
      <c r="A184">
        <v>41</v>
      </c>
      <c r="B184" t="s">
        <v>35</v>
      </c>
      <c r="C184" s="6">
        <f t="shared" si="2"/>
        <v>1</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t="s">
        <v>35</v>
      </c>
      <c r="Y184">
        <v>22</v>
      </c>
      <c r="Z184">
        <v>4</v>
      </c>
      <c r="AA184">
        <v>4</v>
      </c>
      <c r="AB184">
        <v>80</v>
      </c>
      <c r="AC184">
        <v>0</v>
      </c>
      <c r="AD184">
        <v>4</v>
      </c>
      <c r="AE184">
        <v>5</v>
      </c>
      <c r="AF184">
        <v>2</v>
      </c>
      <c r="AG184">
        <v>4</v>
      </c>
      <c r="AH184">
        <v>3</v>
      </c>
      <c r="AI184">
        <v>0</v>
      </c>
      <c r="AJ184">
        <v>2</v>
      </c>
    </row>
    <row r="185" spans="1:36" x14ac:dyDescent="0.3">
      <c r="A185">
        <v>50</v>
      </c>
      <c r="B185" t="s">
        <v>43</v>
      </c>
      <c r="C185" s="6">
        <f t="shared" si="2"/>
        <v>0</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t="s">
        <v>43</v>
      </c>
      <c r="Y185">
        <v>15</v>
      </c>
      <c r="Z185">
        <v>3</v>
      </c>
      <c r="AA185">
        <v>4</v>
      </c>
      <c r="AB185">
        <v>80</v>
      </c>
      <c r="AC185">
        <v>1</v>
      </c>
      <c r="AD185">
        <v>5</v>
      </c>
      <c r="AE185">
        <v>2</v>
      </c>
      <c r="AF185">
        <v>2</v>
      </c>
      <c r="AG185">
        <v>3</v>
      </c>
      <c r="AH185">
        <v>2</v>
      </c>
      <c r="AI185">
        <v>0</v>
      </c>
      <c r="AJ185">
        <v>2</v>
      </c>
    </row>
    <row r="186" spans="1:36" x14ac:dyDescent="0.3">
      <c r="A186">
        <v>53</v>
      </c>
      <c r="B186" t="s">
        <v>43</v>
      </c>
      <c r="C186" s="6">
        <f t="shared" si="2"/>
        <v>0</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t="s">
        <v>43</v>
      </c>
      <c r="Y186">
        <v>11</v>
      </c>
      <c r="Z186">
        <v>3</v>
      </c>
      <c r="AA186">
        <v>3</v>
      </c>
      <c r="AB186">
        <v>80</v>
      </c>
      <c r="AC186">
        <v>2</v>
      </c>
      <c r="AD186">
        <v>5</v>
      </c>
      <c r="AE186">
        <v>3</v>
      </c>
      <c r="AF186">
        <v>3</v>
      </c>
      <c r="AG186">
        <v>4</v>
      </c>
      <c r="AH186">
        <v>2</v>
      </c>
      <c r="AI186">
        <v>1</v>
      </c>
      <c r="AJ186">
        <v>3</v>
      </c>
    </row>
    <row r="187" spans="1:36" x14ac:dyDescent="0.3">
      <c r="A187">
        <v>33</v>
      </c>
      <c r="B187" t="s">
        <v>43</v>
      </c>
      <c r="C187" s="6">
        <f t="shared" si="2"/>
        <v>0</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t="s">
        <v>43</v>
      </c>
      <c r="Y187">
        <v>13</v>
      </c>
      <c r="Z187">
        <v>3</v>
      </c>
      <c r="AA187">
        <v>4</v>
      </c>
      <c r="AB187">
        <v>80</v>
      </c>
      <c r="AC187">
        <v>1</v>
      </c>
      <c r="AD187">
        <v>8</v>
      </c>
      <c r="AE187">
        <v>5</v>
      </c>
      <c r="AF187">
        <v>3</v>
      </c>
      <c r="AG187">
        <v>8</v>
      </c>
      <c r="AH187">
        <v>7</v>
      </c>
      <c r="AI187">
        <v>1</v>
      </c>
      <c r="AJ187">
        <v>6</v>
      </c>
    </row>
    <row r="188" spans="1:36" x14ac:dyDescent="0.3">
      <c r="A188">
        <v>40</v>
      </c>
      <c r="B188" t="s">
        <v>43</v>
      </c>
      <c r="C188" s="6">
        <f t="shared" si="2"/>
        <v>0</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t="s">
        <v>43</v>
      </c>
      <c r="Y188">
        <v>14</v>
      </c>
      <c r="Z188">
        <v>3</v>
      </c>
      <c r="AA188">
        <v>2</v>
      </c>
      <c r="AB188">
        <v>80</v>
      </c>
      <c r="AC188">
        <v>1</v>
      </c>
      <c r="AD188">
        <v>21</v>
      </c>
      <c r="AE188">
        <v>2</v>
      </c>
      <c r="AF188">
        <v>3</v>
      </c>
      <c r="AG188">
        <v>20</v>
      </c>
      <c r="AH188">
        <v>8</v>
      </c>
      <c r="AI188">
        <v>9</v>
      </c>
      <c r="AJ188">
        <v>9</v>
      </c>
    </row>
    <row r="189" spans="1:36" x14ac:dyDescent="0.3">
      <c r="A189">
        <v>55</v>
      </c>
      <c r="B189" t="s">
        <v>43</v>
      </c>
      <c r="C189" s="6">
        <f t="shared" si="2"/>
        <v>0</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t="s">
        <v>43</v>
      </c>
      <c r="Y189">
        <v>11</v>
      </c>
      <c r="Z189">
        <v>3</v>
      </c>
      <c r="AA189">
        <v>4</v>
      </c>
      <c r="AB189">
        <v>80</v>
      </c>
      <c r="AC189">
        <v>0</v>
      </c>
      <c r="AD189">
        <v>36</v>
      </c>
      <c r="AE189">
        <v>3</v>
      </c>
      <c r="AF189">
        <v>3</v>
      </c>
      <c r="AG189">
        <v>24</v>
      </c>
      <c r="AH189">
        <v>15</v>
      </c>
      <c r="AI189">
        <v>2</v>
      </c>
      <c r="AJ189">
        <v>15</v>
      </c>
    </row>
    <row r="190" spans="1:36" x14ac:dyDescent="0.3">
      <c r="A190">
        <v>34</v>
      </c>
      <c r="B190" t="s">
        <v>43</v>
      </c>
      <c r="C190" s="6">
        <f t="shared" si="2"/>
        <v>0</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t="s">
        <v>43</v>
      </c>
      <c r="Y190">
        <v>17</v>
      </c>
      <c r="Z190">
        <v>3</v>
      </c>
      <c r="AA190">
        <v>3</v>
      </c>
      <c r="AB190">
        <v>80</v>
      </c>
      <c r="AC190">
        <v>0</v>
      </c>
      <c r="AD190">
        <v>10</v>
      </c>
      <c r="AE190">
        <v>2</v>
      </c>
      <c r="AF190">
        <v>2</v>
      </c>
      <c r="AG190">
        <v>10</v>
      </c>
      <c r="AH190">
        <v>9</v>
      </c>
      <c r="AI190">
        <v>1</v>
      </c>
      <c r="AJ190">
        <v>9</v>
      </c>
    </row>
    <row r="191" spans="1:36" x14ac:dyDescent="0.3">
      <c r="A191">
        <v>51</v>
      </c>
      <c r="B191" t="s">
        <v>43</v>
      </c>
      <c r="C191" s="6">
        <f t="shared" si="2"/>
        <v>0</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t="s">
        <v>43</v>
      </c>
      <c r="Y191">
        <v>18</v>
      </c>
      <c r="Z191">
        <v>3</v>
      </c>
      <c r="AA191">
        <v>3</v>
      </c>
      <c r="AB191">
        <v>80</v>
      </c>
      <c r="AC191">
        <v>0</v>
      </c>
      <c r="AD191">
        <v>21</v>
      </c>
      <c r="AE191">
        <v>6</v>
      </c>
      <c r="AF191">
        <v>3</v>
      </c>
      <c r="AG191">
        <v>7</v>
      </c>
      <c r="AH191">
        <v>7</v>
      </c>
      <c r="AI191">
        <v>1</v>
      </c>
      <c r="AJ191">
        <v>0</v>
      </c>
    </row>
    <row r="192" spans="1:36" x14ac:dyDescent="0.3">
      <c r="A192">
        <v>52</v>
      </c>
      <c r="B192" t="s">
        <v>43</v>
      </c>
      <c r="C192" s="6">
        <f t="shared" si="2"/>
        <v>0</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t="s">
        <v>43</v>
      </c>
      <c r="Y192">
        <v>14</v>
      </c>
      <c r="Z192">
        <v>3</v>
      </c>
      <c r="AA192">
        <v>1</v>
      </c>
      <c r="AB192">
        <v>80</v>
      </c>
      <c r="AC192">
        <v>1</v>
      </c>
      <c r="AD192">
        <v>34</v>
      </c>
      <c r="AE192">
        <v>5</v>
      </c>
      <c r="AF192">
        <v>3</v>
      </c>
      <c r="AG192">
        <v>33</v>
      </c>
      <c r="AH192">
        <v>18</v>
      </c>
      <c r="AI192">
        <v>11</v>
      </c>
      <c r="AJ192">
        <v>9</v>
      </c>
    </row>
    <row r="193" spans="1:36" x14ac:dyDescent="0.3">
      <c r="A193">
        <v>27</v>
      </c>
      <c r="B193" t="s">
        <v>43</v>
      </c>
      <c r="C193" s="6">
        <f t="shared" si="2"/>
        <v>0</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t="s">
        <v>43</v>
      </c>
      <c r="Y193">
        <v>16</v>
      </c>
      <c r="Z193">
        <v>3</v>
      </c>
      <c r="AA193">
        <v>4</v>
      </c>
      <c r="AB193">
        <v>80</v>
      </c>
      <c r="AC193">
        <v>0</v>
      </c>
      <c r="AD193">
        <v>7</v>
      </c>
      <c r="AE193">
        <v>2</v>
      </c>
      <c r="AF193">
        <v>2</v>
      </c>
      <c r="AG193">
        <v>7</v>
      </c>
      <c r="AH193">
        <v>7</v>
      </c>
      <c r="AI193">
        <v>0</v>
      </c>
      <c r="AJ193">
        <v>3</v>
      </c>
    </row>
    <row r="194" spans="1:36" x14ac:dyDescent="0.3">
      <c r="A194">
        <v>35</v>
      </c>
      <c r="B194" t="s">
        <v>35</v>
      </c>
      <c r="C194" s="6">
        <f t="shared" si="2"/>
        <v>1</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t="s">
        <v>35</v>
      </c>
      <c r="Y194">
        <v>13</v>
      </c>
      <c r="Z194">
        <v>3</v>
      </c>
      <c r="AA194">
        <v>1</v>
      </c>
      <c r="AB194">
        <v>80</v>
      </c>
      <c r="AC194">
        <v>0</v>
      </c>
      <c r="AD194">
        <v>8</v>
      </c>
      <c r="AE194">
        <v>1</v>
      </c>
      <c r="AF194">
        <v>3</v>
      </c>
      <c r="AG194">
        <v>1</v>
      </c>
      <c r="AH194">
        <v>0</v>
      </c>
      <c r="AI194">
        <v>0</v>
      </c>
      <c r="AJ194">
        <v>1</v>
      </c>
    </row>
    <row r="195" spans="1:36" x14ac:dyDescent="0.3">
      <c r="A195">
        <v>43</v>
      </c>
      <c r="B195" t="s">
        <v>43</v>
      </c>
      <c r="C195" s="6">
        <f t="shared" ref="C195:C258" si="3">IF(B195="Yes",1,0)</f>
        <v>0</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t="s">
        <v>43</v>
      </c>
      <c r="Y195">
        <v>14</v>
      </c>
      <c r="Z195">
        <v>3</v>
      </c>
      <c r="AA195">
        <v>4</v>
      </c>
      <c r="AB195">
        <v>80</v>
      </c>
      <c r="AC195">
        <v>3</v>
      </c>
      <c r="AD195">
        <v>7</v>
      </c>
      <c r="AE195">
        <v>3</v>
      </c>
      <c r="AF195">
        <v>4</v>
      </c>
      <c r="AG195">
        <v>5</v>
      </c>
      <c r="AH195">
        <v>4</v>
      </c>
      <c r="AI195">
        <v>2</v>
      </c>
      <c r="AJ195">
        <v>2</v>
      </c>
    </row>
    <row r="196" spans="1:36" x14ac:dyDescent="0.3">
      <c r="A196">
        <v>45</v>
      </c>
      <c r="B196" t="s">
        <v>43</v>
      </c>
      <c r="C196" s="6">
        <f t="shared" si="3"/>
        <v>0</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t="s">
        <v>43</v>
      </c>
      <c r="Y196">
        <v>23</v>
      </c>
      <c r="Z196">
        <v>4</v>
      </c>
      <c r="AA196">
        <v>4</v>
      </c>
      <c r="AB196">
        <v>80</v>
      </c>
      <c r="AC196">
        <v>1</v>
      </c>
      <c r="AD196">
        <v>22</v>
      </c>
      <c r="AE196">
        <v>1</v>
      </c>
      <c r="AF196">
        <v>3</v>
      </c>
      <c r="AG196">
        <v>20</v>
      </c>
      <c r="AH196">
        <v>8</v>
      </c>
      <c r="AI196">
        <v>11</v>
      </c>
      <c r="AJ196">
        <v>8</v>
      </c>
    </row>
    <row r="197" spans="1:36" x14ac:dyDescent="0.3">
      <c r="A197">
        <v>37</v>
      </c>
      <c r="B197" t="s">
        <v>43</v>
      </c>
      <c r="C197" s="6">
        <f t="shared" si="3"/>
        <v>0</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t="s">
        <v>35</v>
      </c>
      <c r="Y197">
        <v>12</v>
      </c>
      <c r="Z197">
        <v>3</v>
      </c>
      <c r="AA197">
        <v>1</v>
      </c>
      <c r="AB197">
        <v>80</v>
      </c>
      <c r="AC197">
        <v>1</v>
      </c>
      <c r="AD197">
        <v>8</v>
      </c>
      <c r="AE197">
        <v>3</v>
      </c>
      <c r="AF197">
        <v>2</v>
      </c>
      <c r="AG197">
        <v>8</v>
      </c>
      <c r="AH197">
        <v>7</v>
      </c>
      <c r="AI197">
        <v>1</v>
      </c>
      <c r="AJ197">
        <v>7</v>
      </c>
    </row>
    <row r="198" spans="1:36" x14ac:dyDescent="0.3">
      <c r="A198">
        <v>35</v>
      </c>
      <c r="B198" t="s">
        <v>43</v>
      </c>
      <c r="C198" s="6">
        <f t="shared" si="3"/>
        <v>0</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t="s">
        <v>43</v>
      </c>
      <c r="Y198">
        <v>11</v>
      </c>
      <c r="Z198">
        <v>3</v>
      </c>
      <c r="AA198">
        <v>4</v>
      </c>
      <c r="AB198">
        <v>80</v>
      </c>
      <c r="AC198">
        <v>0</v>
      </c>
      <c r="AD198">
        <v>10</v>
      </c>
      <c r="AE198">
        <v>5</v>
      </c>
      <c r="AF198">
        <v>3</v>
      </c>
      <c r="AG198">
        <v>6</v>
      </c>
      <c r="AH198">
        <v>2</v>
      </c>
      <c r="AI198">
        <v>1</v>
      </c>
      <c r="AJ198">
        <v>2</v>
      </c>
    </row>
    <row r="199" spans="1:36" x14ac:dyDescent="0.3">
      <c r="A199">
        <v>42</v>
      </c>
      <c r="B199" t="s">
        <v>43</v>
      </c>
      <c r="C199" s="6">
        <f t="shared" si="3"/>
        <v>0</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t="s">
        <v>43</v>
      </c>
      <c r="Y199">
        <v>16</v>
      </c>
      <c r="Z199">
        <v>3</v>
      </c>
      <c r="AA199">
        <v>2</v>
      </c>
      <c r="AB199">
        <v>80</v>
      </c>
      <c r="AC199">
        <v>1</v>
      </c>
      <c r="AD199">
        <v>11</v>
      </c>
      <c r="AE199">
        <v>5</v>
      </c>
      <c r="AF199">
        <v>3</v>
      </c>
      <c r="AG199">
        <v>5</v>
      </c>
      <c r="AH199">
        <v>3</v>
      </c>
      <c r="AI199">
        <v>0</v>
      </c>
      <c r="AJ199">
        <v>2</v>
      </c>
    </row>
    <row r="200" spans="1:36" x14ac:dyDescent="0.3">
      <c r="A200">
        <v>38</v>
      </c>
      <c r="B200" t="s">
        <v>43</v>
      </c>
      <c r="C200" s="6">
        <f t="shared" si="3"/>
        <v>0</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t="s">
        <v>43</v>
      </c>
      <c r="Y200">
        <v>14</v>
      </c>
      <c r="Z200">
        <v>3</v>
      </c>
      <c r="AA200">
        <v>2</v>
      </c>
      <c r="AB200">
        <v>80</v>
      </c>
      <c r="AC200">
        <v>0</v>
      </c>
      <c r="AD200">
        <v>14</v>
      </c>
      <c r="AE200">
        <v>3</v>
      </c>
      <c r="AF200">
        <v>3</v>
      </c>
      <c r="AG200">
        <v>1</v>
      </c>
      <c r="AH200">
        <v>0</v>
      </c>
      <c r="AI200">
        <v>0</v>
      </c>
      <c r="AJ200">
        <v>0</v>
      </c>
    </row>
    <row r="201" spans="1:36" x14ac:dyDescent="0.3">
      <c r="A201">
        <v>38</v>
      </c>
      <c r="B201" t="s">
        <v>43</v>
      </c>
      <c r="C201" s="6">
        <f t="shared" si="3"/>
        <v>0</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t="s">
        <v>43</v>
      </c>
      <c r="Y201">
        <v>18</v>
      </c>
      <c r="Z201">
        <v>3</v>
      </c>
      <c r="AA201">
        <v>1</v>
      </c>
      <c r="AB201">
        <v>80</v>
      </c>
      <c r="AC201">
        <v>1</v>
      </c>
      <c r="AD201">
        <v>9</v>
      </c>
      <c r="AE201">
        <v>3</v>
      </c>
      <c r="AF201">
        <v>1</v>
      </c>
      <c r="AG201">
        <v>7</v>
      </c>
      <c r="AH201">
        <v>7</v>
      </c>
      <c r="AI201">
        <v>1</v>
      </c>
      <c r="AJ201">
        <v>7</v>
      </c>
    </row>
    <row r="202" spans="1:36" x14ac:dyDescent="0.3">
      <c r="A202">
        <v>27</v>
      </c>
      <c r="B202" t="s">
        <v>43</v>
      </c>
      <c r="C202" s="6">
        <f t="shared" si="3"/>
        <v>0</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t="s">
        <v>43</v>
      </c>
      <c r="Y202">
        <v>19</v>
      </c>
      <c r="Z202">
        <v>3</v>
      </c>
      <c r="AA202">
        <v>3</v>
      </c>
      <c r="AB202">
        <v>80</v>
      </c>
      <c r="AC202">
        <v>1</v>
      </c>
      <c r="AD202">
        <v>6</v>
      </c>
      <c r="AE202">
        <v>1</v>
      </c>
      <c r="AF202">
        <v>3</v>
      </c>
      <c r="AG202">
        <v>2</v>
      </c>
      <c r="AH202">
        <v>2</v>
      </c>
      <c r="AI202">
        <v>2</v>
      </c>
      <c r="AJ202">
        <v>0</v>
      </c>
    </row>
    <row r="203" spans="1:36" x14ac:dyDescent="0.3">
      <c r="A203">
        <v>49</v>
      </c>
      <c r="B203" t="s">
        <v>43</v>
      </c>
      <c r="C203" s="6">
        <f t="shared" si="3"/>
        <v>0</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t="s">
        <v>35</v>
      </c>
      <c r="Y203">
        <v>15</v>
      </c>
      <c r="Z203">
        <v>3</v>
      </c>
      <c r="AA203">
        <v>1</v>
      </c>
      <c r="AB203">
        <v>80</v>
      </c>
      <c r="AC203">
        <v>2</v>
      </c>
      <c r="AD203">
        <v>7</v>
      </c>
      <c r="AE203">
        <v>0</v>
      </c>
      <c r="AF203">
        <v>3</v>
      </c>
      <c r="AG203">
        <v>7</v>
      </c>
      <c r="AH203">
        <v>7</v>
      </c>
      <c r="AI203">
        <v>1</v>
      </c>
      <c r="AJ203">
        <v>7</v>
      </c>
    </row>
    <row r="204" spans="1:36" x14ac:dyDescent="0.3">
      <c r="A204">
        <v>34</v>
      </c>
      <c r="B204" t="s">
        <v>43</v>
      </c>
      <c r="C204" s="6">
        <f t="shared" si="3"/>
        <v>0</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t="s">
        <v>35</v>
      </c>
      <c r="Y204">
        <v>17</v>
      </c>
      <c r="Z204">
        <v>3</v>
      </c>
      <c r="AA204">
        <v>4</v>
      </c>
      <c r="AB204">
        <v>80</v>
      </c>
      <c r="AC204">
        <v>1</v>
      </c>
      <c r="AD204">
        <v>5</v>
      </c>
      <c r="AE204">
        <v>4</v>
      </c>
      <c r="AF204">
        <v>4</v>
      </c>
      <c r="AG204">
        <v>5</v>
      </c>
      <c r="AH204">
        <v>3</v>
      </c>
      <c r="AI204">
        <v>2</v>
      </c>
      <c r="AJ204">
        <v>0</v>
      </c>
    </row>
    <row r="205" spans="1:36" x14ac:dyDescent="0.3">
      <c r="A205">
        <v>40</v>
      </c>
      <c r="B205" t="s">
        <v>43</v>
      </c>
      <c r="C205" s="6">
        <f t="shared" si="3"/>
        <v>0</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t="s">
        <v>35</v>
      </c>
      <c r="Y205">
        <v>15</v>
      </c>
      <c r="Z205">
        <v>3</v>
      </c>
      <c r="AA205">
        <v>3</v>
      </c>
      <c r="AB205">
        <v>80</v>
      </c>
      <c r="AC205">
        <v>1</v>
      </c>
      <c r="AD205">
        <v>15</v>
      </c>
      <c r="AE205">
        <v>2</v>
      </c>
      <c r="AF205">
        <v>4</v>
      </c>
      <c r="AG205">
        <v>7</v>
      </c>
      <c r="AH205">
        <v>2</v>
      </c>
      <c r="AI205">
        <v>3</v>
      </c>
      <c r="AJ205">
        <v>7</v>
      </c>
    </row>
    <row r="206" spans="1:36" x14ac:dyDescent="0.3">
      <c r="A206">
        <v>38</v>
      </c>
      <c r="B206" t="s">
        <v>35</v>
      </c>
      <c r="C206" s="6">
        <f t="shared" si="3"/>
        <v>1</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t="s">
        <v>35</v>
      </c>
      <c r="Y206">
        <v>19</v>
      </c>
      <c r="Z206">
        <v>3</v>
      </c>
      <c r="AA206">
        <v>2</v>
      </c>
      <c r="AB206">
        <v>80</v>
      </c>
      <c r="AC206">
        <v>0</v>
      </c>
      <c r="AD206">
        <v>17</v>
      </c>
      <c r="AE206">
        <v>2</v>
      </c>
      <c r="AF206">
        <v>3</v>
      </c>
      <c r="AG206">
        <v>1</v>
      </c>
      <c r="AH206">
        <v>0</v>
      </c>
      <c r="AI206">
        <v>0</v>
      </c>
      <c r="AJ206">
        <v>0</v>
      </c>
    </row>
    <row r="207" spans="1:36" x14ac:dyDescent="0.3">
      <c r="A207">
        <v>29</v>
      </c>
      <c r="B207" t="s">
        <v>35</v>
      </c>
      <c r="C207" s="6">
        <f t="shared" si="3"/>
        <v>1</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t="s">
        <v>43</v>
      </c>
      <c r="Y207">
        <v>22</v>
      </c>
      <c r="Z207">
        <v>4</v>
      </c>
      <c r="AA207">
        <v>4</v>
      </c>
      <c r="AB207">
        <v>80</v>
      </c>
      <c r="AC207">
        <v>3</v>
      </c>
      <c r="AD207">
        <v>10</v>
      </c>
      <c r="AE207">
        <v>3</v>
      </c>
      <c r="AF207">
        <v>2</v>
      </c>
      <c r="AG207">
        <v>10</v>
      </c>
      <c r="AH207">
        <v>4</v>
      </c>
      <c r="AI207">
        <v>1</v>
      </c>
      <c r="AJ207">
        <v>9</v>
      </c>
    </row>
    <row r="208" spans="1:36" x14ac:dyDescent="0.3">
      <c r="A208">
        <v>22</v>
      </c>
      <c r="B208" t="s">
        <v>43</v>
      </c>
      <c r="C208" s="6">
        <f t="shared" si="3"/>
        <v>0</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t="s">
        <v>35</v>
      </c>
      <c r="Y208">
        <v>16</v>
      </c>
      <c r="Z208">
        <v>3</v>
      </c>
      <c r="AA208">
        <v>1</v>
      </c>
      <c r="AB208">
        <v>80</v>
      </c>
      <c r="AC208">
        <v>1</v>
      </c>
      <c r="AD208">
        <v>4</v>
      </c>
      <c r="AE208">
        <v>2</v>
      </c>
      <c r="AF208">
        <v>2</v>
      </c>
      <c r="AG208">
        <v>4</v>
      </c>
      <c r="AH208">
        <v>2</v>
      </c>
      <c r="AI208">
        <v>2</v>
      </c>
      <c r="AJ208">
        <v>2</v>
      </c>
    </row>
    <row r="209" spans="1:36" x14ac:dyDescent="0.3">
      <c r="A209">
        <v>36</v>
      </c>
      <c r="B209" t="s">
        <v>43</v>
      </c>
      <c r="C209" s="6">
        <f t="shared" si="3"/>
        <v>0</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t="s">
        <v>43</v>
      </c>
      <c r="Y209">
        <v>13</v>
      </c>
      <c r="Z209">
        <v>3</v>
      </c>
      <c r="AA209">
        <v>1</v>
      </c>
      <c r="AB209">
        <v>80</v>
      </c>
      <c r="AC209">
        <v>0</v>
      </c>
      <c r="AD209">
        <v>8</v>
      </c>
      <c r="AE209">
        <v>2</v>
      </c>
      <c r="AF209">
        <v>3</v>
      </c>
      <c r="AG209">
        <v>8</v>
      </c>
      <c r="AH209">
        <v>1</v>
      </c>
      <c r="AI209">
        <v>1</v>
      </c>
      <c r="AJ209">
        <v>7</v>
      </c>
    </row>
    <row r="210" spans="1:36" x14ac:dyDescent="0.3">
      <c r="A210">
        <v>40</v>
      </c>
      <c r="B210" t="s">
        <v>43</v>
      </c>
      <c r="C210" s="6">
        <f t="shared" si="3"/>
        <v>0</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t="s">
        <v>43</v>
      </c>
      <c r="Y210">
        <v>14</v>
      </c>
      <c r="Z210">
        <v>3</v>
      </c>
      <c r="AA210">
        <v>4</v>
      </c>
      <c r="AB210">
        <v>80</v>
      </c>
      <c r="AC210">
        <v>1</v>
      </c>
      <c r="AD210">
        <v>5</v>
      </c>
      <c r="AE210">
        <v>5</v>
      </c>
      <c r="AF210">
        <v>1</v>
      </c>
      <c r="AG210">
        <v>3</v>
      </c>
      <c r="AH210">
        <v>2</v>
      </c>
      <c r="AI210">
        <v>0</v>
      </c>
      <c r="AJ210">
        <v>2</v>
      </c>
    </row>
    <row r="211" spans="1:36" x14ac:dyDescent="0.3">
      <c r="A211">
        <v>46</v>
      </c>
      <c r="B211" t="s">
        <v>43</v>
      </c>
      <c r="C211" s="6">
        <f t="shared" si="3"/>
        <v>0</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t="s">
        <v>43</v>
      </c>
      <c r="Y211">
        <v>16</v>
      </c>
      <c r="Z211">
        <v>3</v>
      </c>
      <c r="AA211">
        <v>3</v>
      </c>
      <c r="AB211">
        <v>80</v>
      </c>
      <c r="AC211">
        <v>1</v>
      </c>
      <c r="AD211">
        <v>17</v>
      </c>
      <c r="AE211">
        <v>3</v>
      </c>
      <c r="AF211">
        <v>3</v>
      </c>
      <c r="AG211">
        <v>4</v>
      </c>
      <c r="AH211">
        <v>2</v>
      </c>
      <c r="AI211">
        <v>0</v>
      </c>
      <c r="AJ211">
        <v>3</v>
      </c>
    </row>
    <row r="212" spans="1:36" x14ac:dyDescent="0.3">
      <c r="A212">
        <v>32</v>
      </c>
      <c r="B212" t="s">
        <v>35</v>
      </c>
      <c r="C212" s="6">
        <f t="shared" si="3"/>
        <v>1</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t="s">
        <v>43</v>
      </c>
      <c r="Y212">
        <v>11</v>
      </c>
      <c r="Z212">
        <v>3</v>
      </c>
      <c r="AA212">
        <v>3</v>
      </c>
      <c r="AB212">
        <v>80</v>
      </c>
      <c r="AC212">
        <v>0</v>
      </c>
      <c r="AD212">
        <v>14</v>
      </c>
      <c r="AE212">
        <v>2</v>
      </c>
      <c r="AF212">
        <v>2</v>
      </c>
      <c r="AG212">
        <v>14</v>
      </c>
      <c r="AH212">
        <v>8</v>
      </c>
      <c r="AI212">
        <v>9</v>
      </c>
      <c r="AJ212">
        <v>8</v>
      </c>
    </row>
    <row r="213" spans="1:36" x14ac:dyDescent="0.3">
      <c r="A213">
        <v>30</v>
      </c>
      <c r="B213" t="s">
        <v>43</v>
      </c>
      <c r="C213" s="6">
        <f t="shared" si="3"/>
        <v>0</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t="s">
        <v>43</v>
      </c>
      <c r="Y213">
        <v>22</v>
      </c>
      <c r="Z213">
        <v>4</v>
      </c>
      <c r="AA213">
        <v>3</v>
      </c>
      <c r="AB213">
        <v>80</v>
      </c>
      <c r="AC213">
        <v>0</v>
      </c>
      <c r="AD213">
        <v>12</v>
      </c>
      <c r="AE213">
        <v>2</v>
      </c>
      <c r="AF213">
        <v>3</v>
      </c>
      <c r="AG213">
        <v>11</v>
      </c>
      <c r="AH213">
        <v>8</v>
      </c>
      <c r="AI213">
        <v>5</v>
      </c>
      <c r="AJ213">
        <v>8</v>
      </c>
    </row>
    <row r="214" spans="1:36" x14ac:dyDescent="0.3">
      <c r="A214">
        <v>27</v>
      </c>
      <c r="B214" t="s">
        <v>43</v>
      </c>
      <c r="C214" s="6">
        <f t="shared" si="3"/>
        <v>0</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t="s">
        <v>43</v>
      </c>
      <c r="Y214">
        <v>14</v>
      </c>
      <c r="Z214">
        <v>3</v>
      </c>
      <c r="AA214">
        <v>4</v>
      </c>
      <c r="AB214">
        <v>80</v>
      </c>
      <c r="AC214">
        <v>0</v>
      </c>
      <c r="AD214">
        <v>7</v>
      </c>
      <c r="AE214">
        <v>2</v>
      </c>
      <c r="AF214">
        <v>3</v>
      </c>
      <c r="AG214">
        <v>7</v>
      </c>
      <c r="AH214">
        <v>7</v>
      </c>
      <c r="AI214">
        <v>0</v>
      </c>
      <c r="AJ214">
        <v>7</v>
      </c>
    </row>
    <row r="215" spans="1:36" x14ac:dyDescent="0.3">
      <c r="A215">
        <v>51</v>
      </c>
      <c r="B215" t="s">
        <v>43</v>
      </c>
      <c r="C215" s="6">
        <f t="shared" si="3"/>
        <v>0</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t="s">
        <v>43</v>
      </c>
      <c r="Y215">
        <v>16</v>
      </c>
      <c r="Z215">
        <v>3</v>
      </c>
      <c r="AA215">
        <v>4</v>
      </c>
      <c r="AB215">
        <v>80</v>
      </c>
      <c r="AC215">
        <v>2</v>
      </c>
      <c r="AD215">
        <v>16</v>
      </c>
      <c r="AE215">
        <v>5</v>
      </c>
      <c r="AF215">
        <v>1</v>
      </c>
      <c r="AG215">
        <v>10</v>
      </c>
      <c r="AH215">
        <v>9</v>
      </c>
      <c r="AI215">
        <v>4</v>
      </c>
      <c r="AJ215">
        <v>7</v>
      </c>
    </row>
    <row r="216" spans="1:36" x14ac:dyDescent="0.3">
      <c r="A216">
        <v>30</v>
      </c>
      <c r="B216" t="s">
        <v>35</v>
      </c>
      <c r="C216" s="6">
        <f t="shared" si="3"/>
        <v>1</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t="s">
        <v>35</v>
      </c>
      <c r="Y216">
        <v>11</v>
      </c>
      <c r="Z216">
        <v>3</v>
      </c>
      <c r="AA216">
        <v>3</v>
      </c>
      <c r="AB216">
        <v>80</v>
      </c>
      <c r="AC216">
        <v>0</v>
      </c>
      <c r="AD216">
        <v>8</v>
      </c>
      <c r="AE216">
        <v>5</v>
      </c>
      <c r="AF216">
        <v>3</v>
      </c>
      <c r="AG216">
        <v>5</v>
      </c>
      <c r="AH216">
        <v>2</v>
      </c>
      <c r="AI216">
        <v>0</v>
      </c>
      <c r="AJ216">
        <v>4</v>
      </c>
    </row>
    <row r="217" spans="1:36" x14ac:dyDescent="0.3">
      <c r="A217">
        <v>41</v>
      </c>
      <c r="B217" t="s">
        <v>43</v>
      </c>
      <c r="C217" s="6">
        <f t="shared" si="3"/>
        <v>0</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t="s">
        <v>35</v>
      </c>
      <c r="Y217">
        <v>18</v>
      </c>
      <c r="Z217">
        <v>3</v>
      </c>
      <c r="AA217">
        <v>3</v>
      </c>
      <c r="AB217">
        <v>80</v>
      </c>
      <c r="AC217">
        <v>0</v>
      </c>
      <c r="AD217">
        <v>16</v>
      </c>
      <c r="AE217">
        <v>3</v>
      </c>
      <c r="AF217">
        <v>3</v>
      </c>
      <c r="AG217">
        <v>1</v>
      </c>
      <c r="AH217">
        <v>0</v>
      </c>
      <c r="AI217">
        <v>0</v>
      </c>
      <c r="AJ217">
        <v>0</v>
      </c>
    </row>
    <row r="218" spans="1:36" x14ac:dyDescent="0.3">
      <c r="A218">
        <v>30</v>
      </c>
      <c r="B218" t="s">
        <v>35</v>
      </c>
      <c r="C218" s="6">
        <f t="shared" si="3"/>
        <v>1</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t="s">
        <v>43</v>
      </c>
      <c r="Y218">
        <v>15</v>
      </c>
      <c r="Z218">
        <v>3</v>
      </c>
      <c r="AA218">
        <v>3</v>
      </c>
      <c r="AB218">
        <v>80</v>
      </c>
      <c r="AC218">
        <v>0</v>
      </c>
      <c r="AD218">
        <v>9</v>
      </c>
      <c r="AE218">
        <v>5</v>
      </c>
      <c r="AF218">
        <v>2</v>
      </c>
      <c r="AG218">
        <v>6</v>
      </c>
      <c r="AH218">
        <v>3</v>
      </c>
      <c r="AI218">
        <v>0</v>
      </c>
      <c r="AJ218">
        <v>1</v>
      </c>
    </row>
    <row r="219" spans="1:36" x14ac:dyDescent="0.3">
      <c r="A219">
        <v>29</v>
      </c>
      <c r="B219" t="s">
        <v>35</v>
      </c>
      <c r="C219" s="6">
        <f t="shared" si="3"/>
        <v>1</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t="s">
        <v>43</v>
      </c>
      <c r="Y219">
        <v>14</v>
      </c>
      <c r="Z219">
        <v>3</v>
      </c>
      <c r="AA219">
        <v>4</v>
      </c>
      <c r="AB219">
        <v>80</v>
      </c>
      <c r="AC219">
        <v>0</v>
      </c>
      <c r="AD219">
        <v>7</v>
      </c>
      <c r="AE219">
        <v>1</v>
      </c>
      <c r="AF219">
        <v>2</v>
      </c>
      <c r="AG219">
        <v>6</v>
      </c>
      <c r="AH219">
        <v>2</v>
      </c>
      <c r="AI219">
        <v>1</v>
      </c>
      <c r="AJ219">
        <v>5</v>
      </c>
    </row>
    <row r="220" spans="1:36" x14ac:dyDescent="0.3">
      <c r="A220">
        <v>45</v>
      </c>
      <c r="B220" t="s">
        <v>43</v>
      </c>
      <c r="C220" s="6">
        <f t="shared" si="3"/>
        <v>0</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t="s">
        <v>43</v>
      </c>
      <c r="Y220">
        <v>12</v>
      </c>
      <c r="Z220">
        <v>3</v>
      </c>
      <c r="AA220">
        <v>4</v>
      </c>
      <c r="AB220">
        <v>80</v>
      </c>
      <c r="AC220">
        <v>0</v>
      </c>
      <c r="AD220">
        <v>23</v>
      </c>
      <c r="AE220">
        <v>2</v>
      </c>
      <c r="AF220">
        <v>3</v>
      </c>
      <c r="AG220">
        <v>19</v>
      </c>
      <c r="AH220">
        <v>7</v>
      </c>
      <c r="AI220">
        <v>12</v>
      </c>
      <c r="AJ220">
        <v>8</v>
      </c>
    </row>
    <row r="221" spans="1:36" x14ac:dyDescent="0.3">
      <c r="A221">
        <v>54</v>
      </c>
      <c r="B221" t="s">
        <v>43</v>
      </c>
      <c r="C221" s="6">
        <f t="shared" si="3"/>
        <v>0</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t="s">
        <v>43</v>
      </c>
      <c r="Y221">
        <v>14</v>
      </c>
      <c r="Z221">
        <v>3</v>
      </c>
      <c r="AA221">
        <v>4</v>
      </c>
      <c r="AB221">
        <v>80</v>
      </c>
      <c r="AC221">
        <v>1</v>
      </c>
      <c r="AD221">
        <v>16</v>
      </c>
      <c r="AE221">
        <v>4</v>
      </c>
      <c r="AF221">
        <v>3</v>
      </c>
      <c r="AG221">
        <v>6</v>
      </c>
      <c r="AH221">
        <v>2</v>
      </c>
      <c r="AI221">
        <v>0</v>
      </c>
      <c r="AJ221">
        <v>5</v>
      </c>
    </row>
    <row r="222" spans="1:36" x14ac:dyDescent="0.3">
      <c r="A222">
        <v>36</v>
      </c>
      <c r="B222" t="s">
        <v>43</v>
      </c>
      <c r="C222" s="6">
        <f t="shared" si="3"/>
        <v>0</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t="s">
        <v>43</v>
      </c>
      <c r="Y222">
        <v>16</v>
      </c>
      <c r="Z222">
        <v>3</v>
      </c>
      <c r="AA222">
        <v>4</v>
      </c>
      <c r="AB222">
        <v>80</v>
      </c>
      <c r="AC222">
        <v>0</v>
      </c>
      <c r="AD222">
        <v>16</v>
      </c>
      <c r="AE222">
        <v>3</v>
      </c>
      <c r="AF222">
        <v>4</v>
      </c>
      <c r="AG222">
        <v>13</v>
      </c>
      <c r="AH222">
        <v>11</v>
      </c>
      <c r="AI222">
        <v>3</v>
      </c>
      <c r="AJ222">
        <v>7</v>
      </c>
    </row>
    <row r="223" spans="1:36" x14ac:dyDescent="0.3">
      <c r="A223">
        <v>33</v>
      </c>
      <c r="B223" t="s">
        <v>43</v>
      </c>
      <c r="C223" s="6">
        <f t="shared" si="3"/>
        <v>0</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t="s">
        <v>43</v>
      </c>
      <c r="Y223">
        <v>21</v>
      </c>
      <c r="Z223">
        <v>4</v>
      </c>
      <c r="AA223">
        <v>4</v>
      </c>
      <c r="AB223">
        <v>80</v>
      </c>
      <c r="AC223">
        <v>0</v>
      </c>
      <c r="AD223">
        <v>7</v>
      </c>
      <c r="AE223">
        <v>3</v>
      </c>
      <c r="AF223">
        <v>3</v>
      </c>
      <c r="AG223">
        <v>3</v>
      </c>
      <c r="AH223">
        <v>2</v>
      </c>
      <c r="AI223">
        <v>1</v>
      </c>
      <c r="AJ223">
        <v>1</v>
      </c>
    </row>
    <row r="224" spans="1:36" x14ac:dyDescent="0.3">
      <c r="A224">
        <v>37</v>
      </c>
      <c r="B224" t="s">
        <v>43</v>
      </c>
      <c r="C224" s="6">
        <f t="shared" si="3"/>
        <v>0</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t="s">
        <v>35</v>
      </c>
      <c r="Y224">
        <v>14</v>
      </c>
      <c r="Z224">
        <v>3</v>
      </c>
      <c r="AA224">
        <v>3</v>
      </c>
      <c r="AB224">
        <v>80</v>
      </c>
      <c r="AC224">
        <v>3</v>
      </c>
      <c r="AD224">
        <v>10</v>
      </c>
      <c r="AE224">
        <v>1</v>
      </c>
      <c r="AF224">
        <v>3</v>
      </c>
      <c r="AG224">
        <v>10</v>
      </c>
      <c r="AH224">
        <v>8</v>
      </c>
      <c r="AI224">
        <v>0</v>
      </c>
      <c r="AJ224">
        <v>7</v>
      </c>
    </row>
    <row r="225" spans="1:36" x14ac:dyDescent="0.3">
      <c r="A225">
        <v>38</v>
      </c>
      <c r="B225" t="s">
        <v>43</v>
      </c>
      <c r="C225" s="6">
        <f t="shared" si="3"/>
        <v>0</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t="s">
        <v>43</v>
      </c>
      <c r="Y225">
        <v>12</v>
      </c>
      <c r="Z225">
        <v>3</v>
      </c>
      <c r="AA225">
        <v>3</v>
      </c>
      <c r="AB225">
        <v>80</v>
      </c>
      <c r="AC225">
        <v>2</v>
      </c>
      <c r="AD225">
        <v>17</v>
      </c>
      <c r="AE225">
        <v>6</v>
      </c>
      <c r="AF225">
        <v>2</v>
      </c>
      <c r="AG225">
        <v>16</v>
      </c>
      <c r="AH225">
        <v>10</v>
      </c>
      <c r="AI225">
        <v>5</v>
      </c>
      <c r="AJ225">
        <v>13</v>
      </c>
    </row>
    <row r="226" spans="1:36" x14ac:dyDescent="0.3">
      <c r="A226">
        <v>31</v>
      </c>
      <c r="B226" t="s">
        <v>43</v>
      </c>
      <c r="C226" s="6">
        <f t="shared" si="3"/>
        <v>0</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t="s">
        <v>43</v>
      </c>
      <c r="Y226">
        <v>12</v>
      </c>
      <c r="Z226">
        <v>3</v>
      </c>
      <c r="AA226">
        <v>4</v>
      </c>
      <c r="AB226">
        <v>80</v>
      </c>
      <c r="AC226">
        <v>1</v>
      </c>
      <c r="AD226">
        <v>6</v>
      </c>
      <c r="AE226">
        <v>2</v>
      </c>
      <c r="AF226">
        <v>3</v>
      </c>
      <c r="AG226">
        <v>5</v>
      </c>
      <c r="AH226">
        <v>4</v>
      </c>
      <c r="AI226">
        <v>1</v>
      </c>
      <c r="AJ226">
        <v>4</v>
      </c>
    </row>
    <row r="227" spans="1:36" x14ac:dyDescent="0.3">
      <c r="A227">
        <v>59</v>
      </c>
      <c r="B227" t="s">
        <v>43</v>
      </c>
      <c r="C227" s="6">
        <f t="shared" si="3"/>
        <v>0</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t="s">
        <v>43</v>
      </c>
      <c r="Y227">
        <v>17</v>
      </c>
      <c r="Z227">
        <v>3</v>
      </c>
      <c r="AA227">
        <v>1</v>
      </c>
      <c r="AB227">
        <v>80</v>
      </c>
      <c r="AC227">
        <v>1</v>
      </c>
      <c r="AD227">
        <v>7</v>
      </c>
      <c r="AE227">
        <v>6</v>
      </c>
      <c r="AF227">
        <v>3</v>
      </c>
      <c r="AG227">
        <v>1</v>
      </c>
      <c r="AH227">
        <v>0</v>
      </c>
      <c r="AI227">
        <v>0</v>
      </c>
      <c r="AJ227">
        <v>0</v>
      </c>
    </row>
    <row r="228" spans="1:36" x14ac:dyDescent="0.3">
      <c r="A228">
        <v>37</v>
      </c>
      <c r="B228" t="s">
        <v>43</v>
      </c>
      <c r="C228" s="6">
        <f t="shared" si="3"/>
        <v>0</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t="s">
        <v>43</v>
      </c>
      <c r="Y228">
        <v>17</v>
      </c>
      <c r="Z228">
        <v>3</v>
      </c>
      <c r="AA228">
        <v>3</v>
      </c>
      <c r="AB228">
        <v>80</v>
      </c>
      <c r="AC228">
        <v>1</v>
      </c>
      <c r="AD228">
        <v>13</v>
      </c>
      <c r="AE228">
        <v>2</v>
      </c>
      <c r="AF228">
        <v>3</v>
      </c>
      <c r="AG228">
        <v>9</v>
      </c>
      <c r="AH228">
        <v>8</v>
      </c>
      <c r="AI228">
        <v>5</v>
      </c>
      <c r="AJ228">
        <v>8</v>
      </c>
    </row>
    <row r="229" spans="1:36" x14ac:dyDescent="0.3">
      <c r="A229">
        <v>29</v>
      </c>
      <c r="B229" t="s">
        <v>43</v>
      </c>
      <c r="C229" s="6">
        <f t="shared" si="3"/>
        <v>0</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t="s">
        <v>43</v>
      </c>
      <c r="Y229">
        <v>14</v>
      </c>
      <c r="Z229">
        <v>3</v>
      </c>
      <c r="AA229">
        <v>4</v>
      </c>
      <c r="AB229">
        <v>80</v>
      </c>
      <c r="AC229">
        <v>1</v>
      </c>
      <c r="AD229">
        <v>11</v>
      </c>
      <c r="AE229">
        <v>5</v>
      </c>
      <c r="AF229">
        <v>3</v>
      </c>
      <c r="AG229">
        <v>11</v>
      </c>
      <c r="AH229">
        <v>10</v>
      </c>
      <c r="AI229">
        <v>4</v>
      </c>
      <c r="AJ229">
        <v>1</v>
      </c>
    </row>
    <row r="230" spans="1:36" x14ac:dyDescent="0.3">
      <c r="A230">
        <v>35</v>
      </c>
      <c r="B230" t="s">
        <v>43</v>
      </c>
      <c r="C230" s="6">
        <f t="shared" si="3"/>
        <v>0</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t="s">
        <v>43</v>
      </c>
      <c r="Y230">
        <v>14</v>
      </c>
      <c r="Z230">
        <v>3</v>
      </c>
      <c r="AA230">
        <v>1</v>
      </c>
      <c r="AB230">
        <v>80</v>
      </c>
      <c r="AC230">
        <v>0</v>
      </c>
      <c r="AD230">
        <v>10</v>
      </c>
      <c r="AE230">
        <v>3</v>
      </c>
      <c r="AF230">
        <v>4</v>
      </c>
      <c r="AG230">
        <v>10</v>
      </c>
      <c r="AH230">
        <v>7</v>
      </c>
      <c r="AI230">
        <v>0</v>
      </c>
      <c r="AJ230">
        <v>8</v>
      </c>
    </row>
    <row r="231" spans="1:36" x14ac:dyDescent="0.3">
      <c r="A231">
        <v>29</v>
      </c>
      <c r="B231" t="s">
        <v>35</v>
      </c>
      <c r="C231" s="6">
        <f t="shared" si="3"/>
        <v>1</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t="s">
        <v>35</v>
      </c>
      <c r="Y231">
        <v>13</v>
      </c>
      <c r="Z231">
        <v>3</v>
      </c>
      <c r="AA231">
        <v>3</v>
      </c>
      <c r="AB231">
        <v>80</v>
      </c>
      <c r="AC231">
        <v>0</v>
      </c>
      <c r="AD231">
        <v>4</v>
      </c>
      <c r="AE231">
        <v>3</v>
      </c>
      <c r="AF231">
        <v>2</v>
      </c>
      <c r="AG231">
        <v>4</v>
      </c>
      <c r="AH231">
        <v>3</v>
      </c>
      <c r="AI231">
        <v>0</v>
      </c>
      <c r="AJ231">
        <v>1</v>
      </c>
    </row>
    <row r="232" spans="1:36" x14ac:dyDescent="0.3">
      <c r="A232">
        <v>52</v>
      </c>
      <c r="B232" t="s">
        <v>43</v>
      </c>
      <c r="C232" s="6">
        <f t="shared" si="3"/>
        <v>0</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t="s">
        <v>43</v>
      </c>
      <c r="Y232">
        <v>15</v>
      </c>
      <c r="Z232">
        <v>3</v>
      </c>
      <c r="AA232">
        <v>2</v>
      </c>
      <c r="AB232">
        <v>80</v>
      </c>
      <c r="AC232">
        <v>0</v>
      </c>
      <c r="AD232">
        <v>6</v>
      </c>
      <c r="AE232">
        <v>3</v>
      </c>
      <c r="AF232">
        <v>2</v>
      </c>
      <c r="AG232">
        <v>2</v>
      </c>
      <c r="AH232">
        <v>2</v>
      </c>
      <c r="AI232">
        <v>2</v>
      </c>
      <c r="AJ232">
        <v>2</v>
      </c>
    </row>
    <row r="233" spans="1:36" x14ac:dyDescent="0.3">
      <c r="A233">
        <v>42</v>
      </c>
      <c r="B233" t="s">
        <v>43</v>
      </c>
      <c r="C233" s="6">
        <f t="shared" si="3"/>
        <v>0</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t="s">
        <v>43</v>
      </c>
      <c r="Y233">
        <v>11</v>
      </c>
      <c r="Z233">
        <v>3</v>
      </c>
      <c r="AA233">
        <v>4</v>
      </c>
      <c r="AB233">
        <v>80</v>
      </c>
      <c r="AC233">
        <v>0</v>
      </c>
      <c r="AD233">
        <v>22</v>
      </c>
      <c r="AE233">
        <v>3</v>
      </c>
      <c r="AF233">
        <v>3</v>
      </c>
      <c r="AG233">
        <v>22</v>
      </c>
      <c r="AH233">
        <v>17</v>
      </c>
      <c r="AI233">
        <v>11</v>
      </c>
      <c r="AJ233">
        <v>15</v>
      </c>
    </row>
    <row r="234" spans="1:36" x14ac:dyDescent="0.3">
      <c r="A234">
        <v>59</v>
      </c>
      <c r="B234" t="s">
        <v>43</v>
      </c>
      <c r="C234" s="6">
        <f t="shared" si="3"/>
        <v>0</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t="s">
        <v>43</v>
      </c>
      <c r="Y234">
        <v>17</v>
      </c>
      <c r="Z234">
        <v>3</v>
      </c>
      <c r="AA234">
        <v>4</v>
      </c>
      <c r="AB234">
        <v>80</v>
      </c>
      <c r="AC234">
        <v>0</v>
      </c>
      <c r="AD234">
        <v>7</v>
      </c>
      <c r="AE234">
        <v>2</v>
      </c>
      <c r="AF234">
        <v>2</v>
      </c>
      <c r="AG234">
        <v>2</v>
      </c>
      <c r="AH234">
        <v>2</v>
      </c>
      <c r="AI234">
        <v>2</v>
      </c>
      <c r="AJ234">
        <v>2</v>
      </c>
    </row>
    <row r="235" spans="1:36" x14ac:dyDescent="0.3">
      <c r="A235">
        <v>50</v>
      </c>
      <c r="B235" t="s">
        <v>43</v>
      </c>
      <c r="C235" s="6">
        <f t="shared" si="3"/>
        <v>0</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t="s">
        <v>43</v>
      </c>
      <c r="Y235">
        <v>11</v>
      </c>
      <c r="Z235">
        <v>3</v>
      </c>
      <c r="AA235">
        <v>3</v>
      </c>
      <c r="AB235">
        <v>80</v>
      </c>
      <c r="AC235">
        <v>1</v>
      </c>
      <c r="AD235">
        <v>32</v>
      </c>
      <c r="AE235">
        <v>3</v>
      </c>
      <c r="AF235">
        <v>2</v>
      </c>
      <c r="AG235">
        <v>7</v>
      </c>
      <c r="AH235">
        <v>0</v>
      </c>
      <c r="AI235">
        <v>0</v>
      </c>
      <c r="AJ235">
        <v>6</v>
      </c>
    </row>
    <row r="236" spans="1:36" x14ac:dyDescent="0.3">
      <c r="A236">
        <v>33</v>
      </c>
      <c r="B236" t="s">
        <v>35</v>
      </c>
      <c r="C236" s="6">
        <f t="shared" si="3"/>
        <v>1</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t="s">
        <v>35</v>
      </c>
      <c r="Y236">
        <v>13</v>
      </c>
      <c r="Z236">
        <v>3</v>
      </c>
      <c r="AA236">
        <v>3</v>
      </c>
      <c r="AB236">
        <v>80</v>
      </c>
      <c r="AC236">
        <v>1</v>
      </c>
      <c r="AD236">
        <v>8</v>
      </c>
      <c r="AE236">
        <v>2</v>
      </c>
      <c r="AF236">
        <v>1</v>
      </c>
      <c r="AG236">
        <v>5</v>
      </c>
      <c r="AH236">
        <v>4</v>
      </c>
      <c r="AI236">
        <v>0</v>
      </c>
      <c r="AJ236">
        <v>4</v>
      </c>
    </row>
    <row r="237" spans="1:36" x14ac:dyDescent="0.3">
      <c r="A237">
        <v>43</v>
      </c>
      <c r="B237" t="s">
        <v>43</v>
      </c>
      <c r="C237" s="6">
        <f t="shared" si="3"/>
        <v>0</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t="s">
        <v>35</v>
      </c>
      <c r="Y237">
        <v>22</v>
      </c>
      <c r="Z237">
        <v>4</v>
      </c>
      <c r="AA237">
        <v>3</v>
      </c>
      <c r="AB237">
        <v>80</v>
      </c>
      <c r="AC237">
        <v>1</v>
      </c>
      <c r="AD237">
        <v>22</v>
      </c>
      <c r="AE237">
        <v>3</v>
      </c>
      <c r="AF237">
        <v>3</v>
      </c>
      <c r="AG237">
        <v>17</v>
      </c>
      <c r="AH237">
        <v>13</v>
      </c>
      <c r="AI237">
        <v>1</v>
      </c>
      <c r="AJ237">
        <v>9</v>
      </c>
    </row>
    <row r="238" spans="1:36" x14ac:dyDescent="0.3">
      <c r="A238">
        <v>33</v>
      </c>
      <c r="B238" t="s">
        <v>35</v>
      </c>
      <c r="C238" s="6">
        <f t="shared" si="3"/>
        <v>1</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t="s">
        <v>43</v>
      </c>
      <c r="Y238">
        <v>20</v>
      </c>
      <c r="Z238">
        <v>4</v>
      </c>
      <c r="AA238">
        <v>1</v>
      </c>
      <c r="AB238">
        <v>80</v>
      </c>
      <c r="AC238">
        <v>0</v>
      </c>
      <c r="AD238">
        <v>13</v>
      </c>
      <c r="AE238">
        <v>3</v>
      </c>
      <c r="AF238">
        <v>4</v>
      </c>
      <c r="AG238">
        <v>9</v>
      </c>
      <c r="AH238">
        <v>7</v>
      </c>
      <c r="AI238">
        <v>1</v>
      </c>
      <c r="AJ238">
        <v>7</v>
      </c>
    </row>
    <row r="239" spans="1:36" x14ac:dyDescent="0.3">
      <c r="A239">
        <v>52</v>
      </c>
      <c r="B239" t="s">
        <v>43</v>
      </c>
      <c r="C239" s="6">
        <f t="shared" si="3"/>
        <v>0</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t="s">
        <v>35</v>
      </c>
      <c r="Y239">
        <v>18</v>
      </c>
      <c r="Z239">
        <v>3</v>
      </c>
      <c r="AA239">
        <v>4</v>
      </c>
      <c r="AB239">
        <v>80</v>
      </c>
      <c r="AC239">
        <v>0</v>
      </c>
      <c r="AD239">
        <v>33</v>
      </c>
      <c r="AE239">
        <v>2</v>
      </c>
      <c r="AF239">
        <v>4</v>
      </c>
      <c r="AG239">
        <v>33</v>
      </c>
      <c r="AH239">
        <v>7</v>
      </c>
      <c r="AI239">
        <v>15</v>
      </c>
      <c r="AJ239">
        <v>12</v>
      </c>
    </row>
    <row r="240" spans="1:36" x14ac:dyDescent="0.3">
      <c r="A240">
        <v>32</v>
      </c>
      <c r="B240" t="s">
        <v>43</v>
      </c>
      <c r="C240" s="6">
        <f t="shared" si="3"/>
        <v>0</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t="s">
        <v>43</v>
      </c>
      <c r="Y240">
        <v>11</v>
      </c>
      <c r="Z240">
        <v>3</v>
      </c>
      <c r="AA240">
        <v>1</v>
      </c>
      <c r="AB240">
        <v>80</v>
      </c>
      <c r="AC240">
        <v>1</v>
      </c>
      <c r="AD240">
        <v>6</v>
      </c>
      <c r="AE240">
        <v>5</v>
      </c>
      <c r="AF240">
        <v>3</v>
      </c>
      <c r="AG240">
        <v>4</v>
      </c>
      <c r="AH240">
        <v>3</v>
      </c>
      <c r="AI240">
        <v>1</v>
      </c>
      <c r="AJ240">
        <v>2</v>
      </c>
    </row>
    <row r="241" spans="1:36" x14ac:dyDescent="0.3">
      <c r="A241">
        <v>32</v>
      </c>
      <c r="B241" t="s">
        <v>35</v>
      </c>
      <c r="C241" s="6">
        <f t="shared" si="3"/>
        <v>1</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t="s">
        <v>35</v>
      </c>
      <c r="Y241">
        <v>14</v>
      </c>
      <c r="Z241">
        <v>3</v>
      </c>
      <c r="AA241">
        <v>4</v>
      </c>
      <c r="AB241">
        <v>80</v>
      </c>
      <c r="AC241">
        <v>0</v>
      </c>
      <c r="AD241">
        <v>4</v>
      </c>
      <c r="AE241">
        <v>2</v>
      </c>
      <c r="AF241">
        <v>1</v>
      </c>
      <c r="AG241">
        <v>3</v>
      </c>
      <c r="AH241">
        <v>2</v>
      </c>
      <c r="AI241">
        <v>1</v>
      </c>
      <c r="AJ241">
        <v>2</v>
      </c>
    </row>
    <row r="242" spans="1:36" x14ac:dyDescent="0.3">
      <c r="A242">
        <v>39</v>
      </c>
      <c r="B242" t="s">
        <v>43</v>
      </c>
      <c r="C242" s="6">
        <f t="shared" si="3"/>
        <v>0</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t="s">
        <v>43</v>
      </c>
      <c r="Y242">
        <v>14</v>
      </c>
      <c r="Z242">
        <v>3</v>
      </c>
      <c r="AA242">
        <v>3</v>
      </c>
      <c r="AB242">
        <v>80</v>
      </c>
      <c r="AC242">
        <v>3</v>
      </c>
      <c r="AD242">
        <v>7</v>
      </c>
      <c r="AE242">
        <v>1</v>
      </c>
      <c r="AF242">
        <v>3</v>
      </c>
      <c r="AG242">
        <v>3</v>
      </c>
      <c r="AH242">
        <v>2</v>
      </c>
      <c r="AI242">
        <v>1</v>
      </c>
      <c r="AJ242">
        <v>2</v>
      </c>
    </row>
    <row r="243" spans="1:36" x14ac:dyDescent="0.3">
      <c r="A243">
        <v>32</v>
      </c>
      <c r="B243" t="s">
        <v>43</v>
      </c>
      <c r="C243" s="6">
        <f t="shared" si="3"/>
        <v>0</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t="s">
        <v>43</v>
      </c>
      <c r="Y243">
        <v>18</v>
      </c>
      <c r="Z243">
        <v>3</v>
      </c>
      <c r="AA243">
        <v>1</v>
      </c>
      <c r="AB243">
        <v>80</v>
      </c>
      <c r="AC243">
        <v>0</v>
      </c>
      <c r="AD243">
        <v>4</v>
      </c>
      <c r="AE243">
        <v>2</v>
      </c>
      <c r="AF243">
        <v>3</v>
      </c>
      <c r="AG243">
        <v>3</v>
      </c>
      <c r="AH243">
        <v>2</v>
      </c>
      <c r="AI243">
        <v>2</v>
      </c>
      <c r="AJ243">
        <v>2</v>
      </c>
    </row>
    <row r="244" spans="1:36" x14ac:dyDescent="0.3">
      <c r="A244">
        <v>41</v>
      </c>
      <c r="B244" t="s">
        <v>43</v>
      </c>
      <c r="C244" s="6">
        <f t="shared" si="3"/>
        <v>0</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t="s">
        <v>43</v>
      </c>
      <c r="Y244">
        <v>16</v>
      </c>
      <c r="Z244">
        <v>3</v>
      </c>
      <c r="AA244">
        <v>1</v>
      </c>
      <c r="AB244">
        <v>80</v>
      </c>
      <c r="AC244">
        <v>2</v>
      </c>
      <c r="AD244">
        <v>17</v>
      </c>
      <c r="AE244">
        <v>2</v>
      </c>
      <c r="AF244">
        <v>2</v>
      </c>
      <c r="AG244">
        <v>1</v>
      </c>
      <c r="AH244">
        <v>0</v>
      </c>
      <c r="AI244">
        <v>0</v>
      </c>
      <c r="AJ244">
        <v>0</v>
      </c>
    </row>
    <row r="245" spans="1:36" x14ac:dyDescent="0.3">
      <c r="A245">
        <v>40</v>
      </c>
      <c r="B245" t="s">
        <v>43</v>
      </c>
      <c r="C245" s="6">
        <f t="shared" si="3"/>
        <v>0</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t="s">
        <v>43</v>
      </c>
      <c r="Y245">
        <v>17</v>
      </c>
      <c r="Z245">
        <v>3</v>
      </c>
      <c r="AA245">
        <v>1</v>
      </c>
      <c r="AB245">
        <v>80</v>
      </c>
      <c r="AC245">
        <v>2</v>
      </c>
      <c r="AD245">
        <v>9</v>
      </c>
      <c r="AE245">
        <v>3</v>
      </c>
      <c r="AF245">
        <v>3</v>
      </c>
      <c r="AG245">
        <v>9</v>
      </c>
      <c r="AH245">
        <v>8</v>
      </c>
      <c r="AI245">
        <v>4</v>
      </c>
      <c r="AJ245">
        <v>7</v>
      </c>
    </row>
    <row r="246" spans="1:36" x14ac:dyDescent="0.3">
      <c r="A246">
        <v>45</v>
      </c>
      <c r="B246" t="s">
        <v>43</v>
      </c>
      <c r="C246" s="6">
        <f t="shared" si="3"/>
        <v>0</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t="s">
        <v>43</v>
      </c>
      <c r="Y246">
        <v>11</v>
      </c>
      <c r="Z246">
        <v>3</v>
      </c>
      <c r="AA246">
        <v>3</v>
      </c>
      <c r="AB246">
        <v>80</v>
      </c>
      <c r="AC246">
        <v>1</v>
      </c>
      <c r="AD246">
        <v>25</v>
      </c>
      <c r="AE246">
        <v>2</v>
      </c>
      <c r="AF246">
        <v>3</v>
      </c>
      <c r="AG246">
        <v>24</v>
      </c>
      <c r="AH246">
        <v>0</v>
      </c>
      <c r="AI246">
        <v>1</v>
      </c>
      <c r="AJ246">
        <v>7</v>
      </c>
    </row>
    <row r="247" spans="1:36" x14ac:dyDescent="0.3">
      <c r="A247">
        <v>31</v>
      </c>
      <c r="B247" t="s">
        <v>43</v>
      </c>
      <c r="C247" s="6">
        <f t="shared" si="3"/>
        <v>0</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t="s">
        <v>43</v>
      </c>
      <c r="Y247">
        <v>12</v>
      </c>
      <c r="Z247">
        <v>3</v>
      </c>
      <c r="AA247">
        <v>1</v>
      </c>
      <c r="AB247">
        <v>80</v>
      </c>
      <c r="AC247">
        <v>1</v>
      </c>
      <c r="AD247">
        <v>9</v>
      </c>
      <c r="AE247">
        <v>3</v>
      </c>
      <c r="AF247">
        <v>3</v>
      </c>
      <c r="AG247">
        <v>2</v>
      </c>
      <c r="AH247">
        <v>2</v>
      </c>
      <c r="AI247">
        <v>2</v>
      </c>
      <c r="AJ247">
        <v>2</v>
      </c>
    </row>
    <row r="248" spans="1:36" x14ac:dyDescent="0.3">
      <c r="A248">
        <v>33</v>
      </c>
      <c r="B248" t="s">
        <v>43</v>
      </c>
      <c r="C248" s="6">
        <f t="shared" si="3"/>
        <v>0</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t="s">
        <v>43</v>
      </c>
      <c r="Y248">
        <v>13</v>
      </c>
      <c r="Z248">
        <v>3</v>
      </c>
      <c r="AA248">
        <v>3</v>
      </c>
      <c r="AB248">
        <v>80</v>
      </c>
      <c r="AC248">
        <v>1</v>
      </c>
      <c r="AD248">
        <v>2</v>
      </c>
      <c r="AE248">
        <v>2</v>
      </c>
      <c r="AF248">
        <v>2</v>
      </c>
      <c r="AG248">
        <v>2</v>
      </c>
      <c r="AH248">
        <v>2</v>
      </c>
      <c r="AI248">
        <v>0</v>
      </c>
      <c r="AJ248">
        <v>2</v>
      </c>
    </row>
    <row r="249" spans="1:36" x14ac:dyDescent="0.3">
      <c r="A249">
        <v>34</v>
      </c>
      <c r="B249" t="s">
        <v>43</v>
      </c>
      <c r="C249" s="6">
        <f t="shared" si="3"/>
        <v>0</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t="s">
        <v>43</v>
      </c>
      <c r="Y249">
        <v>13</v>
      </c>
      <c r="Z249">
        <v>3</v>
      </c>
      <c r="AA249">
        <v>2</v>
      </c>
      <c r="AB249">
        <v>80</v>
      </c>
      <c r="AC249">
        <v>1</v>
      </c>
      <c r="AD249">
        <v>13</v>
      </c>
      <c r="AE249">
        <v>3</v>
      </c>
      <c r="AF249">
        <v>3</v>
      </c>
      <c r="AG249">
        <v>11</v>
      </c>
      <c r="AH249">
        <v>9</v>
      </c>
      <c r="AI249">
        <v>5</v>
      </c>
      <c r="AJ249">
        <v>9</v>
      </c>
    </row>
    <row r="250" spans="1:36" x14ac:dyDescent="0.3">
      <c r="A250">
        <v>37</v>
      </c>
      <c r="B250" t="s">
        <v>43</v>
      </c>
      <c r="C250" s="6">
        <f t="shared" si="3"/>
        <v>0</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t="s">
        <v>43</v>
      </c>
      <c r="Y250">
        <v>14</v>
      </c>
      <c r="Z250">
        <v>3</v>
      </c>
      <c r="AA250">
        <v>1</v>
      </c>
      <c r="AB250">
        <v>80</v>
      </c>
      <c r="AC250">
        <v>1</v>
      </c>
      <c r="AD250">
        <v>17</v>
      </c>
      <c r="AE250">
        <v>2</v>
      </c>
      <c r="AF250">
        <v>2</v>
      </c>
      <c r="AG250">
        <v>3</v>
      </c>
      <c r="AH250">
        <v>1</v>
      </c>
      <c r="AI250">
        <v>0</v>
      </c>
      <c r="AJ250">
        <v>2</v>
      </c>
    </row>
    <row r="251" spans="1:36" x14ac:dyDescent="0.3">
      <c r="A251">
        <v>45</v>
      </c>
      <c r="B251" t="s">
        <v>43</v>
      </c>
      <c r="C251" s="6">
        <f t="shared" si="3"/>
        <v>0</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t="s">
        <v>43</v>
      </c>
      <c r="Y251">
        <v>17</v>
      </c>
      <c r="Z251">
        <v>3</v>
      </c>
      <c r="AA251">
        <v>4</v>
      </c>
      <c r="AB251">
        <v>80</v>
      </c>
      <c r="AC251">
        <v>1</v>
      </c>
      <c r="AD251">
        <v>9</v>
      </c>
      <c r="AE251">
        <v>1</v>
      </c>
      <c r="AF251">
        <v>3</v>
      </c>
      <c r="AG251">
        <v>3</v>
      </c>
      <c r="AH251">
        <v>2</v>
      </c>
      <c r="AI251">
        <v>0</v>
      </c>
      <c r="AJ251">
        <v>2</v>
      </c>
    </row>
    <row r="252" spans="1:36" x14ac:dyDescent="0.3">
      <c r="A252">
        <v>37</v>
      </c>
      <c r="B252" t="s">
        <v>35</v>
      </c>
      <c r="C252" s="6">
        <f t="shared" si="3"/>
        <v>1</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t="s">
        <v>43</v>
      </c>
      <c r="Y252">
        <v>11</v>
      </c>
      <c r="Z252">
        <v>3</v>
      </c>
      <c r="AA252">
        <v>2</v>
      </c>
      <c r="AB252">
        <v>80</v>
      </c>
      <c r="AC252">
        <v>2</v>
      </c>
      <c r="AD252">
        <v>17</v>
      </c>
      <c r="AE252">
        <v>5</v>
      </c>
      <c r="AF252">
        <v>3</v>
      </c>
      <c r="AG252">
        <v>1</v>
      </c>
      <c r="AH252">
        <v>0</v>
      </c>
      <c r="AI252">
        <v>0</v>
      </c>
      <c r="AJ252">
        <v>0</v>
      </c>
    </row>
    <row r="253" spans="1:36" x14ac:dyDescent="0.3">
      <c r="A253">
        <v>39</v>
      </c>
      <c r="B253" t="s">
        <v>43</v>
      </c>
      <c r="C253" s="6">
        <f t="shared" si="3"/>
        <v>0</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t="s">
        <v>43</v>
      </c>
      <c r="Y253">
        <v>25</v>
      </c>
      <c r="Z253">
        <v>4</v>
      </c>
      <c r="AA253">
        <v>4</v>
      </c>
      <c r="AB253">
        <v>80</v>
      </c>
      <c r="AC253">
        <v>0</v>
      </c>
      <c r="AD253">
        <v>20</v>
      </c>
      <c r="AE253">
        <v>1</v>
      </c>
      <c r="AF253">
        <v>3</v>
      </c>
      <c r="AG253">
        <v>19</v>
      </c>
      <c r="AH253">
        <v>6</v>
      </c>
      <c r="AI253">
        <v>11</v>
      </c>
      <c r="AJ253">
        <v>8</v>
      </c>
    </row>
    <row r="254" spans="1:36" x14ac:dyDescent="0.3">
      <c r="A254">
        <v>29</v>
      </c>
      <c r="B254" t="s">
        <v>43</v>
      </c>
      <c r="C254" s="6">
        <f t="shared" si="3"/>
        <v>0</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t="s">
        <v>43</v>
      </c>
      <c r="Y254">
        <v>19</v>
      </c>
      <c r="Z254">
        <v>3</v>
      </c>
      <c r="AA254">
        <v>1</v>
      </c>
      <c r="AB254">
        <v>80</v>
      </c>
      <c r="AC254">
        <v>0</v>
      </c>
      <c r="AD254">
        <v>6</v>
      </c>
      <c r="AE254">
        <v>1</v>
      </c>
      <c r="AF254">
        <v>3</v>
      </c>
      <c r="AG254">
        <v>6</v>
      </c>
      <c r="AH254">
        <v>5</v>
      </c>
      <c r="AI254">
        <v>1</v>
      </c>
      <c r="AJ254">
        <v>5</v>
      </c>
    </row>
    <row r="255" spans="1:36" x14ac:dyDescent="0.3">
      <c r="A255">
        <v>42</v>
      </c>
      <c r="B255" t="s">
        <v>43</v>
      </c>
      <c r="C255" s="6">
        <f t="shared" si="3"/>
        <v>0</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t="s">
        <v>35</v>
      </c>
      <c r="Y255">
        <v>13</v>
      </c>
      <c r="Z255">
        <v>3</v>
      </c>
      <c r="AA255">
        <v>3</v>
      </c>
      <c r="AB255">
        <v>80</v>
      </c>
      <c r="AC255">
        <v>0</v>
      </c>
      <c r="AD255">
        <v>10</v>
      </c>
      <c r="AE255">
        <v>1</v>
      </c>
      <c r="AF255">
        <v>3</v>
      </c>
      <c r="AG255">
        <v>3</v>
      </c>
      <c r="AH255">
        <v>2</v>
      </c>
      <c r="AI255">
        <v>0</v>
      </c>
      <c r="AJ255">
        <v>2</v>
      </c>
    </row>
    <row r="256" spans="1:36" x14ac:dyDescent="0.3">
      <c r="A256">
        <v>29</v>
      </c>
      <c r="B256" t="s">
        <v>43</v>
      </c>
      <c r="C256" s="6">
        <f t="shared" si="3"/>
        <v>0</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t="s">
        <v>43</v>
      </c>
      <c r="Y256">
        <v>14</v>
      </c>
      <c r="Z256">
        <v>3</v>
      </c>
      <c r="AA256">
        <v>4</v>
      </c>
      <c r="AB256">
        <v>80</v>
      </c>
      <c r="AC256">
        <v>1</v>
      </c>
      <c r="AD256">
        <v>10</v>
      </c>
      <c r="AE256">
        <v>2</v>
      </c>
      <c r="AF256">
        <v>3</v>
      </c>
      <c r="AG256">
        <v>3</v>
      </c>
      <c r="AH256">
        <v>2</v>
      </c>
      <c r="AI256">
        <v>0</v>
      </c>
      <c r="AJ256">
        <v>2</v>
      </c>
    </row>
    <row r="257" spans="1:36" x14ac:dyDescent="0.3">
      <c r="A257">
        <v>25</v>
      </c>
      <c r="B257" t="s">
        <v>43</v>
      </c>
      <c r="C257" s="6">
        <f t="shared" si="3"/>
        <v>0</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t="s">
        <v>43</v>
      </c>
      <c r="Y257">
        <v>12</v>
      </c>
      <c r="Z257">
        <v>3</v>
      </c>
      <c r="AA257">
        <v>4</v>
      </c>
      <c r="AB257">
        <v>80</v>
      </c>
      <c r="AC257">
        <v>2</v>
      </c>
      <c r="AD257">
        <v>5</v>
      </c>
      <c r="AE257">
        <v>3</v>
      </c>
      <c r="AF257">
        <v>3</v>
      </c>
      <c r="AG257">
        <v>4</v>
      </c>
      <c r="AH257">
        <v>2</v>
      </c>
      <c r="AI257">
        <v>1</v>
      </c>
      <c r="AJ257">
        <v>2</v>
      </c>
    </row>
    <row r="258" spans="1:36" x14ac:dyDescent="0.3">
      <c r="A258">
        <v>42</v>
      </c>
      <c r="B258" t="s">
        <v>43</v>
      </c>
      <c r="C258" s="6">
        <f t="shared" si="3"/>
        <v>0</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t="s">
        <v>35</v>
      </c>
      <c r="Y258">
        <v>11</v>
      </c>
      <c r="Z258">
        <v>3</v>
      </c>
      <c r="AA258">
        <v>3</v>
      </c>
      <c r="AB258">
        <v>80</v>
      </c>
      <c r="AC258">
        <v>1</v>
      </c>
      <c r="AD258">
        <v>10</v>
      </c>
      <c r="AE258">
        <v>4</v>
      </c>
      <c r="AF258">
        <v>3</v>
      </c>
      <c r="AG258">
        <v>9</v>
      </c>
      <c r="AH258">
        <v>6</v>
      </c>
      <c r="AI258">
        <v>7</v>
      </c>
      <c r="AJ258">
        <v>8</v>
      </c>
    </row>
    <row r="259" spans="1:36" x14ac:dyDescent="0.3">
      <c r="A259">
        <v>40</v>
      </c>
      <c r="B259" t="s">
        <v>43</v>
      </c>
      <c r="C259" s="6">
        <f t="shared" ref="C259:C322" si="4">IF(B259="Yes",1,0)</f>
        <v>0</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t="s">
        <v>43</v>
      </c>
      <c r="Y259">
        <v>19</v>
      </c>
      <c r="Z259">
        <v>3</v>
      </c>
      <c r="AA259">
        <v>4</v>
      </c>
      <c r="AB259">
        <v>80</v>
      </c>
      <c r="AC259">
        <v>1</v>
      </c>
      <c r="AD259">
        <v>22</v>
      </c>
      <c r="AE259">
        <v>5</v>
      </c>
      <c r="AF259">
        <v>3</v>
      </c>
      <c r="AG259">
        <v>21</v>
      </c>
      <c r="AH259">
        <v>7</v>
      </c>
      <c r="AI259">
        <v>3</v>
      </c>
      <c r="AJ259">
        <v>9</v>
      </c>
    </row>
    <row r="260" spans="1:36" x14ac:dyDescent="0.3">
      <c r="A260">
        <v>51</v>
      </c>
      <c r="B260" t="s">
        <v>43</v>
      </c>
      <c r="C260" s="6">
        <f t="shared" si="4"/>
        <v>0</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t="s">
        <v>43</v>
      </c>
      <c r="Y260">
        <v>11</v>
      </c>
      <c r="Z260">
        <v>3</v>
      </c>
      <c r="AA260">
        <v>2</v>
      </c>
      <c r="AB260">
        <v>80</v>
      </c>
      <c r="AC260">
        <v>0</v>
      </c>
      <c r="AD260">
        <v>1</v>
      </c>
      <c r="AE260">
        <v>0</v>
      </c>
      <c r="AF260">
        <v>2</v>
      </c>
      <c r="AG260">
        <v>1</v>
      </c>
      <c r="AH260">
        <v>0</v>
      </c>
      <c r="AI260">
        <v>0</v>
      </c>
      <c r="AJ260">
        <v>0</v>
      </c>
    </row>
    <row r="261" spans="1:36" x14ac:dyDescent="0.3">
      <c r="A261">
        <v>31</v>
      </c>
      <c r="B261" t="s">
        <v>35</v>
      </c>
      <c r="C261" s="6">
        <f t="shared" si="4"/>
        <v>1</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t="s">
        <v>43</v>
      </c>
      <c r="Y261">
        <v>11</v>
      </c>
      <c r="Z261">
        <v>3</v>
      </c>
      <c r="AA261">
        <v>2</v>
      </c>
      <c r="AB261">
        <v>80</v>
      </c>
      <c r="AC261">
        <v>0</v>
      </c>
      <c r="AD261">
        <v>6</v>
      </c>
      <c r="AE261">
        <v>2</v>
      </c>
      <c r="AF261">
        <v>4</v>
      </c>
      <c r="AG261">
        <v>5</v>
      </c>
      <c r="AH261">
        <v>4</v>
      </c>
      <c r="AI261">
        <v>1</v>
      </c>
      <c r="AJ261">
        <v>4</v>
      </c>
    </row>
    <row r="262" spans="1:36" x14ac:dyDescent="0.3">
      <c r="A262">
        <v>32</v>
      </c>
      <c r="B262" t="s">
        <v>43</v>
      </c>
      <c r="C262" s="6">
        <f t="shared" si="4"/>
        <v>0</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t="s">
        <v>43</v>
      </c>
      <c r="Y262">
        <v>20</v>
      </c>
      <c r="Z262">
        <v>4</v>
      </c>
      <c r="AA262">
        <v>3</v>
      </c>
      <c r="AB262">
        <v>80</v>
      </c>
      <c r="AC262">
        <v>0</v>
      </c>
      <c r="AD262">
        <v>5</v>
      </c>
      <c r="AE262">
        <v>3</v>
      </c>
      <c r="AF262">
        <v>1</v>
      </c>
      <c r="AG262">
        <v>5</v>
      </c>
      <c r="AH262">
        <v>1</v>
      </c>
      <c r="AI262">
        <v>0</v>
      </c>
      <c r="AJ262">
        <v>3</v>
      </c>
    </row>
    <row r="263" spans="1:36" x14ac:dyDescent="0.3">
      <c r="A263">
        <v>38</v>
      </c>
      <c r="B263" t="s">
        <v>43</v>
      </c>
      <c r="C263" s="6">
        <f t="shared" si="4"/>
        <v>0</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t="s">
        <v>43</v>
      </c>
      <c r="Y263">
        <v>18</v>
      </c>
      <c r="Z263">
        <v>3</v>
      </c>
      <c r="AA263">
        <v>4</v>
      </c>
      <c r="AB263">
        <v>80</v>
      </c>
      <c r="AC263">
        <v>1</v>
      </c>
      <c r="AD263">
        <v>13</v>
      </c>
      <c r="AE263">
        <v>0</v>
      </c>
      <c r="AF263">
        <v>3</v>
      </c>
      <c r="AG263">
        <v>8</v>
      </c>
      <c r="AH263">
        <v>7</v>
      </c>
      <c r="AI263">
        <v>7</v>
      </c>
      <c r="AJ263">
        <v>5</v>
      </c>
    </row>
    <row r="264" spans="1:36" x14ac:dyDescent="0.3">
      <c r="A264">
        <v>32</v>
      </c>
      <c r="B264" t="s">
        <v>43</v>
      </c>
      <c r="C264" s="6">
        <f t="shared" si="4"/>
        <v>0</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t="s">
        <v>43</v>
      </c>
      <c r="Y264">
        <v>13</v>
      </c>
      <c r="Z264">
        <v>3</v>
      </c>
      <c r="AA264">
        <v>4</v>
      </c>
      <c r="AB264">
        <v>80</v>
      </c>
      <c r="AC264">
        <v>0</v>
      </c>
      <c r="AD264">
        <v>9</v>
      </c>
      <c r="AE264">
        <v>5</v>
      </c>
      <c r="AF264">
        <v>3</v>
      </c>
      <c r="AG264">
        <v>6</v>
      </c>
      <c r="AH264">
        <v>2</v>
      </c>
      <c r="AI264">
        <v>0</v>
      </c>
      <c r="AJ264">
        <v>4</v>
      </c>
    </row>
    <row r="265" spans="1:36" x14ac:dyDescent="0.3">
      <c r="A265">
        <v>46</v>
      </c>
      <c r="B265" t="s">
        <v>43</v>
      </c>
      <c r="C265" s="6">
        <f t="shared" si="4"/>
        <v>0</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t="s">
        <v>35</v>
      </c>
      <c r="Y265">
        <v>12</v>
      </c>
      <c r="Z265">
        <v>3</v>
      </c>
      <c r="AA265">
        <v>2</v>
      </c>
      <c r="AB265">
        <v>80</v>
      </c>
      <c r="AC265">
        <v>1</v>
      </c>
      <c r="AD265">
        <v>28</v>
      </c>
      <c r="AE265">
        <v>2</v>
      </c>
      <c r="AF265">
        <v>2</v>
      </c>
      <c r="AG265">
        <v>7</v>
      </c>
      <c r="AH265">
        <v>7</v>
      </c>
      <c r="AI265">
        <v>7</v>
      </c>
      <c r="AJ265">
        <v>7</v>
      </c>
    </row>
    <row r="266" spans="1:36" x14ac:dyDescent="0.3">
      <c r="A266">
        <v>28</v>
      </c>
      <c r="B266" t="s">
        <v>35</v>
      </c>
      <c r="C266" s="6">
        <f t="shared" si="4"/>
        <v>1</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t="s">
        <v>43</v>
      </c>
      <c r="Y266">
        <v>11</v>
      </c>
      <c r="Z266">
        <v>3</v>
      </c>
      <c r="AA266">
        <v>3</v>
      </c>
      <c r="AB266">
        <v>80</v>
      </c>
      <c r="AC266">
        <v>0</v>
      </c>
      <c r="AD266">
        <v>5</v>
      </c>
      <c r="AE266">
        <v>5</v>
      </c>
      <c r="AF266">
        <v>1</v>
      </c>
      <c r="AG266">
        <v>0</v>
      </c>
      <c r="AH266">
        <v>0</v>
      </c>
      <c r="AI266">
        <v>0</v>
      </c>
      <c r="AJ266">
        <v>0</v>
      </c>
    </row>
    <row r="267" spans="1:36" x14ac:dyDescent="0.3">
      <c r="A267">
        <v>29</v>
      </c>
      <c r="B267" t="s">
        <v>43</v>
      </c>
      <c r="C267" s="6">
        <f t="shared" si="4"/>
        <v>0</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t="s">
        <v>43</v>
      </c>
      <c r="Y267">
        <v>19</v>
      </c>
      <c r="Z267">
        <v>3</v>
      </c>
      <c r="AA267">
        <v>2</v>
      </c>
      <c r="AB267">
        <v>80</v>
      </c>
      <c r="AC267">
        <v>2</v>
      </c>
      <c r="AD267">
        <v>10</v>
      </c>
      <c r="AE267">
        <v>2</v>
      </c>
      <c r="AF267">
        <v>3</v>
      </c>
      <c r="AG267">
        <v>0</v>
      </c>
      <c r="AH267">
        <v>0</v>
      </c>
      <c r="AI267">
        <v>0</v>
      </c>
      <c r="AJ267">
        <v>0</v>
      </c>
    </row>
    <row r="268" spans="1:36" x14ac:dyDescent="0.3">
      <c r="A268">
        <v>31</v>
      </c>
      <c r="B268" t="s">
        <v>43</v>
      </c>
      <c r="C268" s="6">
        <f t="shared" si="4"/>
        <v>0</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t="s">
        <v>43</v>
      </c>
      <c r="Y268">
        <v>21</v>
      </c>
      <c r="Z268">
        <v>4</v>
      </c>
      <c r="AA268">
        <v>2</v>
      </c>
      <c r="AB268">
        <v>80</v>
      </c>
      <c r="AC268">
        <v>1</v>
      </c>
      <c r="AD268">
        <v>10</v>
      </c>
      <c r="AE268">
        <v>2</v>
      </c>
      <c r="AF268">
        <v>3</v>
      </c>
      <c r="AG268">
        <v>9</v>
      </c>
      <c r="AH268">
        <v>0</v>
      </c>
      <c r="AI268">
        <v>7</v>
      </c>
      <c r="AJ268">
        <v>8</v>
      </c>
    </row>
    <row r="269" spans="1:36" x14ac:dyDescent="0.3">
      <c r="A269">
        <v>25</v>
      </c>
      <c r="B269" t="s">
        <v>43</v>
      </c>
      <c r="C269" s="6">
        <f t="shared" si="4"/>
        <v>0</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t="s">
        <v>43</v>
      </c>
      <c r="Y269">
        <v>12</v>
      </c>
      <c r="Z269">
        <v>3</v>
      </c>
      <c r="AA269">
        <v>4</v>
      </c>
      <c r="AB269">
        <v>80</v>
      </c>
      <c r="AC269">
        <v>2</v>
      </c>
      <c r="AD269">
        <v>6</v>
      </c>
      <c r="AE269">
        <v>2</v>
      </c>
      <c r="AF269">
        <v>3</v>
      </c>
      <c r="AG269">
        <v>6</v>
      </c>
      <c r="AH269">
        <v>3</v>
      </c>
      <c r="AI269">
        <v>1</v>
      </c>
      <c r="AJ269">
        <v>5</v>
      </c>
    </row>
    <row r="270" spans="1:36" x14ac:dyDescent="0.3">
      <c r="A270">
        <v>45</v>
      </c>
      <c r="B270" t="s">
        <v>43</v>
      </c>
      <c r="C270" s="6">
        <f t="shared" si="4"/>
        <v>0</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t="s">
        <v>35</v>
      </c>
      <c r="Y270">
        <v>14</v>
      </c>
      <c r="Z270">
        <v>3</v>
      </c>
      <c r="AA270">
        <v>2</v>
      </c>
      <c r="AB270">
        <v>80</v>
      </c>
      <c r="AC270">
        <v>0</v>
      </c>
      <c r="AD270">
        <v>21</v>
      </c>
      <c r="AE270">
        <v>2</v>
      </c>
      <c r="AF270">
        <v>3</v>
      </c>
      <c r="AG270">
        <v>20</v>
      </c>
      <c r="AH270">
        <v>7</v>
      </c>
      <c r="AI270">
        <v>4</v>
      </c>
      <c r="AJ270">
        <v>10</v>
      </c>
    </row>
    <row r="271" spans="1:36" x14ac:dyDescent="0.3">
      <c r="A271">
        <v>36</v>
      </c>
      <c r="B271" t="s">
        <v>43</v>
      </c>
      <c r="C271" s="6">
        <f t="shared" si="4"/>
        <v>0</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t="s">
        <v>43</v>
      </c>
      <c r="Y271">
        <v>11</v>
      </c>
      <c r="Z271">
        <v>3</v>
      </c>
      <c r="AA271">
        <v>3</v>
      </c>
      <c r="AB271">
        <v>80</v>
      </c>
      <c r="AC271">
        <v>1</v>
      </c>
      <c r="AD271">
        <v>16</v>
      </c>
      <c r="AE271">
        <v>4</v>
      </c>
      <c r="AF271">
        <v>3</v>
      </c>
      <c r="AG271">
        <v>15</v>
      </c>
      <c r="AH271">
        <v>13</v>
      </c>
      <c r="AI271">
        <v>10</v>
      </c>
      <c r="AJ271">
        <v>11</v>
      </c>
    </row>
    <row r="272" spans="1:36" x14ac:dyDescent="0.3">
      <c r="A272">
        <v>55</v>
      </c>
      <c r="B272" t="s">
        <v>43</v>
      </c>
      <c r="C272" s="6">
        <f t="shared" si="4"/>
        <v>0</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t="s">
        <v>35</v>
      </c>
      <c r="Y272">
        <v>14</v>
      </c>
      <c r="Z272">
        <v>3</v>
      </c>
      <c r="AA272">
        <v>3</v>
      </c>
      <c r="AB272">
        <v>80</v>
      </c>
      <c r="AC272">
        <v>0</v>
      </c>
      <c r="AD272">
        <v>37</v>
      </c>
      <c r="AE272">
        <v>2</v>
      </c>
      <c r="AF272">
        <v>3</v>
      </c>
      <c r="AG272">
        <v>36</v>
      </c>
      <c r="AH272">
        <v>10</v>
      </c>
      <c r="AI272">
        <v>4</v>
      </c>
      <c r="AJ272">
        <v>13</v>
      </c>
    </row>
    <row r="273" spans="1:36" x14ac:dyDescent="0.3">
      <c r="A273">
        <v>47</v>
      </c>
      <c r="B273" t="s">
        <v>35</v>
      </c>
      <c r="C273" s="6">
        <f t="shared" si="4"/>
        <v>1</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t="s">
        <v>35</v>
      </c>
      <c r="Y273">
        <v>12</v>
      </c>
      <c r="Z273">
        <v>3</v>
      </c>
      <c r="AA273">
        <v>4</v>
      </c>
      <c r="AB273">
        <v>80</v>
      </c>
      <c r="AC273">
        <v>1</v>
      </c>
      <c r="AD273">
        <v>10</v>
      </c>
      <c r="AE273">
        <v>2</v>
      </c>
      <c r="AF273">
        <v>2</v>
      </c>
      <c r="AG273">
        <v>10</v>
      </c>
      <c r="AH273">
        <v>7</v>
      </c>
      <c r="AI273">
        <v>9</v>
      </c>
      <c r="AJ273">
        <v>9</v>
      </c>
    </row>
    <row r="274" spans="1:36" x14ac:dyDescent="0.3">
      <c r="A274">
        <v>28</v>
      </c>
      <c r="B274" t="s">
        <v>43</v>
      </c>
      <c r="C274" s="6">
        <f t="shared" si="4"/>
        <v>0</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t="s">
        <v>43</v>
      </c>
      <c r="Y274">
        <v>23</v>
      </c>
      <c r="Z274">
        <v>4</v>
      </c>
      <c r="AA274">
        <v>4</v>
      </c>
      <c r="AB274">
        <v>80</v>
      </c>
      <c r="AC274">
        <v>1</v>
      </c>
      <c r="AD274">
        <v>5</v>
      </c>
      <c r="AE274">
        <v>3</v>
      </c>
      <c r="AF274">
        <v>2</v>
      </c>
      <c r="AG274">
        <v>5</v>
      </c>
      <c r="AH274">
        <v>2</v>
      </c>
      <c r="AI274">
        <v>0</v>
      </c>
      <c r="AJ274">
        <v>4</v>
      </c>
    </row>
    <row r="275" spans="1:36" x14ac:dyDescent="0.3">
      <c r="A275">
        <v>37</v>
      </c>
      <c r="B275" t="s">
        <v>43</v>
      </c>
      <c r="C275" s="6">
        <f t="shared" si="4"/>
        <v>0</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t="s">
        <v>43</v>
      </c>
      <c r="Y275">
        <v>14</v>
      </c>
      <c r="Z275">
        <v>3</v>
      </c>
      <c r="AA275">
        <v>2</v>
      </c>
      <c r="AB275">
        <v>80</v>
      </c>
      <c r="AC275">
        <v>1</v>
      </c>
      <c r="AD275">
        <v>7</v>
      </c>
      <c r="AE275">
        <v>5</v>
      </c>
      <c r="AF275">
        <v>4</v>
      </c>
      <c r="AG275">
        <v>5</v>
      </c>
      <c r="AH275">
        <v>4</v>
      </c>
      <c r="AI275">
        <v>0</v>
      </c>
      <c r="AJ275">
        <v>1</v>
      </c>
    </row>
    <row r="276" spans="1:36" x14ac:dyDescent="0.3">
      <c r="A276">
        <v>21</v>
      </c>
      <c r="B276" t="s">
        <v>43</v>
      </c>
      <c r="C276" s="6">
        <f t="shared" si="4"/>
        <v>0</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t="s">
        <v>43</v>
      </c>
      <c r="Y276">
        <v>17</v>
      </c>
      <c r="Z276">
        <v>3</v>
      </c>
      <c r="AA276">
        <v>1</v>
      </c>
      <c r="AB276">
        <v>80</v>
      </c>
      <c r="AC276">
        <v>0</v>
      </c>
      <c r="AD276">
        <v>3</v>
      </c>
      <c r="AE276">
        <v>4</v>
      </c>
      <c r="AF276">
        <v>4</v>
      </c>
      <c r="AG276">
        <v>3</v>
      </c>
      <c r="AH276">
        <v>2</v>
      </c>
      <c r="AI276">
        <v>1</v>
      </c>
      <c r="AJ276">
        <v>0</v>
      </c>
    </row>
    <row r="277" spans="1:36" x14ac:dyDescent="0.3">
      <c r="A277">
        <v>37</v>
      </c>
      <c r="B277" t="s">
        <v>43</v>
      </c>
      <c r="C277" s="6">
        <f t="shared" si="4"/>
        <v>0</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t="s">
        <v>35</v>
      </c>
      <c r="Y277">
        <v>18</v>
      </c>
      <c r="Z277">
        <v>3</v>
      </c>
      <c r="AA277">
        <v>1</v>
      </c>
      <c r="AB277">
        <v>80</v>
      </c>
      <c r="AC277">
        <v>2</v>
      </c>
      <c r="AD277">
        <v>15</v>
      </c>
      <c r="AE277">
        <v>2</v>
      </c>
      <c r="AF277">
        <v>3</v>
      </c>
      <c r="AG277">
        <v>5</v>
      </c>
      <c r="AH277">
        <v>2</v>
      </c>
      <c r="AI277">
        <v>0</v>
      </c>
      <c r="AJ277">
        <v>2</v>
      </c>
    </row>
    <row r="278" spans="1:36" x14ac:dyDescent="0.3">
      <c r="A278">
        <v>35</v>
      </c>
      <c r="B278" t="s">
        <v>43</v>
      </c>
      <c r="C278" s="6">
        <f t="shared" si="4"/>
        <v>0</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t="s">
        <v>43</v>
      </c>
      <c r="Y278">
        <v>18</v>
      </c>
      <c r="Z278">
        <v>3</v>
      </c>
      <c r="AA278">
        <v>2</v>
      </c>
      <c r="AB278">
        <v>80</v>
      </c>
      <c r="AC278">
        <v>1</v>
      </c>
      <c r="AD278">
        <v>10</v>
      </c>
      <c r="AE278">
        <v>6</v>
      </c>
      <c r="AF278">
        <v>2</v>
      </c>
      <c r="AG278">
        <v>7</v>
      </c>
      <c r="AH278">
        <v>7</v>
      </c>
      <c r="AI278">
        <v>6</v>
      </c>
      <c r="AJ278">
        <v>2</v>
      </c>
    </row>
    <row r="279" spans="1:36" x14ac:dyDescent="0.3">
      <c r="A279">
        <v>38</v>
      </c>
      <c r="B279" t="s">
        <v>43</v>
      </c>
      <c r="C279" s="6">
        <f t="shared" si="4"/>
        <v>0</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t="s">
        <v>35</v>
      </c>
      <c r="Y279">
        <v>24</v>
      </c>
      <c r="Z279">
        <v>4</v>
      </c>
      <c r="AA279">
        <v>3</v>
      </c>
      <c r="AB279">
        <v>80</v>
      </c>
      <c r="AC279">
        <v>1</v>
      </c>
      <c r="AD279">
        <v>8</v>
      </c>
      <c r="AE279">
        <v>3</v>
      </c>
      <c r="AF279">
        <v>3</v>
      </c>
      <c r="AG279">
        <v>8</v>
      </c>
      <c r="AH279">
        <v>0</v>
      </c>
      <c r="AI279">
        <v>7</v>
      </c>
      <c r="AJ279">
        <v>7</v>
      </c>
    </row>
    <row r="280" spans="1:36" x14ac:dyDescent="0.3">
      <c r="A280">
        <v>26</v>
      </c>
      <c r="B280" t="s">
        <v>43</v>
      </c>
      <c r="C280" s="6">
        <f t="shared" si="4"/>
        <v>0</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t="s">
        <v>43</v>
      </c>
      <c r="Y280">
        <v>20</v>
      </c>
      <c r="Z280">
        <v>4</v>
      </c>
      <c r="AA280">
        <v>1</v>
      </c>
      <c r="AB280">
        <v>80</v>
      </c>
      <c r="AC280">
        <v>1</v>
      </c>
      <c r="AD280">
        <v>6</v>
      </c>
      <c r="AE280">
        <v>6</v>
      </c>
      <c r="AF280">
        <v>1</v>
      </c>
      <c r="AG280">
        <v>6</v>
      </c>
      <c r="AH280">
        <v>5</v>
      </c>
      <c r="AI280">
        <v>1</v>
      </c>
      <c r="AJ280">
        <v>4</v>
      </c>
    </row>
    <row r="281" spans="1:36" x14ac:dyDescent="0.3">
      <c r="A281">
        <v>50</v>
      </c>
      <c r="B281" t="s">
        <v>43</v>
      </c>
      <c r="C281" s="6">
        <f t="shared" si="4"/>
        <v>0</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t="s">
        <v>43</v>
      </c>
      <c r="Y281">
        <v>14</v>
      </c>
      <c r="Z281">
        <v>3</v>
      </c>
      <c r="AA281">
        <v>1</v>
      </c>
      <c r="AB281">
        <v>80</v>
      </c>
      <c r="AC281">
        <v>2</v>
      </c>
      <c r="AD281">
        <v>28</v>
      </c>
      <c r="AE281">
        <v>4</v>
      </c>
      <c r="AF281">
        <v>2</v>
      </c>
      <c r="AG281">
        <v>10</v>
      </c>
      <c r="AH281">
        <v>4</v>
      </c>
      <c r="AI281">
        <v>1</v>
      </c>
      <c r="AJ281">
        <v>6</v>
      </c>
    </row>
    <row r="282" spans="1:36" x14ac:dyDescent="0.3">
      <c r="A282">
        <v>53</v>
      </c>
      <c r="B282" t="s">
        <v>43</v>
      </c>
      <c r="C282" s="6">
        <f t="shared" si="4"/>
        <v>0</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t="s">
        <v>35</v>
      </c>
      <c r="Y282">
        <v>16</v>
      </c>
      <c r="Z282">
        <v>3</v>
      </c>
      <c r="AA282">
        <v>4</v>
      </c>
      <c r="AB282">
        <v>80</v>
      </c>
      <c r="AC282">
        <v>3</v>
      </c>
      <c r="AD282">
        <v>21</v>
      </c>
      <c r="AE282">
        <v>5</v>
      </c>
      <c r="AF282">
        <v>2</v>
      </c>
      <c r="AG282">
        <v>5</v>
      </c>
      <c r="AH282">
        <v>3</v>
      </c>
      <c r="AI282">
        <v>1</v>
      </c>
      <c r="AJ282">
        <v>3</v>
      </c>
    </row>
    <row r="283" spans="1:36" x14ac:dyDescent="0.3">
      <c r="A283">
        <v>42</v>
      </c>
      <c r="B283" t="s">
        <v>43</v>
      </c>
      <c r="C283" s="6">
        <f t="shared" si="4"/>
        <v>0</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t="s">
        <v>43</v>
      </c>
      <c r="Y283">
        <v>25</v>
      </c>
      <c r="Z283">
        <v>4</v>
      </c>
      <c r="AA283">
        <v>3</v>
      </c>
      <c r="AB283">
        <v>80</v>
      </c>
      <c r="AC283">
        <v>0</v>
      </c>
      <c r="AD283">
        <v>20</v>
      </c>
      <c r="AE283">
        <v>3</v>
      </c>
      <c r="AF283">
        <v>3</v>
      </c>
      <c r="AG283">
        <v>20</v>
      </c>
      <c r="AH283">
        <v>16</v>
      </c>
      <c r="AI283">
        <v>11</v>
      </c>
      <c r="AJ283">
        <v>6</v>
      </c>
    </row>
    <row r="284" spans="1:36" x14ac:dyDescent="0.3">
      <c r="A284">
        <v>29</v>
      </c>
      <c r="B284" t="s">
        <v>43</v>
      </c>
      <c r="C284" s="6">
        <f t="shared" si="4"/>
        <v>0</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t="s">
        <v>43</v>
      </c>
      <c r="Y284">
        <v>18</v>
      </c>
      <c r="Z284">
        <v>3</v>
      </c>
      <c r="AA284">
        <v>1</v>
      </c>
      <c r="AB284">
        <v>80</v>
      </c>
      <c r="AC284">
        <v>0</v>
      </c>
      <c r="AD284">
        <v>10</v>
      </c>
      <c r="AE284">
        <v>3</v>
      </c>
      <c r="AF284">
        <v>2</v>
      </c>
      <c r="AG284">
        <v>10</v>
      </c>
      <c r="AH284">
        <v>7</v>
      </c>
      <c r="AI284">
        <v>0</v>
      </c>
      <c r="AJ284">
        <v>9</v>
      </c>
    </row>
    <row r="285" spans="1:36" x14ac:dyDescent="0.3">
      <c r="A285">
        <v>55</v>
      </c>
      <c r="B285" t="s">
        <v>43</v>
      </c>
      <c r="C285" s="6">
        <f t="shared" si="4"/>
        <v>0</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t="s">
        <v>35</v>
      </c>
      <c r="Y285">
        <v>19</v>
      </c>
      <c r="Z285">
        <v>3</v>
      </c>
      <c r="AA285">
        <v>4</v>
      </c>
      <c r="AB285">
        <v>80</v>
      </c>
      <c r="AC285">
        <v>1</v>
      </c>
      <c r="AD285">
        <v>12</v>
      </c>
      <c r="AE285">
        <v>4</v>
      </c>
      <c r="AF285">
        <v>3</v>
      </c>
      <c r="AG285">
        <v>10</v>
      </c>
      <c r="AH285">
        <v>7</v>
      </c>
      <c r="AI285">
        <v>0</v>
      </c>
      <c r="AJ285">
        <v>8</v>
      </c>
    </row>
    <row r="286" spans="1:36" x14ac:dyDescent="0.3">
      <c r="A286">
        <v>26</v>
      </c>
      <c r="B286" t="s">
        <v>43</v>
      </c>
      <c r="C286" s="6">
        <f t="shared" si="4"/>
        <v>0</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t="s">
        <v>35</v>
      </c>
      <c r="Y286">
        <v>13</v>
      </c>
      <c r="Z286">
        <v>3</v>
      </c>
      <c r="AA286">
        <v>3</v>
      </c>
      <c r="AB286">
        <v>80</v>
      </c>
      <c r="AC286">
        <v>1</v>
      </c>
      <c r="AD286">
        <v>5</v>
      </c>
      <c r="AE286">
        <v>3</v>
      </c>
      <c r="AF286">
        <v>3</v>
      </c>
      <c r="AG286">
        <v>5</v>
      </c>
      <c r="AH286">
        <v>3</v>
      </c>
      <c r="AI286">
        <v>3</v>
      </c>
      <c r="AJ286">
        <v>3</v>
      </c>
    </row>
    <row r="287" spans="1:36" x14ac:dyDescent="0.3">
      <c r="A287">
        <v>37</v>
      </c>
      <c r="B287" t="s">
        <v>43</v>
      </c>
      <c r="C287" s="6">
        <f t="shared" si="4"/>
        <v>0</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t="s">
        <v>43</v>
      </c>
      <c r="Y287">
        <v>12</v>
      </c>
      <c r="Z287">
        <v>3</v>
      </c>
      <c r="AA287">
        <v>2</v>
      </c>
      <c r="AB287">
        <v>80</v>
      </c>
      <c r="AC287">
        <v>0</v>
      </c>
      <c r="AD287">
        <v>17</v>
      </c>
      <c r="AE287">
        <v>3</v>
      </c>
      <c r="AF287">
        <v>3</v>
      </c>
      <c r="AG287">
        <v>17</v>
      </c>
      <c r="AH287">
        <v>12</v>
      </c>
      <c r="AI287">
        <v>5</v>
      </c>
      <c r="AJ287">
        <v>7</v>
      </c>
    </row>
    <row r="288" spans="1:36" x14ac:dyDescent="0.3">
      <c r="A288">
        <v>44</v>
      </c>
      <c r="B288" t="s">
        <v>35</v>
      </c>
      <c r="C288" s="6">
        <f t="shared" si="4"/>
        <v>1</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t="s">
        <v>35</v>
      </c>
      <c r="Y288">
        <v>22</v>
      </c>
      <c r="Z288">
        <v>4</v>
      </c>
      <c r="AA288">
        <v>4</v>
      </c>
      <c r="AB288">
        <v>80</v>
      </c>
      <c r="AC288">
        <v>1</v>
      </c>
      <c r="AD288">
        <v>19</v>
      </c>
      <c r="AE288">
        <v>0</v>
      </c>
      <c r="AF288">
        <v>1</v>
      </c>
      <c r="AG288">
        <v>1</v>
      </c>
      <c r="AH288">
        <v>0</v>
      </c>
      <c r="AI288">
        <v>0</v>
      </c>
      <c r="AJ288">
        <v>0</v>
      </c>
    </row>
    <row r="289" spans="1:36" x14ac:dyDescent="0.3">
      <c r="A289">
        <v>38</v>
      </c>
      <c r="B289" t="s">
        <v>43</v>
      </c>
      <c r="C289" s="6">
        <f t="shared" si="4"/>
        <v>0</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t="s">
        <v>43</v>
      </c>
      <c r="Y289">
        <v>14</v>
      </c>
      <c r="Z289">
        <v>3</v>
      </c>
      <c r="AA289">
        <v>2</v>
      </c>
      <c r="AB289">
        <v>80</v>
      </c>
      <c r="AC289">
        <v>1</v>
      </c>
      <c r="AD289">
        <v>10</v>
      </c>
      <c r="AE289">
        <v>2</v>
      </c>
      <c r="AF289">
        <v>3</v>
      </c>
      <c r="AG289">
        <v>2</v>
      </c>
      <c r="AH289">
        <v>2</v>
      </c>
      <c r="AI289">
        <v>1</v>
      </c>
      <c r="AJ289">
        <v>2</v>
      </c>
    </row>
    <row r="290" spans="1:36" x14ac:dyDescent="0.3">
      <c r="A290">
        <v>26</v>
      </c>
      <c r="B290" t="s">
        <v>35</v>
      </c>
      <c r="C290" s="6">
        <f t="shared" si="4"/>
        <v>1</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t="s">
        <v>35</v>
      </c>
      <c r="Y290">
        <v>13</v>
      </c>
      <c r="Z290">
        <v>3</v>
      </c>
      <c r="AA290">
        <v>4</v>
      </c>
      <c r="AB290">
        <v>80</v>
      </c>
      <c r="AC290">
        <v>1</v>
      </c>
      <c r="AD290">
        <v>5</v>
      </c>
      <c r="AE290">
        <v>2</v>
      </c>
      <c r="AF290">
        <v>3</v>
      </c>
      <c r="AG290">
        <v>3</v>
      </c>
      <c r="AH290">
        <v>2</v>
      </c>
      <c r="AI290">
        <v>0</v>
      </c>
      <c r="AJ290">
        <v>2</v>
      </c>
    </row>
    <row r="291" spans="1:36" x14ac:dyDescent="0.3">
      <c r="A291">
        <v>28</v>
      </c>
      <c r="B291" t="s">
        <v>43</v>
      </c>
      <c r="C291" s="6">
        <f t="shared" si="4"/>
        <v>0</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t="s">
        <v>43</v>
      </c>
      <c r="Y291">
        <v>21</v>
      </c>
      <c r="Z291">
        <v>4</v>
      </c>
      <c r="AA291">
        <v>4</v>
      </c>
      <c r="AB291">
        <v>80</v>
      </c>
      <c r="AC291">
        <v>0</v>
      </c>
      <c r="AD291">
        <v>5</v>
      </c>
      <c r="AE291">
        <v>3</v>
      </c>
      <c r="AF291">
        <v>3</v>
      </c>
      <c r="AG291">
        <v>5</v>
      </c>
      <c r="AH291">
        <v>3</v>
      </c>
      <c r="AI291">
        <v>0</v>
      </c>
      <c r="AJ291">
        <v>2</v>
      </c>
    </row>
    <row r="292" spans="1:36" x14ac:dyDescent="0.3">
      <c r="A292">
        <v>49</v>
      </c>
      <c r="B292" t="s">
        <v>43</v>
      </c>
      <c r="C292" s="6">
        <f t="shared" si="4"/>
        <v>0</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t="s">
        <v>35</v>
      </c>
      <c r="Y292">
        <v>11</v>
      </c>
      <c r="Z292">
        <v>3</v>
      </c>
      <c r="AA292">
        <v>4</v>
      </c>
      <c r="AB292">
        <v>80</v>
      </c>
      <c r="AC292">
        <v>0</v>
      </c>
      <c r="AD292">
        <v>22</v>
      </c>
      <c r="AE292">
        <v>4</v>
      </c>
      <c r="AF292">
        <v>3</v>
      </c>
      <c r="AG292">
        <v>3</v>
      </c>
      <c r="AH292">
        <v>2</v>
      </c>
      <c r="AI292">
        <v>1</v>
      </c>
      <c r="AJ292">
        <v>2</v>
      </c>
    </row>
    <row r="293" spans="1:36" x14ac:dyDescent="0.3">
      <c r="A293">
        <v>36</v>
      </c>
      <c r="B293" t="s">
        <v>43</v>
      </c>
      <c r="C293" s="6">
        <f t="shared" si="4"/>
        <v>0</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t="s">
        <v>43</v>
      </c>
      <c r="Y293">
        <v>12</v>
      </c>
      <c r="Z293">
        <v>3</v>
      </c>
      <c r="AA293">
        <v>4</v>
      </c>
      <c r="AB293">
        <v>80</v>
      </c>
      <c r="AC293">
        <v>0</v>
      </c>
      <c r="AD293">
        <v>10</v>
      </c>
      <c r="AE293">
        <v>2</v>
      </c>
      <c r="AF293">
        <v>3</v>
      </c>
      <c r="AG293">
        <v>8</v>
      </c>
      <c r="AH293">
        <v>0</v>
      </c>
      <c r="AI293">
        <v>7</v>
      </c>
      <c r="AJ293">
        <v>7</v>
      </c>
    </row>
    <row r="294" spans="1:36" x14ac:dyDescent="0.3">
      <c r="A294">
        <v>31</v>
      </c>
      <c r="B294" t="s">
        <v>43</v>
      </c>
      <c r="C294" s="6">
        <f t="shared" si="4"/>
        <v>0</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t="s">
        <v>43</v>
      </c>
      <c r="Y294">
        <v>11</v>
      </c>
      <c r="Z294">
        <v>3</v>
      </c>
      <c r="AA294">
        <v>3</v>
      </c>
      <c r="AB294">
        <v>80</v>
      </c>
      <c r="AC294">
        <v>1</v>
      </c>
      <c r="AD294">
        <v>2</v>
      </c>
      <c r="AE294">
        <v>5</v>
      </c>
      <c r="AF294">
        <v>2</v>
      </c>
      <c r="AG294">
        <v>2</v>
      </c>
      <c r="AH294">
        <v>2</v>
      </c>
      <c r="AI294">
        <v>2</v>
      </c>
      <c r="AJ294">
        <v>2</v>
      </c>
    </row>
    <row r="295" spans="1:36" x14ac:dyDescent="0.3">
      <c r="A295">
        <v>26</v>
      </c>
      <c r="B295" t="s">
        <v>35</v>
      </c>
      <c r="C295" s="6">
        <f t="shared" si="4"/>
        <v>1</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t="s">
        <v>35</v>
      </c>
      <c r="Y295">
        <v>12</v>
      </c>
      <c r="Z295">
        <v>3</v>
      </c>
      <c r="AA295">
        <v>2</v>
      </c>
      <c r="AB295">
        <v>80</v>
      </c>
      <c r="AC295">
        <v>0</v>
      </c>
      <c r="AD295">
        <v>8</v>
      </c>
      <c r="AE295">
        <v>0</v>
      </c>
      <c r="AF295">
        <v>3</v>
      </c>
      <c r="AG295">
        <v>8</v>
      </c>
      <c r="AH295">
        <v>7</v>
      </c>
      <c r="AI295">
        <v>7</v>
      </c>
      <c r="AJ295">
        <v>4</v>
      </c>
    </row>
    <row r="296" spans="1:36" x14ac:dyDescent="0.3">
      <c r="A296">
        <v>37</v>
      </c>
      <c r="B296" t="s">
        <v>43</v>
      </c>
      <c r="C296" s="6">
        <f t="shared" si="4"/>
        <v>0</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t="s">
        <v>35</v>
      </c>
      <c r="Y296">
        <v>12</v>
      </c>
      <c r="Z296">
        <v>3</v>
      </c>
      <c r="AA296">
        <v>3</v>
      </c>
      <c r="AB296">
        <v>80</v>
      </c>
      <c r="AC296">
        <v>3</v>
      </c>
      <c r="AD296">
        <v>4</v>
      </c>
      <c r="AE296">
        <v>3</v>
      </c>
      <c r="AF296">
        <v>2</v>
      </c>
      <c r="AG296">
        <v>4</v>
      </c>
      <c r="AH296">
        <v>2</v>
      </c>
      <c r="AI296">
        <v>1</v>
      </c>
      <c r="AJ296">
        <v>2</v>
      </c>
    </row>
    <row r="297" spans="1:36" x14ac:dyDescent="0.3">
      <c r="A297">
        <v>42</v>
      </c>
      <c r="B297" t="s">
        <v>43</v>
      </c>
      <c r="C297" s="6">
        <f t="shared" si="4"/>
        <v>0</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t="s">
        <v>43</v>
      </c>
      <c r="Y297">
        <v>14</v>
      </c>
      <c r="Z297">
        <v>3</v>
      </c>
      <c r="AA297">
        <v>4</v>
      </c>
      <c r="AB297">
        <v>80</v>
      </c>
      <c r="AC297">
        <v>1</v>
      </c>
      <c r="AD297">
        <v>23</v>
      </c>
      <c r="AE297">
        <v>2</v>
      </c>
      <c r="AF297">
        <v>4</v>
      </c>
      <c r="AG297">
        <v>20</v>
      </c>
      <c r="AH297">
        <v>4</v>
      </c>
      <c r="AI297">
        <v>4</v>
      </c>
      <c r="AJ297">
        <v>8</v>
      </c>
    </row>
    <row r="298" spans="1:36" x14ac:dyDescent="0.3">
      <c r="A298">
        <v>18</v>
      </c>
      <c r="B298" t="s">
        <v>35</v>
      </c>
      <c r="C298" s="6">
        <f t="shared" si="4"/>
        <v>1</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t="s">
        <v>43</v>
      </c>
      <c r="Y298">
        <v>13</v>
      </c>
      <c r="Z298">
        <v>3</v>
      </c>
      <c r="AA298">
        <v>3</v>
      </c>
      <c r="AB298">
        <v>80</v>
      </c>
      <c r="AC298">
        <v>0</v>
      </c>
      <c r="AD298">
        <v>0</v>
      </c>
      <c r="AE298">
        <v>2</v>
      </c>
      <c r="AF298">
        <v>3</v>
      </c>
      <c r="AG298">
        <v>0</v>
      </c>
      <c r="AH298">
        <v>0</v>
      </c>
      <c r="AI298">
        <v>0</v>
      </c>
      <c r="AJ298">
        <v>0</v>
      </c>
    </row>
    <row r="299" spans="1:36" x14ac:dyDescent="0.3">
      <c r="A299">
        <v>35</v>
      </c>
      <c r="B299" t="s">
        <v>43</v>
      </c>
      <c r="C299" s="6">
        <f t="shared" si="4"/>
        <v>0</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t="s">
        <v>43</v>
      </c>
      <c r="Y299">
        <v>15</v>
      </c>
      <c r="Z299">
        <v>3</v>
      </c>
      <c r="AA299">
        <v>3</v>
      </c>
      <c r="AB299">
        <v>80</v>
      </c>
      <c r="AC299">
        <v>2</v>
      </c>
      <c r="AD299">
        <v>12</v>
      </c>
      <c r="AE299">
        <v>3</v>
      </c>
      <c r="AF299">
        <v>2</v>
      </c>
      <c r="AG299">
        <v>11</v>
      </c>
      <c r="AH299">
        <v>9</v>
      </c>
      <c r="AI299">
        <v>6</v>
      </c>
      <c r="AJ299">
        <v>9</v>
      </c>
    </row>
    <row r="300" spans="1:36" x14ac:dyDescent="0.3">
      <c r="A300">
        <v>36</v>
      </c>
      <c r="B300" t="s">
        <v>43</v>
      </c>
      <c r="C300" s="6">
        <f t="shared" si="4"/>
        <v>0</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t="s">
        <v>43</v>
      </c>
      <c r="Y300">
        <v>18</v>
      </c>
      <c r="Z300">
        <v>3</v>
      </c>
      <c r="AA300">
        <v>4</v>
      </c>
      <c r="AB300">
        <v>80</v>
      </c>
      <c r="AC300">
        <v>2</v>
      </c>
      <c r="AD300">
        <v>4</v>
      </c>
      <c r="AE300">
        <v>2</v>
      </c>
      <c r="AF300">
        <v>3</v>
      </c>
      <c r="AG300">
        <v>1</v>
      </c>
      <c r="AH300">
        <v>0</v>
      </c>
      <c r="AI300">
        <v>0</v>
      </c>
      <c r="AJ300">
        <v>0</v>
      </c>
    </row>
    <row r="301" spans="1:36" x14ac:dyDescent="0.3">
      <c r="A301">
        <v>51</v>
      </c>
      <c r="B301" t="s">
        <v>43</v>
      </c>
      <c r="C301" s="6">
        <f t="shared" si="4"/>
        <v>0</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t="s">
        <v>43</v>
      </c>
      <c r="Y301">
        <v>18</v>
      </c>
      <c r="Z301">
        <v>3</v>
      </c>
      <c r="AA301">
        <v>4</v>
      </c>
      <c r="AB301">
        <v>80</v>
      </c>
      <c r="AC301">
        <v>1</v>
      </c>
      <c r="AD301">
        <v>13</v>
      </c>
      <c r="AE301">
        <v>3</v>
      </c>
      <c r="AF301">
        <v>3</v>
      </c>
      <c r="AG301">
        <v>4</v>
      </c>
      <c r="AH301">
        <v>1</v>
      </c>
      <c r="AI301">
        <v>1</v>
      </c>
      <c r="AJ301">
        <v>2</v>
      </c>
    </row>
    <row r="302" spans="1:36" x14ac:dyDescent="0.3">
      <c r="A302">
        <v>41</v>
      </c>
      <c r="B302" t="s">
        <v>43</v>
      </c>
      <c r="C302" s="6">
        <f t="shared" si="4"/>
        <v>0</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t="s">
        <v>43</v>
      </c>
      <c r="Y302">
        <v>19</v>
      </c>
      <c r="Z302">
        <v>3</v>
      </c>
      <c r="AA302">
        <v>2</v>
      </c>
      <c r="AB302">
        <v>80</v>
      </c>
      <c r="AC302">
        <v>0</v>
      </c>
      <c r="AD302">
        <v>22</v>
      </c>
      <c r="AE302">
        <v>2</v>
      </c>
      <c r="AF302">
        <v>3</v>
      </c>
      <c r="AG302">
        <v>22</v>
      </c>
      <c r="AH302">
        <v>10</v>
      </c>
      <c r="AI302">
        <v>0</v>
      </c>
      <c r="AJ302">
        <v>4</v>
      </c>
    </row>
    <row r="303" spans="1:36" x14ac:dyDescent="0.3">
      <c r="A303">
        <v>18</v>
      </c>
      <c r="B303" t="s">
        <v>43</v>
      </c>
      <c r="C303" s="6">
        <f t="shared" si="4"/>
        <v>0</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t="s">
        <v>43</v>
      </c>
      <c r="Y303">
        <v>12</v>
      </c>
      <c r="Z303">
        <v>3</v>
      </c>
      <c r="AA303">
        <v>1</v>
      </c>
      <c r="AB303">
        <v>80</v>
      </c>
      <c r="AC303">
        <v>0</v>
      </c>
      <c r="AD303">
        <v>0</v>
      </c>
      <c r="AE303">
        <v>2</v>
      </c>
      <c r="AF303">
        <v>3</v>
      </c>
      <c r="AG303">
        <v>0</v>
      </c>
      <c r="AH303">
        <v>0</v>
      </c>
      <c r="AI303">
        <v>0</v>
      </c>
      <c r="AJ303">
        <v>0</v>
      </c>
    </row>
    <row r="304" spans="1:36" x14ac:dyDescent="0.3">
      <c r="A304">
        <v>28</v>
      </c>
      <c r="B304" t="s">
        <v>43</v>
      </c>
      <c r="C304" s="6">
        <f t="shared" si="4"/>
        <v>0</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t="s">
        <v>43</v>
      </c>
      <c r="Y304">
        <v>19</v>
      </c>
      <c r="Z304">
        <v>3</v>
      </c>
      <c r="AA304">
        <v>3</v>
      </c>
      <c r="AB304">
        <v>80</v>
      </c>
      <c r="AC304">
        <v>0</v>
      </c>
      <c r="AD304">
        <v>9</v>
      </c>
      <c r="AE304">
        <v>2</v>
      </c>
      <c r="AF304">
        <v>3</v>
      </c>
      <c r="AG304">
        <v>8</v>
      </c>
      <c r="AH304">
        <v>3</v>
      </c>
      <c r="AI304">
        <v>0</v>
      </c>
      <c r="AJ304">
        <v>7</v>
      </c>
    </row>
    <row r="305" spans="1:36" x14ac:dyDescent="0.3">
      <c r="A305">
        <v>31</v>
      </c>
      <c r="B305" t="s">
        <v>43</v>
      </c>
      <c r="C305" s="6">
        <f t="shared" si="4"/>
        <v>0</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t="s">
        <v>43</v>
      </c>
      <c r="Y305">
        <v>11</v>
      </c>
      <c r="Z305">
        <v>3</v>
      </c>
      <c r="AA305">
        <v>2</v>
      </c>
      <c r="AB305">
        <v>80</v>
      </c>
      <c r="AC305">
        <v>1</v>
      </c>
      <c r="AD305">
        <v>10</v>
      </c>
      <c r="AE305">
        <v>3</v>
      </c>
      <c r="AF305">
        <v>2</v>
      </c>
      <c r="AG305">
        <v>8</v>
      </c>
      <c r="AH305">
        <v>7</v>
      </c>
      <c r="AI305">
        <v>7</v>
      </c>
      <c r="AJ305">
        <v>7</v>
      </c>
    </row>
    <row r="306" spans="1:36" x14ac:dyDescent="0.3">
      <c r="A306">
        <v>39</v>
      </c>
      <c r="B306" t="s">
        <v>43</v>
      </c>
      <c r="C306" s="6">
        <f t="shared" si="4"/>
        <v>0</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t="s">
        <v>43</v>
      </c>
      <c r="Y306">
        <v>17</v>
      </c>
      <c r="Z306">
        <v>3</v>
      </c>
      <c r="AA306">
        <v>1</v>
      </c>
      <c r="AB306">
        <v>80</v>
      </c>
      <c r="AC306">
        <v>3</v>
      </c>
      <c r="AD306">
        <v>19</v>
      </c>
      <c r="AE306">
        <v>5</v>
      </c>
      <c r="AF306">
        <v>2</v>
      </c>
      <c r="AG306">
        <v>18</v>
      </c>
      <c r="AH306">
        <v>10</v>
      </c>
      <c r="AI306">
        <v>3</v>
      </c>
      <c r="AJ306">
        <v>7</v>
      </c>
    </row>
    <row r="307" spans="1:36" x14ac:dyDescent="0.3">
      <c r="A307">
        <v>36</v>
      </c>
      <c r="B307" t="s">
        <v>43</v>
      </c>
      <c r="C307" s="6">
        <f t="shared" si="4"/>
        <v>0</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t="s">
        <v>43</v>
      </c>
      <c r="Y307">
        <v>15</v>
      </c>
      <c r="Z307">
        <v>3</v>
      </c>
      <c r="AA307">
        <v>3</v>
      </c>
      <c r="AB307">
        <v>80</v>
      </c>
      <c r="AC307">
        <v>1</v>
      </c>
      <c r="AD307">
        <v>11</v>
      </c>
      <c r="AE307">
        <v>3</v>
      </c>
      <c r="AF307">
        <v>3</v>
      </c>
      <c r="AG307">
        <v>9</v>
      </c>
      <c r="AH307">
        <v>8</v>
      </c>
      <c r="AI307">
        <v>0</v>
      </c>
      <c r="AJ307">
        <v>8</v>
      </c>
    </row>
    <row r="308" spans="1:36" x14ac:dyDescent="0.3">
      <c r="A308">
        <v>32</v>
      </c>
      <c r="B308" t="s">
        <v>43</v>
      </c>
      <c r="C308" s="6">
        <f t="shared" si="4"/>
        <v>0</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t="s">
        <v>43</v>
      </c>
      <c r="Y308">
        <v>14</v>
      </c>
      <c r="Z308">
        <v>3</v>
      </c>
      <c r="AA308">
        <v>3</v>
      </c>
      <c r="AB308">
        <v>80</v>
      </c>
      <c r="AC308">
        <v>1</v>
      </c>
      <c r="AD308">
        <v>13</v>
      </c>
      <c r="AE308">
        <v>3</v>
      </c>
      <c r="AF308">
        <v>2</v>
      </c>
      <c r="AG308">
        <v>13</v>
      </c>
      <c r="AH308">
        <v>8</v>
      </c>
      <c r="AI308">
        <v>4</v>
      </c>
      <c r="AJ308">
        <v>8</v>
      </c>
    </row>
    <row r="309" spans="1:36" x14ac:dyDescent="0.3">
      <c r="A309">
        <v>38</v>
      </c>
      <c r="B309" t="s">
        <v>43</v>
      </c>
      <c r="C309" s="6">
        <f t="shared" si="4"/>
        <v>0</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t="s">
        <v>43</v>
      </c>
      <c r="Y309">
        <v>17</v>
      </c>
      <c r="Z309">
        <v>3</v>
      </c>
      <c r="AA309">
        <v>3</v>
      </c>
      <c r="AB309">
        <v>80</v>
      </c>
      <c r="AC309">
        <v>1</v>
      </c>
      <c r="AD309">
        <v>19</v>
      </c>
      <c r="AE309">
        <v>2</v>
      </c>
      <c r="AF309">
        <v>3</v>
      </c>
      <c r="AG309">
        <v>10</v>
      </c>
      <c r="AH309">
        <v>8</v>
      </c>
      <c r="AI309">
        <v>0</v>
      </c>
      <c r="AJ309">
        <v>1</v>
      </c>
    </row>
    <row r="310" spans="1:36" x14ac:dyDescent="0.3">
      <c r="A310">
        <v>58</v>
      </c>
      <c r="B310" t="s">
        <v>43</v>
      </c>
      <c r="C310" s="6">
        <f t="shared" si="4"/>
        <v>0</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t="s">
        <v>35</v>
      </c>
      <c r="Y310">
        <v>13</v>
      </c>
      <c r="Z310">
        <v>3</v>
      </c>
      <c r="AA310">
        <v>4</v>
      </c>
      <c r="AB310">
        <v>80</v>
      </c>
      <c r="AC310">
        <v>1</v>
      </c>
      <c r="AD310">
        <v>12</v>
      </c>
      <c r="AE310">
        <v>2</v>
      </c>
      <c r="AF310">
        <v>3</v>
      </c>
      <c r="AG310">
        <v>5</v>
      </c>
      <c r="AH310">
        <v>3</v>
      </c>
      <c r="AI310">
        <v>1</v>
      </c>
      <c r="AJ310">
        <v>2</v>
      </c>
    </row>
    <row r="311" spans="1:36" x14ac:dyDescent="0.3">
      <c r="A311">
        <v>31</v>
      </c>
      <c r="B311" t="s">
        <v>43</v>
      </c>
      <c r="C311" s="6">
        <f t="shared" si="4"/>
        <v>0</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t="s">
        <v>35</v>
      </c>
      <c r="Y311">
        <v>12</v>
      </c>
      <c r="Z311">
        <v>3</v>
      </c>
      <c r="AA311">
        <v>3</v>
      </c>
      <c r="AB311">
        <v>80</v>
      </c>
      <c r="AC311">
        <v>1</v>
      </c>
      <c r="AD311">
        <v>6</v>
      </c>
      <c r="AE311">
        <v>4</v>
      </c>
      <c r="AF311">
        <v>3</v>
      </c>
      <c r="AG311">
        <v>5</v>
      </c>
      <c r="AH311">
        <v>2</v>
      </c>
      <c r="AI311">
        <v>0</v>
      </c>
      <c r="AJ311">
        <v>3</v>
      </c>
    </row>
    <row r="312" spans="1:36" x14ac:dyDescent="0.3">
      <c r="A312">
        <v>31</v>
      </c>
      <c r="B312" t="s">
        <v>43</v>
      </c>
      <c r="C312" s="6">
        <f t="shared" si="4"/>
        <v>0</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t="s">
        <v>43</v>
      </c>
      <c r="Y312">
        <v>12</v>
      </c>
      <c r="Z312">
        <v>3</v>
      </c>
      <c r="AA312">
        <v>4</v>
      </c>
      <c r="AB312">
        <v>80</v>
      </c>
      <c r="AC312">
        <v>0</v>
      </c>
      <c r="AD312">
        <v>9</v>
      </c>
      <c r="AE312">
        <v>1</v>
      </c>
      <c r="AF312">
        <v>3</v>
      </c>
      <c r="AG312">
        <v>2</v>
      </c>
      <c r="AH312">
        <v>2</v>
      </c>
      <c r="AI312">
        <v>1</v>
      </c>
      <c r="AJ312">
        <v>0</v>
      </c>
    </row>
    <row r="313" spans="1:36" x14ac:dyDescent="0.3">
      <c r="A313">
        <v>45</v>
      </c>
      <c r="B313" t="s">
        <v>43</v>
      </c>
      <c r="C313" s="6">
        <f t="shared" si="4"/>
        <v>0</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t="s">
        <v>43</v>
      </c>
      <c r="Y313">
        <v>18</v>
      </c>
      <c r="Z313">
        <v>3</v>
      </c>
      <c r="AA313">
        <v>1</v>
      </c>
      <c r="AB313">
        <v>80</v>
      </c>
      <c r="AC313">
        <v>1</v>
      </c>
      <c r="AD313">
        <v>24</v>
      </c>
      <c r="AE313">
        <v>2</v>
      </c>
      <c r="AF313">
        <v>3</v>
      </c>
      <c r="AG313">
        <v>24</v>
      </c>
      <c r="AH313">
        <v>9</v>
      </c>
      <c r="AI313">
        <v>9</v>
      </c>
      <c r="AJ313">
        <v>11</v>
      </c>
    </row>
    <row r="314" spans="1:36" x14ac:dyDescent="0.3">
      <c r="A314">
        <v>31</v>
      </c>
      <c r="B314" t="s">
        <v>43</v>
      </c>
      <c r="C314" s="6">
        <f t="shared" si="4"/>
        <v>0</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t="s">
        <v>35</v>
      </c>
      <c r="Y314">
        <v>18</v>
      </c>
      <c r="Z314">
        <v>3</v>
      </c>
      <c r="AA314">
        <v>2</v>
      </c>
      <c r="AB314">
        <v>80</v>
      </c>
      <c r="AC314">
        <v>1</v>
      </c>
      <c r="AD314">
        <v>3</v>
      </c>
      <c r="AE314">
        <v>2</v>
      </c>
      <c r="AF314">
        <v>1</v>
      </c>
      <c r="AG314">
        <v>2</v>
      </c>
      <c r="AH314">
        <v>2</v>
      </c>
      <c r="AI314">
        <v>2</v>
      </c>
      <c r="AJ314">
        <v>2</v>
      </c>
    </row>
    <row r="315" spans="1:36" x14ac:dyDescent="0.3">
      <c r="A315">
        <v>33</v>
      </c>
      <c r="B315" t="s">
        <v>43</v>
      </c>
      <c r="C315" s="6">
        <f t="shared" si="4"/>
        <v>0</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t="s">
        <v>43</v>
      </c>
      <c r="Y315">
        <v>11</v>
      </c>
      <c r="Z315">
        <v>3</v>
      </c>
      <c r="AA315">
        <v>2</v>
      </c>
      <c r="AB315">
        <v>80</v>
      </c>
      <c r="AC315">
        <v>2</v>
      </c>
      <c r="AD315">
        <v>12</v>
      </c>
      <c r="AE315">
        <v>2</v>
      </c>
      <c r="AF315">
        <v>3</v>
      </c>
      <c r="AG315">
        <v>10</v>
      </c>
      <c r="AH315">
        <v>6</v>
      </c>
      <c r="AI315">
        <v>8</v>
      </c>
      <c r="AJ315">
        <v>8</v>
      </c>
    </row>
    <row r="316" spans="1:36" x14ac:dyDescent="0.3">
      <c r="A316">
        <v>39</v>
      </c>
      <c r="B316" t="s">
        <v>43</v>
      </c>
      <c r="C316" s="6">
        <f t="shared" si="4"/>
        <v>0</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t="s">
        <v>35</v>
      </c>
      <c r="Y316">
        <v>14</v>
      </c>
      <c r="Z316">
        <v>3</v>
      </c>
      <c r="AA316">
        <v>4</v>
      </c>
      <c r="AB316">
        <v>80</v>
      </c>
      <c r="AC316">
        <v>0</v>
      </c>
      <c r="AD316">
        <v>21</v>
      </c>
      <c r="AE316">
        <v>3</v>
      </c>
      <c r="AF316">
        <v>3</v>
      </c>
      <c r="AG316">
        <v>21</v>
      </c>
      <c r="AH316">
        <v>9</v>
      </c>
      <c r="AI316">
        <v>11</v>
      </c>
      <c r="AJ316">
        <v>10</v>
      </c>
    </row>
    <row r="317" spans="1:36" x14ac:dyDescent="0.3">
      <c r="A317">
        <v>43</v>
      </c>
      <c r="B317" t="s">
        <v>43</v>
      </c>
      <c r="C317" s="6">
        <f t="shared" si="4"/>
        <v>0</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t="s">
        <v>43</v>
      </c>
      <c r="Y317">
        <v>19</v>
      </c>
      <c r="Z317">
        <v>3</v>
      </c>
      <c r="AA317">
        <v>1</v>
      </c>
      <c r="AB317">
        <v>80</v>
      </c>
      <c r="AC317">
        <v>0</v>
      </c>
      <c r="AD317">
        <v>9</v>
      </c>
      <c r="AE317">
        <v>5</v>
      </c>
      <c r="AF317">
        <v>3</v>
      </c>
      <c r="AG317">
        <v>8</v>
      </c>
      <c r="AH317">
        <v>7</v>
      </c>
      <c r="AI317">
        <v>1</v>
      </c>
      <c r="AJ317">
        <v>7</v>
      </c>
    </row>
    <row r="318" spans="1:36" x14ac:dyDescent="0.3">
      <c r="A318">
        <v>49</v>
      </c>
      <c r="B318" t="s">
        <v>43</v>
      </c>
      <c r="C318" s="6">
        <f t="shared" si="4"/>
        <v>0</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t="s">
        <v>35</v>
      </c>
      <c r="Y318">
        <v>12</v>
      </c>
      <c r="Z318">
        <v>3</v>
      </c>
      <c r="AA318">
        <v>4</v>
      </c>
      <c r="AB318">
        <v>80</v>
      </c>
      <c r="AC318">
        <v>0</v>
      </c>
      <c r="AD318">
        <v>25</v>
      </c>
      <c r="AE318">
        <v>2</v>
      </c>
      <c r="AF318">
        <v>3</v>
      </c>
      <c r="AG318">
        <v>7</v>
      </c>
      <c r="AH318">
        <v>1</v>
      </c>
      <c r="AI318">
        <v>0</v>
      </c>
      <c r="AJ318">
        <v>7</v>
      </c>
    </row>
    <row r="319" spans="1:36" x14ac:dyDescent="0.3">
      <c r="A319">
        <v>52</v>
      </c>
      <c r="B319" t="s">
        <v>35</v>
      </c>
      <c r="C319" s="6">
        <f t="shared" si="4"/>
        <v>1</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t="s">
        <v>43</v>
      </c>
      <c r="Y319">
        <v>15</v>
      </c>
      <c r="Z319">
        <v>3</v>
      </c>
      <c r="AA319">
        <v>1</v>
      </c>
      <c r="AB319">
        <v>80</v>
      </c>
      <c r="AC319">
        <v>0</v>
      </c>
      <c r="AD319">
        <v>11</v>
      </c>
      <c r="AE319">
        <v>3</v>
      </c>
      <c r="AF319">
        <v>2</v>
      </c>
      <c r="AG319">
        <v>8</v>
      </c>
      <c r="AH319">
        <v>2</v>
      </c>
      <c r="AI319">
        <v>7</v>
      </c>
      <c r="AJ319">
        <v>7</v>
      </c>
    </row>
    <row r="320" spans="1:36" x14ac:dyDescent="0.3">
      <c r="A320">
        <v>27</v>
      </c>
      <c r="B320" t="s">
        <v>43</v>
      </c>
      <c r="C320" s="6">
        <f t="shared" si="4"/>
        <v>0</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t="s">
        <v>35</v>
      </c>
      <c r="Y320">
        <v>12</v>
      </c>
      <c r="Z320">
        <v>3</v>
      </c>
      <c r="AA320">
        <v>2</v>
      </c>
      <c r="AB320">
        <v>80</v>
      </c>
      <c r="AC320">
        <v>0</v>
      </c>
      <c r="AD320">
        <v>4</v>
      </c>
      <c r="AE320">
        <v>2</v>
      </c>
      <c r="AF320">
        <v>2</v>
      </c>
      <c r="AG320">
        <v>4</v>
      </c>
      <c r="AH320">
        <v>3</v>
      </c>
      <c r="AI320">
        <v>1</v>
      </c>
      <c r="AJ320">
        <v>2</v>
      </c>
    </row>
    <row r="321" spans="1:36" x14ac:dyDescent="0.3">
      <c r="A321">
        <v>32</v>
      </c>
      <c r="B321" t="s">
        <v>43</v>
      </c>
      <c r="C321" s="6">
        <f t="shared" si="4"/>
        <v>0</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t="s">
        <v>35</v>
      </c>
      <c r="Y321">
        <v>11</v>
      </c>
      <c r="Z321">
        <v>3</v>
      </c>
      <c r="AA321">
        <v>4</v>
      </c>
      <c r="AB321">
        <v>80</v>
      </c>
      <c r="AC321">
        <v>0</v>
      </c>
      <c r="AD321">
        <v>13</v>
      </c>
      <c r="AE321">
        <v>2</v>
      </c>
      <c r="AF321">
        <v>3</v>
      </c>
      <c r="AG321">
        <v>13</v>
      </c>
      <c r="AH321">
        <v>12</v>
      </c>
      <c r="AI321">
        <v>11</v>
      </c>
      <c r="AJ321">
        <v>9</v>
      </c>
    </row>
    <row r="322" spans="1:36" x14ac:dyDescent="0.3">
      <c r="A322">
        <v>27</v>
      </c>
      <c r="B322" t="s">
        <v>43</v>
      </c>
      <c r="C322" s="6">
        <f t="shared" si="4"/>
        <v>0</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t="s">
        <v>35</v>
      </c>
      <c r="Y322">
        <v>11</v>
      </c>
      <c r="Z322">
        <v>3</v>
      </c>
      <c r="AA322">
        <v>1</v>
      </c>
      <c r="AB322">
        <v>80</v>
      </c>
      <c r="AC322">
        <v>0</v>
      </c>
      <c r="AD322">
        <v>5</v>
      </c>
      <c r="AE322">
        <v>3</v>
      </c>
      <c r="AF322">
        <v>3</v>
      </c>
      <c r="AG322">
        <v>5</v>
      </c>
      <c r="AH322">
        <v>4</v>
      </c>
      <c r="AI322">
        <v>0</v>
      </c>
      <c r="AJ322">
        <v>4</v>
      </c>
    </row>
    <row r="323" spans="1:36" x14ac:dyDescent="0.3">
      <c r="A323">
        <v>31</v>
      </c>
      <c r="B323" t="s">
        <v>43</v>
      </c>
      <c r="C323" s="6">
        <f t="shared" ref="C323:C386" si="5">IF(B323="Yes",1,0)</f>
        <v>0</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t="s">
        <v>43</v>
      </c>
      <c r="Y323">
        <v>12</v>
      </c>
      <c r="Z323">
        <v>3</v>
      </c>
      <c r="AA323">
        <v>4</v>
      </c>
      <c r="AB323">
        <v>80</v>
      </c>
      <c r="AC323">
        <v>3</v>
      </c>
      <c r="AD323">
        <v>13</v>
      </c>
      <c r="AE323">
        <v>3</v>
      </c>
      <c r="AF323">
        <v>3</v>
      </c>
      <c r="AG323">
        <v>7</v>
      </c>
      <c r="AH323">
        <v>7</v>
      </c>
      <c r="AI323">
        <v>1</v>
      </c>
      <c r="AJ323">
        <v>7</v>
      </c>
    </row>
    <row r="324" spans="1:36" x14ac:dyDescent="0.3">
      <c r="A324">
        <v>32</v>
      </c>
      <c r="B324" t="s">
        <v>43</v>
      </c>
      <c r="C324" s="6">
        <f t="shared" si="5"/>
        <v>0</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t="s">
        <v>43</v>
      </c>
      <c r="Y324">
        <v>16</v>
      </c>
      <c r="Z324">
        <v>3</v>
      </c>
      <c r="AA324">
        <v>3</v>
      </c>
      <c r="AB324">
        <v>80</v>
      </c>
      <c r="AC324">
        <v>0</v>
      </c>
      <c r="AD324">
        <v>10</v>
      </c>
      <c r="AE324">
        <v>0</v>
      </c>
      <c r="AF324">
        <v>2</v>
      </c>
      <c r="AG324">
        <v>7</v>
      </c>
      <c r="AH324">
        <v>7</v>
      </c>
      <c r="AI324">
        <v>0</v>
      </c>
      <c r="AJ324">
        <v>7</v>
      </c>
    </row>
    <row r="325" spans="1:36" x14ac:dyDescent="0.3">
      <c r="A325">
        <v>28</v>
      </c>
      <c r="B325" t="s">
        <v>35</v>
      </c>
      <c r="C325" s="6">
        <f t="shared" si="5"/>
        <v>1</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t="s">
        <v>35</v>
      </c>
      <c r="Y325">
        <v>13</v>
      </c>
      <c r="Z325">
        <v>3</v>
      </c>
      <c r="AA325">
        <v>4</v>
      </c>
      <c r="AB325">
        <v>80</v>
      </c>
      <c r="AC325">
        <v>0</v>
      </c>
      <c r="AD325">
        <v>5</v>
      </c>
      <c r="AE325">
        <v>4</v>
      </c>
      <c r="AF325">
        <v>2</v>
      </c>
      <c r="AG325">
        <v>3</v>
      </c>
      <c r="AH325">
        <v>2</v>
      </c>
      <c r="AI325">
        <v>2</v>
      </c>
      <c r="AJ325">
        <v>2</v>
      </c>
    </row>
    <row r="326" spans="1:36" x14ac:dyDescent="0.3">
      <c r="A326">
        <v>30</v>
      </c>
      <c r="B326" t="s">
        <v>43</v>
      </c>
      <c r="C326" s="6">
        <f t="shared" si="5"/>
        <v>0</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t="s">
        <v>43</v>
      </c>
      <c r="Y326">
        <v>13</v>
      </c>
      <c r="Z326">
        <v>3</v>
      </c>
      <c r="AA326">
        <v>4</v>
      </c>
      <c r="AB326">
        <v>80</v>
      </c>
      <c r="AC326">
        <v>2</v>
      </c>
      <c r="AD326">
        <v>11</v>
      </c>
      <c r="AE326">
        <v>2</v>
      </c>
      <c r="AF326">
        <v>3</v>
      </c>
      <c r="AG326">
        <v>10</v>
      </c>
      <c r="AH326">
        <v>8</v>
      </c>
      <c r="AI326">
        <v>1</v>
      </c>
      <c r="AJ326">
        <v>9</v>
      </c>
    </row>
    <row r="327" spans="1:36" x14ac:dyDescent="0.3">
      <c r="A327">
        <v>31</v>
      </c>
      <c r="B327" t="s">
        <v>43</v>
      </c>
      <c r="C327" s="6">
        <f t="shared" si="5"/>
        <v>0</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t="s">
        <v>43</v>
      </c>
      <c r="Y327">
        <v>24</v>
      </c>
      <c r="Z327">
        <v>4</v>
      </c>
      <c r="AA327">
        <v>1</v>
      </c>
      <c r="AB327">
        <v>80</v>
      </c>
      <c r="AC327">
        <v>1</v>
      </c>
      <c r="AD327">
        <v>10</v>
      </c>
      <c r="AE327">
        <v>2</v>
      </c>
      <c r="AF327">
        <v>3</v>
      </c>
      <c r="AG327">
        <v>10</v>
      </c>
      <c r="AH327">
        <v>9</v>
      </c>
      <c r="AI327">
        <v>8</v>
      </c>
      <c r="AJ327">
        <v>9</v>
      </c>
    </row>
    <row r="328" spans="1:36" x14ac:dyDescent="0.3">
      <c r="A328">
        <v>39</v>
      </c>
      <c r="B328" t="s">
        <v>43</v>
      </c>
      <c r="C328" s="6">
        <f t="shared" si="5"/>
        <v>0</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t="s">
        <v>43</v>
      </c>
      <c r="Y328">
        <v>15</v>
      </c>
      <c r="Z328">
        <v>3</v>
      </c>
      <c r="AA328">
        <v>1</v>
      </c>
      <c r="AB328">
        <v>80</v>
      </c>
      <c r="AC328">
        <v>1</v>
      </c>
      <c r="AD328">
        <v>21</v>
      </c>
      <c r="AE328">
        <v>2</v>
      </c>
      <c r="AF328">
        <v>3</v>
      </c>
      <c r="AG328">
        <v>21</v>
      </c>
      <c r="AH328">
        <v>9</v>
      </c>
      <c r="AI328">
        <v>13</v>
      </c>
      <c r="AJ328">
        <v>3</v>
      </c>
    </row>
    <row r="329" spans="1:36" x14ac:dyDescent="0.3">
      <c r="A329">
        <v>39</v>
      </c>
      <c r="B329" t="s">
        <v>35</v>
      </c>
      <c r="C329" s="6">
        <f t="shared" si="5"/>
        <v>1</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t="s">
        <v>35</v>
      </c>
      <c r="Y329">
        <v>18</v>
      </c>
      <c r="Z329">
        <v>3</v>
      </c>
      <c r="AA329">
        <v>1</v>
      </c>
      <c r="AB329">
        <v>80</v>
      </c>
      <c r="AC329">
        <v>0</v>
      </c>
      <c r="AD329">
        <v>12</v>
      </c>
      <c r="AE329">
        <v>3</v>
      </c>
      <c r="AF329">
        <v>2</v>
      </c>
      <c r="AG329">
        <v>1</v>
      </c>
      <c r="AH329">
        <v>0</v>
      </c>
      <c r="AI329">
        <v>0</v>
      </c>
      <c r="AJ329">
        <v>0</v>
      </c>
    </row>
    <row r="330" spans="1:36" x14ac:dyDescent="0.3">
      <c r="A330">
        <v>33</v>
      </c>
      <c r="B330" t="s">
        <v>43</v>
      </c>
      <c r="C330" s="6">
        <f t="shared" si="5"/>
        <v>0</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t="s">
        <v>43</v>
      </c>
      <c r="Y330">
        <v>14</v>
      </c>
      <c r="Z330">
        <v>3</v>
      </c>
      <c r="AA330">
        <v>3</v>
      </c>
      <c r="AB330">
        <v>80</v>
      </c>
      <c r="AC330">
        <v>0</v>
      </c>
      <c r="AD330">
        <v>9</v>
      </c>
      <c r="AE330">
        <v>6</v>
      </c>
      <c r="AF330">
        <v>2</v>
      </c>
      <c r="AG330">
        <v>7</v>
      </c>
      <c r="AH330">
        <v>7</v>
      </c>
      <c r="AI330">
        <v>0</v>
      </c>
      <c r="AJ330">
        <v>1</v>
      </c>
    </row>
    <row r="331" spans="1:36" x14ac:dyDescent="0.3">
      <c r="A331">
        <v>47</v>
      </c>
      <c r="B331" t="s">
        <v>43</v>
      </c>
      <c r="C331" s="6">
        <f t="shared" si="5"/>
        <v>0</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t="s">
        <v>43</v>
      </c>
      <c r="Y331">
        <v>11</v>
      </c>
      <c r="Z331">
        <v>3</v>
      </c>
      <c r="AA331">
        <v>2</v>
      </c>
      <c r="AB331">
        <v>80</v>
      </c>
      <c r="AC331">
        <v>1</v>
      </c>
      <c r="AD331">
        <v>21</v>
      </c>
      <c r="AE331">
        <v>2</v>
      </c>
      <c r="AF331">
        <v>3</v>
      </c>
      <c r="AG331">
        <v>3</v>
      </c>
      <c r="AH331">
        <v>2</v>
      </c>
      <c r="AI331">
        <v>1</v>
      </c>
      <c r="AJ331">
        <v>1</v>
      </c>
    </row>
    <row r="332" spans="1:36" x14ac:dyDescent="0.3">
      <c r="A332">
        <v>43</v>
      </c>
      <c r="B332" t="s">
        <v>43</v>
      </c>
      <c r="C332" s="6">
        <f t="shared" si="5"/>
        <v>0</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t="s">
        <v>43</v>
      </c>
      <c r="Y332">
        <v>11</v>
      </c>
      <c r="Z332">
        <v>3</v>
      </c>
      <c r="AA332">
        <v>2</v>
      </c>
      <c r="AB332">
        <v>80</v>
      </c>
      <c r="AC332">
        <v>1</v>
      </c>
      <c r="AD332">
        <v>9</v>
      </c>
      <c r="AE332">
        <v>3</v>
      </c>
      <c r="AF332">
        <v>4</v>
      </c>
      <c r="AG332">
        <v>9</v>
      </c>
      <c r="AH332">
        <v>7</v>
      </c>
      <c r="AI332">
        <v>0</v>
      </c>
      <c r="AJ332">
        <v>0</v>
      </c>
    </row>
    <row r="333" spans="1:36" x14ac:dyDescent="0.3">
      <c r="A333">
        <v>27</v>
      </c>
      <c r="B333" t="s">
        <v>43</v>
      </c>
      <c r="C333" s="6">
        <f t="shared" si="5"/>
        <v>0</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t="s">
        <v>35</v>
      </c>
      <c r="Y333">
        <v>13</v>
      </c>
      <c r="Z333">
        <v>3</v>
      </c>
      <c r="AA333">
        <v>4</v>
      </c>
      <c r="AB333">
        <v>80</v>
      </c>
      <c r="AC333">
        <v>1</v>
      </c>
      <c r="AD333">
        <v>6</v>
      </c>
      <c r="AE333">
        <v>0</v>
      </c>
      <c r="AF333">
        <v>3</v>
      </c>
      <c r="AG333">
        <v>5</v>
      </c>
      <c r="AH333">
        <v>4</v>
      </c>
      <c r="AI333">
        <v>1</v>
      </c>
      <c r="AJ333">
        <v>4</v>
      </c>
    </row>
    <row r="334" spans="1:36" x14ac:dyDescent="0.3">
      <c r="A334">
        <v>54</v>
      </c>
      <c r="B334" t="s">
        <v>43</v>
      </c>
      <c r="C334" s="6">
        <f t="shared" si="5"/>
        <v>0</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t="s">
        <v>43</v>
      </c>
      <c r="Y334">
        <v>12</v>
      </c>
      <c r="Z334">
        <v>3</v>
      </c>
      <c r="AA334">
        <v>4</v>
      </c>
      <c r="AB334">
        <v>80</v>
      </c>
      <c r="AC334">
        <v>0</v>
      </c>
      <c r="AD334">
        <v>20</v>
      </c>
      <c r="AE334">
        <v>4</v>
      </c>
      <c r="AF334">
        <v>2</v>
      </c>
      <c r="AG334">
        <v>4</v>
      </c>
      <c r="AH334">
        <v>3</v>
      </c>
      <c r="AI334">
        <v>0</v>
      </c>
      <c r="AJ334">
        <v>3</v>
      </c>
    </row>
    <row r="335" spans="1:36" x14ac:dyDescent="0.3">
      <c r="A335">
        <v>43</v>
      </c>
      <c r="B335" t="s">
        <v>43</v>
      </c>
      <c r="C335" s="6">
        <f t="shared" si="5"/>
        <v>0</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t="s">
        <v>43</v>
      </c>
      <c r="Y335">
        <v>16</v>
      </c>
      <c r="Z335">
        <v>3</v>
      </c>
      <c r="AA335">
        <v>1</v>
      </c>
      <c r="AB335">
        <v>80</v>
      </c>
      <c r="AC335">
        <v>1</v>
      </c>
      <c r="AD335">
        <v>10</v>
      </c>
      <c r="AE335">
        <v>1</v>
      </c>
      <c r="AF335">
        <v>2</v>
      </c>
      <c r="AG335">
        <v>1</v>
      </c>
      <c r="AH335">
        <v>0</v>
      </c>
      <c r="AI335">
        <v>0</v>
      </c>
      <c r="AJ335">
        <v>0</v>
      </c>
    </row>
    <row r="336" spans="1:36" x14ac:dyDescent="0.3">
      <c r="A336">
        <v>45</v>
      </c>
      <c r="B336" t="s">
        <v>43</v>
      </c>
      <c r="C336" s="6">
        <f t="shared" si="5"/>
        <v>0</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t="s">
        <v>43</v>
      </c>
      <c r="Y336">
        <v>14</v>
      </c>
      <c r="Z336">
        <v>3</v>
      </c>
      <c r="AA336">
        <v>1</v>
      </c>
      <c r="AB336">
        <v>80</v>
      </c>
      <c r="AC336">
        <v>2</v>
      </c>
      <c r="AD336">
        <v>12</v>
      </c>
      <c r="AE336">
        <v>3</v>
      </c>
      <c r="AF336">
        <v>3</v>
      </c>
      <c r="AG336">
        <v>10</v>
      </c>
      <c r="AH336">
        <v>9</v>
      </c>
      <c r="AI336">
        <v>9</v>
      </c>
      <c r="AJ336">
        <v>8</v>
      </c>
    </row>
    <row r="337" spans="1:36" x14ac:dyDescent="0.3">
      <c r="A337">
        <v>40</v>
      </c>
      <c r="B337" t="s">
        <v>43</v>
      </c>
      <c r="C337" s="6">
        <f t="shared" si="5"/>
        <v>0</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t="s">
        <v>35</v>
      </c>
      <c r="Y337">
        <v>22</v>
      </c>
      <c r="Z337">
        <v>4</v>
      </c>
      <c r="AA337">
        <v>3</v>
      </c>
      <c r="AB337">
        <v>80</v>
      </c>
      <c r="AC337">
        <v>3</v>
      </c>
      <c r="AD337">
        <v>6</v>
      </c>
      <c r="AE337">
        <v>2</v>
      </c>
      <c r="AF337">
        <v>2</v>
      </c>
      <c r="AG337">
        <v>4</v>
      </c>
      <c r="AH337">
        <v>3</v>
      </c>
      <c r="AI337">
        <v>0</v>
      </c>
      <c r="AJ337">
        <v>2</v>
      </c>
    </row>
    <row r="338" spans="1:36" x14ac:dyDescent="0.3">
      <c r="A338">
        <v>29</v>
      </c>
      <c r="B338" t="s">
        <v>35</v>
      </c>
      <c r="C338" s="6">
        <f t="shared" si="5"/>
        <v>1</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t="s">
        <v>35</v>
      </c>
      <c r="Y338">
        <v>11</v>
      </c>
      <c r="Z338">
        <v>3</v>
      </c>
      <c r="AA338">
        <v>4</v>
      </c>
      <c r="AB338">
        <v>80</v>
      </c>
      <c r="AC338">
        <v>0</v>
      </c>
      <c r="AD338">
        <v>7</v>
      </c>
      <c r="AE338">
        <v>4</v>
      </c>
      <c r="AF338">
        <v>2</v>
      </c>
      <c r="AG338">
        <v>7</v>
      </c>
      <c r="AH338">
        <v>7</v>
      </c>
      <c r="AI338">
        <v>0</v>
      </c>
      <c r="AJ338">
        <v>7</v>
      </c>
    </row>
    <row r="339" spans="1:36" x14ac:dyDescent="0.3">
      <c r="A339">
        <v>29</v>
      </c>
      <c r="B339" t="s">
        <v>43</v>
      </c>
      <c r="C339" s="6">
        <f t="shared" si="5"/>
        <v>0</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t="s">
        <v>43</v>
      </c>
      <c r="Y339">
        <v>17</v>
      </c>
      <c r="Z339">
        <v>3</v>
      </c>
      <c r="AA339">
        <v>3</v>
      </c>
      <c r="AB339">
        <v>80</v>
      </c>
      <c r="AC339">
        <v>0</v>
      </c>
      <c r="AD339">
        <v>4</v>
      </c>
      <c r="AE339">
        <v>2</v>
      </c>
      <c r="AF339">
        <v>3</v>
      </c>
      <c r="AG339">
        <v>3</v>
      </c>
      <c r="AH339">
        <v>2</v>
      </c>
      <c r="AI339">
        <v>2</v>
      </c>
      <c r="AJ339">
        <v>2</v>
      </c>
    </row>
    <row r="340" spans="1:36" x14ac:dyDescent="0.3">
      <c r="A340">
        <v>30</v>
      </c>
      <c r="B340" t="s">
        <v>43</v>
      </c>
      <c r="C340" s="6">
        <f t="shared" si="5"/>
        <v>0</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t="s">
        <v>43</v>
      </c>
      <c r="Y340">
        <v>13</v>
      </c>
      <c r="Z340">
        <v>3</v>
      </c>
      <c r="AA340">
        <v>3</v>
      </c>
      <c r="AB340">
        <v>80</v>
      </c>
      <c r="AC340">
        <v>3</v>
      </c>
      <c r="AD340">
        <v>10</v>
      </c>
      <c r="AE340">
        <v>2</v>
      </c>
      <c r="AF340">
        <v>3</v>
      </c>
      <c r="AG340">
        <v>10</v>
      </c>
      <c r="AH340">
        <v>9</v>
      </c>
      <c r="AI340">
        <v>1</v>
      </c>
      <c r="AJ340">
        <v>2</v>
      </c>
    </row>
    <row r="341" spans="1:36" x14ac:dyDescent="0.3">
      <c r="A341">
        <v>27</v>
      </c>
      <c r="B341" t="s">
        <v>43</v>
      </c>
      <c r="C341" s="6">
        <f t="shared" si="5"/>
        <v>0</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t="s">
        <v>43</v>
      </c>
      <c r="Y341">
        <v>18</v>
      </c>
      <c r="Z341">
        <v>3</v>
      </c>
      <c r="AA341">
        <v>1</v>
      </c>
      <c r="AB341">
        <v>80</v>
      </c>
      <c r="AC341">
        <v>1</v>
      </c>
      <c r="AD341">
        <v>8</v>
      </c>
      <c r="AE341">
        <v>3</v>
      </c>
      <c r="AF341">
        <v>3</v>
      </c>
      <c r="AG341">
        <v>8</v>
      </c>
      <c r="AH341">
        <v>7</v>
      </c>
      <c r="AI341">
        <v>0</v>
      </c>
      <c r="AJ341">
        <v>7</v>
      </c>
    </row>
    <row r="342" spans="1:36" x14ac:dyDescent="0.3">
      <c r="A342">
        <v>37</v>
      </c>
      <c r="B342" t="s">
        <v>43</v>
      </c>
      <c r="C342" s="6">
        <f t="shared" si="5"/>
        <v>0</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t="s">
        <v>43</v>
      </c>
      <c r="Y342">
        <v>16</v>
      </c>
      <c r="Z342">
        <v>3</v>
      </c>
      <c r="AA342">
        <v>3</v>
      </c>
      <c r="AB342">
        <v>80</v>
      </c>
      <c r="AC342">
        <v>2</v>
      </c>
      <c r="AD342">
        <v>8</v>
      </c>
      <c r="AE342">
        <v>2</v>
      </c>
      <c r="AF342">
        <v>2</v>
      </c>
      <c r="AG342">
        <v>6</v>
      </c>
      <c r="AH342">
        <v>2</v>
      </c>
      <c r="AI342">
        <v>0</v>
      </c>
      <c r="AJ342">
        <v>4</v>
      </c>
    </row>
    <row r="343" spans="1:36" x14ac:dyDescent="0.3">
      <c r="A343">
        <v>38</v>
      </c>
      <c r="B343" t="s">
        <v>43</v>
      </c>
      <c r="C343" s="6">
        <f t="shared" si="5"/>
        <v>0</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t="s">
        <v>35</v>
      </c>
      <c r="Y343">
        <v>14</v>
      </c>
      <c r="Z343">
        <v>3</v>
      </c>
      <c r="AA343">
        <v>2</v>
      </c>
      <c r="AB343">
        <v>80</v>
      </c>
      <c r="AC343">
        <v>1</v>
      </c>
      <c r="AD343">
        <v>12</v>
      </c>
      <c r="AE343">
        <v>3</v>
      </c>
      <c r="AF343">
        <v>3</v>
      </c>
      <c r="AG343">
        <v>11</v>
      </c>
      <c r="AH343">
        <v>10</v>
      </c>
      <c r="AI343">
        <v>2</v>
      </c>
      <c r="AJ343">
        <v>9</v>
      </c>
    </row>
    <row r="344" spans="1:36" x14ac:dyDescent="0.3">
      <c r="A344">
        <v>31</v>
      </c>
      <c r="B344" t="s">
        <v>43</v>
      </c>
      <c r="C344" s="6">
        <f t="shared" si="5"/>
        <v>0</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t="s">
        <v>35</v>
      </c>
      <c r="Y344">
        <v>14</v>
      </c>
      <c r="Z344">
        <v>3</v>
      </c>
      <c r="AA344">
        <v>3</v>
      </c>
      <c r="AB344">
        <v>80</v>
      </c>
      <c r="AC344">
        <v>0</v>
      </c>
      <c r="AD344">
        <v>11</v>
      </c>
      <c r="AE344">
        <v>2</v>
      </c>
      <c r="AF344">
        <v>2</v>
      </c>
      <c r="AG344">
        <v>11</v>
      </c>
      <c r="AH344">
        <v>9</v>
      </c>
      <c r="AI344">
        <v>4</v>
      </c>
      <c r="AJ344">
        <v>10</v>
      </c>
    </row>
    <row r="345" spans="1:36" x14ac:dyDescent="0.3">
      <c r="A345">
        <v>29</v>
      </c>
      <c r="B345" t="s">
        <v>43</v>
      </c>
      <c r="C345" s="6">
        <f t="shared" si="5"/>
        <v>0</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t="s">
        <v>35</v>
      </c>
      <c r="Y345">
        <v>14</v>
      </c>
      <c r="Z345">
        <v>3</v>
      </c>
      <c r="AA345">
        <v>1</v>
      </c>
      <c r="AB345">
        <v>80</v>
      </c>
      <c r="AC345">
        <v>2</v>
      </c>
      <c r="AD345">
        <v>7</v>
      </c>
      <c r="AE345">
        <v>2</v>
      </c>
      <c r="AF345">
        <v>3</v>
      </c>
      <c r="AG345">
        <v>7</v>
      </c>
      <c r="AH345">
        <v>7</v>
      </c>
      <c r="AI345">
        <v>1</v>
      </c>
      <c r="AJ345">
        <v>7</v>
      </c>
    </row>
    <row r="346" spans="1:36" x14ac:dyDescent="0.3">
      <c r="A346">
        <v>35</v>
      </c>
      <c r="B346" t="s">
        <v>43</v>
      </c>
      <c r="C346" s="6">
        <f t="shared" si="5"/>
        <v>0</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t="s">
        <v>43</v>
      </c>
      <c r="Y346">
        <v>13</v>
      </c>
      <c r="Z346">
        <v>3</v>
      </c>
      <c r="AA346">
        <v>4</v>
      </c>
      <c r="AB346">
        <v>80</v>
      </c>
      <c r="AC346">
        <v>0</v>
      </c>
      <c r="AD346">
        <v>17</v>
      </c>
      <c r="AE346">
        <v>5</v>
      </c>
      <c r="AF346">
        <v>3</v>
      </c>
      <c r="AG346">
        <v>16</v>
      </c>
      <c r="AH346">
        <v>6</v>
      </c>
      <c r="AI346">
        <v>0</v>
      </c>
      <c r="AJ346">
        <v>13</v>
      </c>
    </row>
    <row r="347" spans="1:36" x14ac:dyDescent="0.3">
      <c r="A347">
        <v>23</v>
      </c>
      <c r="B347" t="s">
        <v>43</v>
      </c>
      <c r="C347" s="6">
        <f t="shared" si="5"/>
        <v>0</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t="s">
        <v>43</v>
      </c>
      <c r="Y347">
        <v>12</v>
      </c>
      <c r="Z347">
        <v>3</v>
      </c>
      <c r="AA347">
        <v>3</v>
      </c>
      <c r="AB347">
        <v>80</v>
      </c>
      <c r="AC347">
        <v>2</v>
      </c>
      <c r="AD347">
        <v>4</v>
      </c>
      <c r="AE347">
        <v>2</v>
      </c>
      <c r="AF347">
        <v>2</v>
      </c>
      <c r="AG347">
        <v>4</v>
      </c>
      <c r="AH347">
        <v>2</v>
      </c>
      <c r="AI347">
        <v>0</v>
      </c>
      <c r="AJ347">
        <v>2</v>
      </c>
    </row>
    <row r="348" spans="1:36" x14ac:dyDescent="0.3">
      <c r="A348">
        <v>41</v>
      </c>
      <c r="B348" t="s">
        <v>43</v>
      </c>
      <c r="C348" s="6">
        <f t="shared" si="5"/>
        <v>0</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t="s">
        <v>35</v>
      </c>
      <c r="Y348">
        <v>15</v>
      </c>
      <c r="Z348">
        <v>3</v>
      </c>
      <c r="AA348">
        <v>4</v>
      </c>
      <c r="AB348">
        <v>80</v>
      </c>
      <c r="AC348">
        <v>0</v>
      </c>
      <c r="AD348">
        <v>8</v>
      </c>
      <c r="AE348">
        <v>3</v>
      </c>
      <c r="AF348">
        <v>3</v>
      </c>
      <c r="AG348">
        <v>5</v>
      </c>
      <c r="AH348">
        <v>4</v>
      </c>
      <c r="AI348">
        <v>1</v>
      </c>
      <c r="AJ348">
        <v>2</v>
      </c>
    </row>
    <row r="349" spans="1:36" x14ac:dyDescent="0.3">
      <c r="A349">
        <v>47</v>
      </c>
      <c r="B349" t="s">
        <v>43</v>
      </c>
      <c r="C349" s="6">
        <f t="shared" si="5"/>
        <v>0</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t="s">
        <v>43</v>
      </c>
      <c r="Y349">
        <v>19</v>
      </c>
      <c r="Z349">
        <v>3</v>
      </c>
      <c r="AA349">
        <v>1</v>
      </c>
      <c r="AB349">
        <v>80</v>
      </c>
      <c r="AC349">
        <v>0</v>
      </c>
      <c r="AD349">
        <v>5</v>
      </c>
      <c r="AE349">
        <v>3</v>
      </c>
      <c r="AF349">
        <v>3</v>
      </c>
      <c r="AG349">
        <v>0</v>
      </c>
      <c r="AH349">
        <v>0</v>
      </c>
      <c r="AI349">
        <v>0</v>
      </c>
      <c r="AJ349">
        <v>0</v>
      </c>
    </row>
    <row r="350" spans="1:36" x14ac:dyDescent="0.3">
      <c r="A350">
        <v>42</v>
      </c>
      <c r="B350" t="s">
        <v>43</v>
      </c>
      <c r="C350" s="6">
        <f t="shared" si="5"/>
        <v>0</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t="s">
        <v>43</v>
      </c>
      <c r="Y350">
        <v>14</v>
      </c>
      <c r="Z350">
        <v>3</v>
      </c>
      <c r="AA350">
        <v>2</v>
      </c>
      <c r="AB350">
        <v>80</v>
      </c>
      <c r="AC350">
        <v>0</v>
      </c>
      <c r="AD350">
        <v>16</v>
      </c>
      <c r="AE350">
        <v>2</v>
      </c>
      <c r="AF350">
        <v>3</v>
      </c>
      <c r="AG350">
        <v>1</v>
      </c>
      <c r="AH350">
        <v>0</v>
      </c>
      <c r="AI350">
        <v>0</v>
      </c>
      <c r="AJ350">
        <v>0</v>
      </c>
    </row>
    <row r="351" spans="1:36" x14ac:dyDescent="0.3">
      <c r="A351">
        <v>29</v>
      </c>
      <c r="B351" t="s">
        <v>43</v>
      </c>
      <c r="C351" s="6">
        <f t="shared" si="5"/>
        <v>0</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t="s">
        <v>43</v>
      </c>
      <c r="Y351">
        <v>14</v>
      </c>
      <c r="Z351">
        <v>3</v>
      </c>
      <c r="AA351">
        <v>1</v>
      </c>
      <c r="AB351">
        <v>80</v>
      </c>
      <c r="AC351">
        <v>1</v>
      </c>
      <c r="AD351">
        <v>4</v>
      </c>
      <c r="AE351">
        <v>3</v>
      </c>
      <c r="AF351">
        <v>2</v>
      </c>
      <c r="AG351">
        <v>4</v>
      </c>
      <c r="AH351">
        <v>3</v>
      </c>
      <c r="AI351">
        <v>0</v>
      </c>
      <c r="AJ351">
        <v>2</v>
      </c>
    </row>
    <row r="352" spans="1:36" x14ac:dyDescent="0.3">
      <c r="A352">
        <v>42</v>
      </c>
      <c r="B352" t="s">
        <v>43</v>
      </c>
      <c r="C352" s="6">
        <f t="shared" si="5"/>
        <v>0</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t="s">
        <v>35</v>
      </c>
      <c r="Y352">
        <v>11</v>
      </c>
      <c r="Z352">
        <v>3</v>
      </c>
      <c r="AA352">
        <v>3</v>
      </c>
      <c r="AB352">
        <v>80</v>
      </c>
      <c r="AC352">
        <v>1</v>
      </c>
      <c r="AD352">
        <v>4</v>
      </c>
      <c r="AE352">
        <v>5</v>
      </c>
      <c r="AF352">
        <v>3</v>
      </c>
      <c r="AG352">
        <v>3</v>
      </c>
      <c r="AH352">
        <v>2</v>
      </c>
      <c r="AI352">
        <v>1</v>
      </c>
      <c r="AJ352">
        <v>0</v>
      </c>
    </row>
    <row r="353" spans="1:36" x14ac:dyDescent="0.3">
      <c r="A353">
        <v>32</v>
      </c>
      <c r="B353" t="s">
        <v>43</v>
      </c>
      <c r="C353" s="6">
        <f t="shared" si="5"/>
        <v>0</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t="s">
        <v>43</v>
      </c>
      <c r="Y353">
        <v>13</v>
      </c>
      <c r="Z353">
        <v>3</v>
      </c>
      <c r="AA353">
        <v>3</v>
      </c>
      <c r="AB353">
        <v>80</v>
      </c>
      <c r="AC353">
        <v>1</v>
      </c>
      <c r="AD353">
        <v>8</v>
      </c>
      <c r="AE353">
        <v>4</v>
      </c>
      <c r="AF353">
        <v>3</v>
      </c>
      <c r="AG353">
        <v>8</v>
      </c>
      <c r="AH353">
        <v>0</v>
      </c>
      <c r="AI353">
        <v>0</v>
      </c>
      <c r="AJ353">
        <v>7</v>
      </c>
    </row>
    <row r="354" spans="1:36" x14ac:dyDescent="0.3">
      <c r="A354">
        <v>48</v>
      </c>
      <c r="B354" t="s">
        <v>43</v>
      </c>
      <c r="C354" s="6">
        <f t="shared" si="5"/>
        <v>0</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t="s">
        <v>43</v>
      </c>
      <c r="Y354">
        <v>21</v>
      </c>
      <c r="Z354">
        <v>4</v>
      </c>
      <c r="AA354">
        <v>2</v>
      </c>
      <c r="AB354">
        <v>80</v>
      </c>
      <c r="AC354">
        <v>1</v>
      </c>
      <c r="AD354">
        <v>15</v>
      </c>
      <c r="AE354">
        <v>3</v>
      </c>
      <c r="AF354">
        <v>1</v>
      </c>
      <c r="AG354">
        <v>0</v>
      </c>
      <c r="AH354">
        <v>0</v>
      </c>
      <c r="AI354">
        <v>0</v>
      </c>
      <c r="AJ354">
        <v>0</v>
      </c>
    </row>
    <row r="355" spans="1:36" x14ac:dyDescent="0.3">
      <c r="A355">
        <v>37</v>
      </c>
      <c r="B355" t="s">
        <v>43</v>
      </c>
      <c r="C355" s="6">
        <f t="shared" si="5"/>
        <v>0</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t="s">
        <v>35</v>
      </c>
      <c r="Y355">
        <v>13</v>
      </c>
      <c r="Z355">
        <v>3</v>
      </c>
      <c r="AA355">
        <v>1</v>
      </c>
      <c r="AB355">
        <v>80</v>
      </c>
      <c r="AC355">
        <v>2</v>
      </c>
      <c r="AD355">
        <v>13</v>
      </c>
      <c r="AE355">
        <v>2</v>
      </c>
      <c r="AF355">
        <v>3</v>
      </c>
      <c r="AG355">
        <v>7</v>
      </c>
      <c r="AH355">
        <v>7</v>
      </c>
      <c r="AI355">
        <v>6</v>
      </c>
      <c r="AJ355">
        <v>7</v>
      </c>
    </row>
    <row r="356" spans="1:36" x14ac:dyDescent="0.3">
      <c r="A356">
        <v>30</v>
      </c>
      <c r="B356" t="s">
        <v>43</v>
      </c>
      <c r="C356" s="6">
        <f t="shared" si="5"/>
        <v>0</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t="s">
        <v>35</v>
      </c>
      <c r="Y356">
        <v>12</v>
      </c>
      <c r="Z356">
        <v>3</v>
      </c>
      <c r="AA356">
        <v>2</v>
      </c>
      <c r="AB356">
        <v>80</v>
      </c>
      <c r="AC356">
        <v>1</v>
      </c>
      <c r="AD356">
        <v>4</v>
      </c>
      <c r="AE356">
        <v>2</v>
      </c>
      <c r="AF356">
        <v>4</v>
      </c>
      <c r="AG356">
        <v>2</v>
      </c>
      <c r="AH356">
        <v>2</v>
      </c>
      <c r="AI356">
        <v>2</v>
      </c>
      <c r="AJ356">
        <v>2</v>
      </c>
    </row>
    <row r="357" spans="1:36" x14ac:dyDescent="0.3">
      <c r="A357">
        <v>26</v>
      </c>
      <c r="B357" t="s">
        <v>43</v>
      </c>
      <c r="C357" s="6">
        <f t="shared" si="5"/>
        <v>0</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t="s">
        <v>43</v>
      </c>
      <c r="Y357">
        <v>17</v>
      </c>
      <c r="Z357">
        <v>3</v>
      </c>
      <c r="AA357">
        <v>2</v>
      </c>
      <c r="AB357">
        <v>80</v>
      </c>
      <c r="AC357">
        <v>1</v>
      </c>
      <c r="AD357">
        <v>8</v>
      </c>
      <c r="AE357">
        <v>3</v>
      </c>
      <c r="AF357">
        <v>3</v>
      </c>
      <c r="AG357">
        <v>8</v>
      </c>
      <c r="AH357">
        <v>7</v>
      </c>
      <c r="AI357">
        <v>7</v>
      </c>
      <c r="AJ357">
        <v>7</v>
      </c>
    </row>
    <row r="358" spans="1:36" x14ac:dyDescent="0.3">
      <c r="A358">
        <v>42</v>
      </c>
      <c r="B358" t="s">
        <v>43</v>
      </c>
      <c r="C358" s="6">
        <f t="shared" si="5"/>
        <v>0</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t="s">
        <v>43</v>
      </c>
      <c r="Y358">
        <v>23</v>
      </c>
      <c r="Z358">
        <v>4</v>
      </c>
      <c r="AA358">
        <v>2</v>
      </c>
      <c r="AB358">
        <v>80</v>
      </c>
      <c r="AC358">
        <v>0</v>
      </c>
      <c r="AD358">
        <v>14</v>
      </c>
      <c r="AE358">
        <v>6</v>
      </c>
      <c r="AF358">
        <v>3</v>
      </c>
      <c r="AG358">
        <v>1</v>
      </c>
      <c r="AH358">
        <v>0</v>
      </c>
      <c r="AI358">
        <v>0</v>
      </c>
      <c r="AJ358">
        <v>0</v>
      </c>
    </row>
    <row r="359" spans="1:36" x14ac:dyDescent="0.3">
      <c r="A359">
        <v>21</v>
      </c>
      <c r="B359" t="s">
        <v>35</v>
      </c>
      <c r="C359" s="6">
        <f t="shared" si="5"/>
        <v>1</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t="s">
        <v>35</v>
      </c>
      <c r="Y359">
        <v>11</v>
      </c>
      <c r="Z359">
        <v>3</v>
      </c>
      <c r="AA359">
        <v>3</v>
      </c>
      <c r="AB359">
        <v>80</v>
      </c>
      <c r="AC359">
        <v>0</v>
      </c>
      <c r="AD359">
        <v>3</v>
      </c>
      <c r="AE359">
        <v>3</v>
      </c>
      <c r="AF359">
        <v>3</v>
      </c>
      <c r="AG359">
        <v>3</v>
      </c>
      <c r="AH359">
        <v>2</v>
      </c>
      <c r="AI359">
        <v>1</v>
      </c>
      <c r="AJ359">
        <v>2</v>
      </c>
    </row>
    <row r="360" spans="1:36" x14ac:dyDescent="0.3">
      <c r="A360">
        <v>36</v>
      </c>
      <c r="B360" t="s">
        <v>43</v>
      </c>
      <c r="C360" s="6">
        <f t="shared" si="5"/>
        <v>0</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t="s">
        <v>43</v>
      </c>
      <c r="Y360">
        <v>15</v>
      </c>
      <c r="Z360">
        <v>3</v>
      </c>
      <c r="AA360">
        <v>2</v>
      </c>
      <c r="AB360">
        <v>80</v>
      </c>
      <c r="AC360">
        <v>0</v>
      </c>
      <c r="AD360">
        <v>7</v>
      </c>
      <c r="AE360">
        <v>6</v>
      </c>
      <c r="AF360">
        <v>3</v>
      </c>
      <c r="AG360">
        <v>1</v>
      </c>
      <c r="AH360">
        <v>0</v>
      </c>
      <c r="AI360">
        <v>0</v>
      </c>
      <c r="AJ360">
        <v>0</v>
      </c>
    </row>
    <row r="361" spans="1:36" x14ac:dyDescent="0.3">
      <c r="A361">
        <v>36</v>
      </c>
      <c r="B361" t="s">
        <v>43</v>
      </c>
      <c r="C361" s="6">
        <f t="shared" si="5"/>
        <v>0</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t="s">
        <v>43</v>
      </c>
      <c r="Y361">
        <v>11</v>
      </c>
      <c r="Z361">
        <v>3</v>
      </c>
      <c r="AA361">
        <v>1</v>
      </c>
      <c r="AB361">
        <v>80</v>
      </c>
      <c r="AC361">
        <v>1</v>
      </c>
      <c r="AD361">
        <v>16</v>
      </c>
      <c r="AE361">
        <v>2</v>
      </c>
      <c r="AF361">
        <v>3</v>
      </c>
      <c r="AG361">
        <v>13</v>
      </c>
      <c r="AH361">
        <v>9</v>
      </c>
      <c r="AI361">
        <v>1</v>
      </c>
      <c r="AJ361">
        <v>12</v>
      </c>
    </row>
    <row r="362" spans="1:36" x14ac:dyDescent="0.3">
      <c r="A362">
        <v>57</v>
      </c>
      <c r="B362" t="s">
        <v>43</v>
      </c>
      <c r="C362" s="6">
        <f t="shared" si="5"/>
        <v>0</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t="s">
        <v>43</v>
      </c>
      <c r="Y362">
        <v>11</v>
      </c>
      <c r="Z362">
        <v>3</v>
      </c>
      <c r="AA362">
        <v>3</v>
      </c>
      <c r="AB362">
        <v>80</v>
      </c>
      <c r="AC362">
        <v>0</v>
      </c>
      <c r="AD362">
        <v>15</v>
      </c>
      <c r="AE362">
        <v>2</v>
      </c>
      <c r="AF362">
        <v>3</v>
      </c>
      <c r="AG362">
        <v>3</v>
      </c>
      <c r="AH362">
        <v>2</v>
      </c>
      <c r="AI362">
        <v>1</v>
      </c>
      <c r="AJ362">
        <v>2</v>
      </c>
    </row>
    <row r="363" spans="1:36" x14ac:dyDescent="0.3">
      <c r="A363">
        <v>40</v>
      </c>
      <c r="B363" t="s">
        <v>43</v>
      </c>
      <c r="C363" s="6">
        <f t="shared" si="5"/>
        <v>0</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t="s">
        <v>35</v>
      </c>
      <c r="Y363">
        <v>13</v>
      </c>
      <c r="Z363">
        <v>3</v>
      </c>
      <c r="AA363">
        <v>3</v>
      </c>
      <c r="AB363">
        <v>80</v>
      </c>
      <c r="AC363">
        <v>1</v>
      </c>
      <c r="AD363">
        <v>10</v>
      </c>
      <c r="AE363">
        <v>3</v>
      </c>
      <c r="AF363">
        <v>3</v>
      </c>
      <c r="AG363">
        <v>7</v>
      </c>
      <c r="AH363">
        <v>7</v>
      </c>
      <c r="AI363">
        <v>1</v>
      </c>
      <c r="AJ363">
        <v>7</v>
      </c>
    </row>
    <row r="364" spans="1:36" x14ac:dyDescent="0.3">
      <c r="A364">
        <v>21</v>
      </c>
      <c r="B364" t="s">
        <v>43</v>
      </c>
      <c r="C364" s="6">
        <f t="shared" si="5"/>
        <v>0</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t="s">
        <v>43</v>
      </c>
      <c r="Y364">
        <v>24</v>
      </c>
      <c r="Z364">
        <v>4</v>
      </c>
      <c r="AA364">
        <v>3</v>
      </c>
      <c r="AB364">
        <v>80</v>
      </c>
      <c r="AC364">
        <v>0</v>
      </c>
      <c r="AD364">
        <v>3</v>
      </c>
      <c r="AE364">
        <v>3</v>
      </c>
      <c r="AF364">
        <v>2</v>
      </c>
      <c r="AG364">
        <v>3</v>
      </c>
      <c r="AH364">
        <v>2</v>
      </c>
      <c r="AI364">
        <v>2</v>
      </c>
      <c r="AJ364">
        <v>2</v>
      </c>
    </row>
    <row r="365" spans="1:36" x14ac:dyDescent="0.3">
      <c r="A365">
        <v>33</v>
      </c>
      <c r="B365" t="s">
        <v>35</v>
      </c>
      <c r="C365" s="6">
        <f t="shared" si="5"/>
        <v>1</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t="s">
        <v>35</v>
      </c>
      <c r="Y365">
        <v>13</v>
      </c>
      <c r="Z365">
        <v>3</v>
      </c>
      <c r="AA365">
        <v>2</v>
      </c>
      <c r="AB365">
        <v>80</v>
      </c>
      <c r="AC365">
        <v>0</v>
      </c>
      <c r="AD365">
        <v>1</v>
      </c>
      <c r="AE365">
        <v>2</v>
      </c>
      <c r="AF365">
        <v>3</v>
      </c>
      <c r="AG365">
        <v>1</v>
      </c>
      <c r="AH365">
        <v>0</v>
      </c>
      <c r="AI365">
        <v>0</v>
      </c>
      <c r="AJ365">
        <v>0</v>
      </c>
    </row>
    <row r="366" spans="1:36" x14ac:dyDescent="0.3">
      <c r="A366">
        <v>37</v>
      </c>
      <c r="B366" t="s">
        <v>43</v>
      </c>
      <c r="C366" s="6">
        <f t="shared" si="5"/>
        <v>0</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t="s">
        <v>43</v>
      </c>
      <c r="Y366">
        <v>20</v>
      </c>
      <c r="Z366">
        <v>4</v>
      </c>
      <c r="AA366">
        <v>2</v>
      </c>
      <c r="AB366">
        <v>80</v>
      </c>
      <c r="AC366">
        <v>1</v>
      </c>
      <c r="AD366">
        <v>17</v>
      </c>
      <c r="AE366">
        <v>3</v>
      </c>
      <c r="AF366">
        <v>3</v>
      </c>
      <c r="AG366">
        <v>5</v>
      </c>
      <c r="AH366">
        <v>4</v>
      </c>
      <c r="AI366">
        <v>0</v>
      </c>
      <c r="AJ366">
        <v>3</v>
      </c>
    </row>
    <row r="367" spans="1:36" x14ac:dyDescent="0.3">
      <c r="A367">
        <v>46</v>
      </c>
      <c r="B367" t="s">
        <v>43</v>
      </c>
      <c r="C367" s="6">
        <f t="shared" si="5"/>
        <v>0</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t="s">
        <v>43</v>
      </c>
      <c r="Y367">
        <v>14</v>
      </c>
      <c r="Z367">
        <v>3</v>
      </c>
      <c r="AA367">
        <v>3</v>
      </c>
      <c r="AB367">
        <v>80</v>
      </c>
      <c r="AC367">
        <v>0</v>
      </c>
      <c r="AD367">
        <v>7</v>
      </c>
      <c r="AE367">
        <v>2</v>
      </c>
      <c r="AF367">
        <v>4</v>
      </c>
      <c r="AG367">
        <v>1</v>
      </c>
      <c r="AH367">
        <v>0</v>
      </c>
      <c r="AI367">
        <v>0</v>
      </c>
      <c r="AJ367">
        <v>0</v>
      </c>
    </row>
    <row r="368" spans="1:36" x14ac:dyDescent="0.3">
      <c r="A368">
        <v>41</v>
      </c>
      <c r="B368" t="s">
        <v>35</v>
      </c>
      <c r="C368" s="6">
        <f t="shared" si="5"/>
        <v>1</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t="s">
        <v>43</v>
      </c>
      <c r="Y368">
        <v>18</v>
      </c>
      <c r="Z368">
        <v>3</v>
      </c>
      <c r="AA368">
        <v>3</v>
      </c>
      <c r="AB368">
        <v>80</v>
      </c>
      <c r="AC368">
        <v>0</v>
      </c>
      <c r="AD368">
        <v>8</v>
      </c>
      <c r="AE368">
        <v>5</v>
      </c>
      <c r="AF368">
        <v>3</v>
      </c>
      <c r="AG368">
        <v>8</v>
      </c>
      <c r="AH368">
        <v>7</v>
      </c>
      <c r="AI368">
        <v>7</v>
      </c>
      <c r="AJ368">
        <v>7</v>
      </c>
    </row>
    <row r="369" spans="1:36" x14ac:dyDescent="0.3">
      <c r="A369">
        <v>50</v>
      </c>
      <c r="B369" t="s">
        <v>43</v>
      </c>
      <c r="C369" s="6">
        <f t="shared" si="5"/>
        <v>0</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t="s">
        <v>43</v>
      </c>
      <c r="Y369">
        <v>15</v>
      </c>
      <c r="Z369">
        <v>3</v>
      </c>
      <c r="AA369">
        <v>4</v>
      </c>
      <c r="AB369">
        <v>80</v>
      </c>
      <c r="AC369">
        <v>0</v>
      </c>
      <c r="AD369">
        <v>20</v>
      </c>
      <c r="AE369">
        <v>2</v>
      </c>
      <c r="AF369">
        <v>3</v>
      </c>
      <c r="AG369">
        <v>4</v>
      </c>
      <c r="AH369">
        <v>3</v>
      </c>
      <c r="AI369">
        <v>1</v>
      </c>
      <c r="AJ369">
        <v>3</v>
      </c>
    </row>
    <row r="370" spans="1:36" x14ac:dyDescent="0.3">
      <c r="A370">
        <v>40</v>
      </c>
      <c r="B370" t="s">
        <v>35</v>
      </c>
      <c r="C370" s="6">
        <f t="shared" si="5"/>
        <v>1</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t="s">
        <v>35</v>
      </c>
      <c r="Y370">
        <v>12</v>
      </c>
      <c r="Z370">
        <v>3</v>
      </c>
      <c r="AA370">
        <v>1</v>
      </c>
      <c r="AB370">
        <v>80</v>
      </c>
      <c r="AC370">
        <v>2</v>
      </c>
      <c r="AD370">
        <v>8</v>
      </c>
      <c r="AE370">
        <v>6</v>
      </c>
      <c r="AF370">
        <v>3</v>
      </c>
      <c r="AG370">
        <v>6</v>
      </c>
      <c r="AH370">
        <v>4</v>
      </c>
      <c r="AI370">
        <v>1</v>
      </c>
      <c r="AJ370">
        <v>0</v>
      </c>
    </row>
    <row r="371" spans="1:36" x14ac:dyDescent="0.3">
      <c r="A371">
        <v>31</v>
      </c>
      <c r="B371" t="s">
        <v>43</v>
      </c>
      <c r="C371" s="6">
        <f t="shared" si="5"/>
        <v>0</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t="s">
        <v>35</v>
      </c>
      <c r="Y371">
        <v>16</v>
      </c>
      <c r="Z371">
        <v>3</v>
      </c>
      <c r="AA371">
        <v>4</v>
      </c>
      <c r="AB371">
        <v>80</v>
      </c>
      <c r="AC371">
        <v>0</v>
      </c>
      <c r="AD371">
        <v>3</v>
      </c>
      <c r="AE371">
        <v>5</v>
      </c>
      <c r="AF371">
        <v>3</v>
      </c>
      <c r="AG371">
        <v>2</v>
      </c>
      <c r="AH371">
        <v>2</v>
      </c>
      <c r="AI371">
        <v>2</v>
      </c>
      <c r="AJ371">
        <v>2</v>
      </c>
    </row>
    <row r="372" spans="1:36" x14ac:dyDescent="0.3">
      <c r="A372">
        <v>21</v>
      </c>
      <c r="B372" t="s">
        <v>35</v>
      </c>
      <c r="C372" s="6">
        <f t="shared" si="5"/>
        <v>1</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t="s">
        <v>43</v>
      </c>
      <c r="Y372">
        <v>15</v>
      </c>
      <c r="Z372">
        <v>3</v>
      </c>
      <c r="AA372">
        <v>4</v>
      </c>
      <c r="AB372">
        <v>80</v>
      </c>
      <c r="AC372">
        <v>0</v>
      </c>
      <c r="AD372">
        <v>1</v>
      </c>
      <c r="AE372">
        <v>0</v>
      </c>
      <c r="AF372">
        <v>3</v>
      </c>
      <c r="AG372">
        <v>1</v>
      </c>
      <c r="AH372">
        <v>0</v>
      </c>
      <c r="AI372">
        <v>0</v>
      </c>
      <c r="AJ372">
        <v>0</v>
      </c>
    </row>
    <row r="373" spans="1:36" x14ac:dyDescent="0.3">
      <c r="A373">
        <v>29</v>
      </c>
      <c r="B373" t="s">
        <v>43</v>
      </c>
      <c r="C373" s="6">
        <f t="shared" si="5"/>
        <v>0</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t="s">
        <v>43</v>
      </c>
      <c r="Y373">
        <v>16</v>
      </c>
      <c r="Z373">
        <v>3</v>
      </c>
      <c r="AA373">
        <v>4</v>
      </c>
      <c r="AB373">
        <v>80</v>
      </c>
      <c r="AC373">
        <v>0</v>
      </c>
      <c r="AD373">
        <v>6</v>
      </c>
      <c r="AE373">
        <v>4</v>
      </c>
      <c r="AF373">
        <v>3</v>
      </c>
      <c r="AG373">
        <v>3</v>
      </c>
      <c r="AH373">
        <v>2</v>
      </c>
      <c r="AI373">
        <v>1</v>
      </c>
      <c r="AJ373">
        <v>2</v>
      </c>
    </row>
    <row r="374" spans="1:36" x14ac:dyDescent="0.3">
      <c r="A374">
        <v>35</v>
      </c>
      <c r="B374" t="s">
        <v>43</v>
      </c>
      <c r="C374" s="6">
        <f t="shared" si="5"/>
        <v>0</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t="s">
        <v>43</v>
      </c>
      <c r="Y374">
        <v>19</v>
      </c>
      <c r="Z374">
        <v>3</v>
      </c>
      <c r="AA374">
        <v>3</v>
      </c>
      <c r="AB374">
        <v>80</v>
      </c>
      <c r="AC374">
        <v>0</v>
      </c>
      <c r="AD374">
        <v>10</v>
      </c>
      <c r="AE374">
        <v>5</v>
      </c>
      <c r="AF374">
        <v>3</v>
      </c>
      <c r="AG374">
        <v>1</v>
      </c>
      <c r="AH374">
        <v>1</v>
      </c>
      <c r="AI374">
        <v>0</v>
      </c>
      <c r="AJ374">
        <v>0</v>
      </c>
    </row>
    <row r="375" spans="1:36" x14ac:dyDescent="0.3">
      <c r="A375">
        <v>27</v>
      </c>
      <c r="B375" t="s">
        <v>43</v>
      </c>
      <c r="C375" s="6">
        <f t="shared" si="5"/>
        <v>0</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t="s">
        <v>43</v>
      </c>
      <c r="Y375">
        <v>11</v>
      </c>
      <c r="Z375">
        <v>3</v>
      </c>
      <c r="AA375">
        <v>2</v>
      </c>
      <c r="AB375">
        <v>80</v>
      </c>
      <c r="AC375">
        <v>1</v>
      </c>
      <c r="AD375">
        <v>5</v>
      </c>
      <c r="AE375">
        <v>2</v>
      </c>
      <c r="AF375">
        <v>3</v>
      </c>
      <c r="AG375">
        <v>5</v>
      </c>
      <c r="AH375">
        <v>2</v>
      </c>
      <c r="AI375">
        <v>0</v>
      </c>
      <c r="AJ375">
        <v>4</v>
      </c>
    </row>
    <row r="376" spans="1:36" x14ac:dyDescent="0.3">
      <c r="A376">
        <v>28</v>
      </c>
      <c r="B376" t="s">
        <v>43</v>
      </c>
      <c r="C376" s="6">
        <f t="shared" si="5"/>
        <v>0</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t="s">
        <v>43</v>
      </c>
      <c r="Y376">
        <v>16</v>
      </c>
      <c r="Z376">
        <v>3</v>
      </c>
      <c r="AA376">
        <v>4</v>
      </c>
      <c r="AB376">
        <v>80</v>
      </c>
      <c r="AC376">
        <v>0</v>
      </c>
      <c r="AD376">
        <v>7</v>
      </c>
      <c r="AE376">
        <v>1</v>
      </c>
      <c r="AF376">
        <v>3</v>
      </c>
      <c r="AG376">
        <v>7</v>
      </c>
      <c r="AH376">
        <v>5</v>
      </c>
      <c r="AI376">
        <v>0</v>
      </c>
      <c r="AJ376">
        <v>7</v>
      </c>
    </row>
    <row r="377" spans="1:36" x14ac:dyDescent="0.3">
      <c r="A377">
        <v>49</v>
      </c>
      <c r="B377" t="s">
        <v>43</v>
      </c>
      <c r="C377" s="6">
        <f t="shared" si="5"/>
        <v>0</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t="s">
        <v>43</v>
      </c>
      <c r="Y377">
        <v>24</v>
      </c>
      <c r="Z377">
        <v>4</v>
      </c>
      <c r="AA377">
        <v>3</v>
      </c>
      <c r="AB377">
        <v>80</v>
      </c>
      <c r="AC377">
        <v>0</v>
      </c>
      <c r="AD377">
        <v>26</v>
      </c>
      <c r="AE377">
        <v>2</v>
      </c>
      <c r="AF377">
        <v>3</v>
      </c>
      <c r="AG377">
        <v>5</v>
      </c>
      <c r="AH377">
        <v>2</v>
      </c>
      <c r="AI377">
        <v>0</v>
      </c>
      <c r="AJ377">
        <v>0</v>
      </c>
    </row>
    <row r="378" spans="1:36" x14ac:dyDescent="0.3">
      <c r="A378">
        <v>51</v>
      </c>
      <c r="B378" t="s">
        <v>43</v>
      </c>
      <c r="C378" s="6">
        <f t="shared" si="5"/>
        <v>0</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t="s">
        <v>43</v>
      </c>
      <c r="Y378">
        <v>11</v>
      </c>
      <c r="Z378">
        <v>3</v>
      </c>
      <c r="AA378">
        <v>3</v>
      </c>
      <c r="AB378">
        <v>80</v>
      </c>
      <c r="AC378">
        <v>1</v>
      </c>
      <c r="AD378">
        <v>18</v>
      </c>
      <c r="AE378">
        <v>2</v>
      </c>
      <c r="AF378">
        <v>2</v>
      </c>
      <c r="AG378">
        <v>7</v>
      </c>
      <c r="AH378">
        <v>7</v>
      </c>
      <c r="AI378">
        <v>0</v>
      </c>
      <c r="AJ378">
        <v>7</v>
      </c>
    </row>
    <row r="379" spans="1:36" x14ac:dyDescent="0.3">
      <c r="A379">
        <v>36</v>
      </c>
      <c r="B379" t="s">
        <v>43</v>
      </c>
      <c r="C379" s="6">
        <f t="shared" si="5"/>
        <v>0</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t="s">
        <v>43</v>
      </c>
      <c r="Y379">
        <v>13</v>
      </c>
      <c r="Z379">
        <v>3</v>
      </c>
      <c r="AA379">
        <v>2</v>
      </c>
      <c r="AB379">
        <v>80</v>
      </c>
      <c r="AC379">
        <v>1</v>
      </c>
      <c r="AD379">
        <v>6</v>
      </c>
      <c r="AE379">
        <v>3</v>
      </c>
      <c r="AF379">
        <v>3</v>
      </c>
      <c r="AG379">
        <v>2</v>
      </c>
      <c r="AH379">
        <v>2</v>
      </c>
      <c r="AI379">
        <v>2</v>
      </c>
      <c r="AJ379">
        <v>2</v>
      </c>
    </row>
    <row r="380" spans="1:36" x14ac:dyDescent="0.3">
      <c r="A380">
        <v>34</v>
      </c>
      <c r="B380" t="s">
        <v>35</v>
      </c>
      <c r="C380" s="6">
        <f t="shared" si="5"/>
        <v>1</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t="s">
        <v>35</v>
      </c>
      <c r="Y380">
        <v>13</v>
      </c>
      <c r="Z380">
        <v>3</v>
      </c>
      <c r="AA380">
        <v>2</v>
      </c>
      <c r="AB380">
        <v>80</v>
      </c>
      <c r="AC380">
        <v>0</v>
      </c>
      <c r="AD380">
        <v>9</v>
      </c>
      <c r="AE380">
        <v>3</v>
      </c>
      <c r="AF380">
        <v>2</v>
      </c>
      <c r="AG380">
        <v>5</v>
      </c>
      <c r="AH380">
        <v>2</v>
      </c>
      <c r="AI380">
        <v>0</v>
      </c>
      <c r="AJ380">
        <v>4</v>
      </c>
    </row>
    <row r="381" spans="1:36" x14ac:dyDescent="0.3">
      <c r="A381">
        <v>55</v>
      </c>
      <c r="B381" t="s">
        <v>43</v>
      </c>
      <c r="C381" s="6">
        <f t="shared" si="5"/>
        <v>0</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t="s">
        <v>35</v>
      </c>
      <c r="Y381">
        <v>13</v>
      </c>
      <c r="Z381">
        <v>3</v>
      </c>
      <c r="AA381">
        <v>3</v>
      </c>
      <c r="AB381">
        <v>80</v>
      </c>
      <c r="AC381">
        <v>0</v>
      </c>
      <c r="AD381">
        <v>30</v>
      </c>
      <c r="AE381">
        <v>2</v>
      </c>
      <c r="AF381">
        <v>3</v>
      </c>
      <c r="AG381">
        <v>5</v>
      </c>
      <c r="AH381">
        <v>4</v>
      </c>
      <c r="AI381">
        <v>1</v>
      </c>
      <c r="AJ381">
        <v>2</v>
      </c>
    </row>
    <row r="382" spans="1:36" x14ac:dyDescent="0.3">
      <c r="A382">
        <v>24</v>
      </c>
      <c r="B382" t="s">
        <v>43</v>
      </c>
      <c r="C382" s="6">
        <f t="shared" si="5"/>
        <v>0</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t="s">
        <v>35</v>
      </c>
      <c r="Y382">
        <v>12</v>
      </c>
      <c r="Z382">
        <v>3</v>
      </c>
      <c r="AA382">
        <v>4</v>
      </c>
      <c r="AB382">
        <v>80</v>
      </c>
      <c r="AC382">
        <v>1</v>
      </c>
      <c r="AD382">
        <v>5</v>
      </c>
      <c r="AE382">
        <v>2</v>
      </c>
      <c r="AF382">
        <v>4</v>
      </c>
      <c r="AG382">
        <v>5</v>
      </c>
      <c r="AH382">
        <v>2</v>
      </c>
      <c r="AI382">
        <v>0</v>
      </c>
      <c r="AJ382">
        <v>3</v>
      </c>
    </row>
    <row r="383" spans="1:36" x14ac:dyDescent="0.3">
      <c r="A383">
        <v>30</v>
      </c>
      <c r="B383" t="s">
        <v>43</v>
      </c>
      <c r="C383" s="6">
        <f t="shared" si="5"/>
        <v>0</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t="s">
        <v>43</v>
      </c>
      <c r="Y383">
        <v>18</v>
      </c>
      <c r="Z383">
        <v>3</v>
      </c>
      <c r="AA383">
        <v>1</v>
      </c>
      <c r="AB383">
        <v>80</v>
      </c>
      <c r="AC383">
        <v>1</v>
      </c>
      <c r="AD383">
        <v>1</v>
      </c>
      <c r="AE383">
        <v>3</v>
      </c>
      <c r="AF383">
        <v>3</v>
      </c>
      <c r="AG383">
        <v>1</v>
      </c>
      <c r="AH383">
        <v>0</v>
      </c>
      <c r="AI383">
        <v>0</v>
      </c>
      <c r="AJ383">
        <v>0</v>
      </c>
    </row>
    <row r="384" spans="1:36" x14ac:dyDescent="0.3">
      <c r="A384">
        <v>26</v>
      </c>
      <c r="B384" t="s">
        <v>35</v>
      </c>
      <c r="C384" s="6">
        <f t="shared" si="5"/>
        <v>1</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t="s">
        <v>43</v>
      </c>
      <c r="Y384">
        <v>22</v>
      </c>
      <c r="Z384">
        <v>4</v>
      </c>
      <c r="AA384">
        <v>3</v>
      </c>
      <c r="AB384">
        <v>80</v>
      </c>
      <c r="AC384">
        <v>0</v>
      </c>
      <c r="AD384">
        <v>7</v>
      </c>
      <c r="AE384">
        <v>2</v>
      </c>
      <c r="AF384">
        <v>3</v>
      </c>
      <c r="AG384">
        <v>6</v>
      </c>
      <c r="AH384">
        <v>4</v>
      </c>
      <c r="AI384">
        <v>0</v>
      </c>
      <c r="AJ384">
        <v>4</v>
      </c>
    </row>
    <row r="385" spans="1:36" x14ac:dyDescent="0.3">
      <c r="A385">
        <v>22</v>
      </c>
      <c r="B385" t="s">
        <v>43</v>
      </c>
      <c r="C385" s="6">
        <f t="shared" si="5"/>
        <v>0</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t="s">
        <v>43</v>
      </c>
      <c r="Y385">
        <v>13</v>
      </c>
      <c r="Z385">
        <v>3</v>
      </c>
      <c r="AA385">
        <v>4</v>
      </c>
      <c r="AB385">
        <v>80</v>
      </c>
      <c r="AC385">
        <v>1</v>
      </c>
      <c r="AD385">
        <v>2</v>
      </c>
      <c r="AE385">
        <v>1</v>
      </c>
      <c r="AF385">
        <v>3</v>
      </c>
      <c r="AG385">
        <v>2</v>
      </c>
      <c r="AH385">
        <v>1</v>
      </c>
      <c r="AI385">
        <v>1</v>
      </c>
      <c r="AJ385">
        <v>2</v>
      </c>
    </row>
    <row r="386" spans="1:36" x14ac:dyDescent="0.3">
      <c r="A386">
        <v>36</v>
      </c>
      <c r="B386" t="s">
        <v>43</v>
      </c>
      <c r="C386" s="6">
        <f t="shared" si="5"/>
        <v>0</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t="s">
        <v>43</v>
      </c>
      <c r="Y386">
        <v>13</v>
      </c>
      <c r="Z386">
        <v>3</v>
      </c>
      <c r="AA386">
        <v>2</v>
      </c>
      <c r="AB386">
        <v>80</v>
      </c>
      <c r="AC386">
        <v>2</v>
      </c>
      <c r="AD386">
        <v>10</v>
      </c>
      <c r="AE386">
        <v>2</v>
      </c>
      <c r="AF386">
        <v>3</v>
      </c>
      <c r="AG386">
        <v>10</v>
      </c>
      <c r="AH386">
        <v>9</v>
      </c>
      <c r="AI386">
        <v>9</v>
      </c>
      <c r="AJ386">
        <v>0</v>
      </c>
    </row>
    <row r="387" spans="1:36" x14ac:dyDescent="0.3">
      <c r="A387">
        <v>30</v>
      </c>
      <c r="B387" t="s">
        <v>35</v>
      </c>
      <c r="C387" s="6">
        <f t="shared" ref="C387:C450" si="6">IF(B387="Yes",1,0)</f>
        <v>1</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t="s">
        <v>35</v>
      </c>
      <c r="Y387">
        <v>23</v>
      </c>
      <c r="Z387">
        <v>4</v>
      </c>
      <c r="AA387">
        <v>3</v>
      </c>
      <c r="AB387">
        <v>80</v>
      </c>
      <c r="AC387">
        <v>0</v>
      </c>
      <c r="AD387">
        <v>3</v>
      </c>
      <c r="AE387">
        <v>4</v>
      </c>
      <c r="AF387">
        <v>3</v>
      </c>
      <c r="AG387">
        <v>1</v>
      </c>
      <c r="AH387">
        <v>0</v>
      </c>
      <c r="AI387">
        <v>0</v>
      </c>
      <c r="AJ387">
        <v>0</v>
      </c>
    </row>
    <row r="388" spans="1:36" x14ac:dyDescent="0.3">
      <c r="A388">
        <v>37</v>
      </c>
      <c r="B388" t="s">
        <v>43</v>
      </c>
      <c r="C388" s="6">
        <f t="shared" si="6"/>
        <v>0</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t="s">
        <v>43</v>
      </c>
      <c r="Y388">
        <v>12</v>
      </c>
      <c r="Z388">
        <v>3</v>
      </c>
      <c r="AA388">
        <v>3</v>
      </c>
      <c r="AB388">
        <v>80</v>
      </c>
      <c r="AC388">
        <v>1</v>
      </c>
      <c r="AD388">
        <v>18</v>
      </c>
      <c r="AE388">
        <v>2</v>
      </c>
      <c r="AF388">
        <v>2</v>
      </c>
      <c r="AG388">
        <v>18</v>
      </c>
      <c r="AH388">
        <v>7</v>
      </c>
      <c r="AI388">
        <v>12</v>
      </c>
      <c r="AJ388">
        <v>17</v>
      </c>
    </row>
    <row r="389" spans="1:36" x14ac:dyDescent="0.3">
      <c r="A389">
        <v>40</v>
      </c>
      <c r="B389" t="s">
        <v>43</v>
      </c>
      <c r="C389" s="6">
        <f t="shared" si="6"/>
        <v>0</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t="s">
        <v>43</v>
      </c>
      <c r="Y389">
        <v>12</v>
      </c>
      <c r="Z389">
        <v>3</v>
      </c>
      <c r="AA389">
        <v>3</v>
      </c>
      <c r="AB389">
        <v>80</v>
      </c>
      <c r="AC389">
        <v>2</v>
      </c>
      <c r="AD389">
        <v>8</v>
      </c>
      <c r="AE389">
        <v>5</v>
      </c>
      <c r="AF389">
        <v>3</v>
      </c>
      <c r="AG389">
        <v>5</v>
      </c>
      <c r="AH389">
        <v>4</v>
      </c>
      <c r="AI389">
        <v>1</v>
      </c>
      <c r="AJ389">
        <v>3</v>
      </c>
    </row>
    <row r="390" spans="1:36" x14ac:dyDescent="0.3">
      <c r="A390">
        <v>42</v>
      </c>
      <c r="B390" t="s">
        <v>43</v>
      </c>
      <c r="C390" s="6">
        <f t="shared" si="6"/>
        <v>0</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t="s">
        <v>43</v>
      </c>
      <c r="Y390">
        <v>16</v>
      </c>
      <c r="Z390">
        <v>3</v>
      </c>
      <c r="AA390">
        <v>2</v>
      </c>
      <c r="AB390">
        <v>80</v>
      </c>
      <c r="AC390">
        <v>1</v>
      </c>
      <c r="AD390">
        <v>8</v>
      </c>
      <c r="AE390">
        <v>5</v>
      </c>
      <c r="AF390">
        <v>3</v>
      </c>
      <c r="AG390">
        <v>5</v>
      </c>
      <c r="AH390">
        <v>2</v>
      </c>
      <c r="AI390">
        <v>1</v>
      </c>
      <c r="AJ390">
        <v>2</v>
      </c>
    </row>
    <row r="391" spans="1:36" x14ac:dyDescent="0.3">
      <c r="A391">
        <v>37</v>
      </c>
      <c r="B391" t="s">
        <v>43</v>
      </c>
      <c r="C391" s="6">
        <f t="shared" si="6"/>
        <v>0</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t="s">
        <v>35</v>
      </c>
      <c r="Y391">
        <v>12</v>
      </c>
      <c r="Z391">
        <v>3</v>
      </c>
      <c r="AA391">
        <v>4</v>
      </c>
      <c r="AB391">
        <v>80</v>
      </c>
      <c r="AC391">
        <v>0</v>
      </c>
      <c r="AD391">
        <v>18</v>
      </c>
      <c r="AE391">
        <v>2</v>
      </c>
      <c r="AF391">
        <v>2</v>
      </c>
      <c r="AG391">
        <v>1</v>
      </c>
      <c r="AH391">
        <v>0</v>
      </c>
      <c r="AI391">
        <v>0</v>
      </c>
      <c r="AJ391">
        <v>1</v>
      </c>
    </row>
    <row r="392" spans="1:36" x14ac:dyDescent="0.3">
      <c r="A392">
        <v>43</v>
      </c>
      <c r="B392" t="s">
        <v>43</v>
      </c>
      <c r="C392" s="6">
        <f t="shared" si="6"/>
        <v>0</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t="s">
        <v>43</v>
      </c>
      <c r="Y392">
        <v>11</v>
      </c>
      <c r="Z392">
        <v>3</v>
      </c>
      <c r="AA392">
        <v>3</v>
      </c>
      <c r="AB392">
        <v>80</v>
      </c>
      <c r="AC392">
        <v>1</v>
      </c>
      <c r="AD392">
        <v>25</v>
      </c>
      <c r="AE392">
        <v>3</v>
      </c>
      <c r="AF392">
        <v>3</v>
      </c>
      <c r="AG392">
        <v>25</v>
      </c>
      <c r="AH392">
        <v>10</v>
      </c>
      <c r="AI392">
        <v>3</v>
      </c>
      <c r="AJ392">
        <v>9</v>
      </c>
    </row>
    <row r="393" spans="1:36" x14ac:dyDescent="0.3">
      <c r="A393">
        <v>40</v>
      </c>
      <c r="B393" t="s">
        <v>43</v>
      </c>
      <c r="C393" s="6">
        <f t="shared" si="6"/>
        <v>0</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t="s">
        <v>43</v>
      </c>
      <c r="Y393">
        <v>22</v>
      </c>
      <c r="Z393">
        <v>4</v>
      </c>
      <c r="AA393">
        <v>2</v>
      </c>
      <c r="AB393">
        <v>80</v>
      </c>
      <c r="AC393">
        <v>1</v>
      </c>
      <c r="AD393">
        <v>20</v>
      </c>
      <c r="AE393">
        <v>3</v>
      </c>
      <c r="AF393">
        <v>3</v>
      </c>
      <c r="AG393">
        <v>1</v>
      </c>
      <c r="AH393">
        <v>0</v>
      </c>
      <c r="AI393">
        <v>0</v>
      </c>
      <c r="AJ393">
        <v>0</v>
      </c>
    </row>
    <row r="394" spans="1:36" x14ac:dyDescent="0.3">
      <c r="A394">
        <v>54</v>
      </c>
      <c r="B394" t="s">
        <v>43</v>
      </c>
      <c r="C394" s="6">
        <f t="shared" si="6"/>
        <v>0</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t="s">
        <v>43</v>
      </c>
      <c r="Y394">
        <v>11</v>
      </c>
      <c r="Z394">
        <v>3</v>
      </c>
      <c r="AA394">
        <v>3</v>
      </c>
      <c r="AB394">
        <v>80</v>
      </c>
      <c r="AC394">
        <v>1</v>
      </c>
      <c r="AD394">
        <v>24</v>
      </c>
      <c r="AE394">
        <v>4</v>
      </c>
      <c r="AF394">
        <v>2</v>
      </c>
      <c r="AG394">
        <v>4</v>
      </c>
      <c r="AH394">
        <v>2</v>
      </c>
      <c r="AI394">
        <v>1</v>
      </c>
      <c r="AJ394">
        <v>2</v>
      </c>
    </row>
    <row r="395" spans="1:36" x14ac:dyDescent="0.3">
      <c r="A395">
        <v>34</v>
      </c>
      <c r="B395" t="s">
        <v>43</v>
      </c>
      <c r="C395" s="6">
        <f t="shared" si="6"/>
        <v>0</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t="s">
        <v>43</v>
      </c>
      <c r="Y395">
        <v>15</v>
      </c>
      <c r="Z395">
        <v>3</v>
      </c>
      <c r="AA395">
        <v>1</v>
      </c>
      <c r="AB395">
        <v>80</v>
      </c>
      <c r="AC395">
        <v>1</v>
      </c>
      <c r="AD395">
        <v>6</v>
      </c>
      <c r="AE395">
        <v>3</v>
      </c>
      <c r="AF395">
        <v>3</v>
      </c>
      <c r="AG395">
        <v>3</v>
      </c>
      <c r="AH395">
        <v>2</v>
      </c>
      <c r="AI395">
        <v>1</v>
      </c>
      <c r="AJ395">
        <v>2</v>
      </c>
    </row>
    <row r="396" spans="1:36" x14ac:dyDescent="0.3">
      <c r="A396">
        <v>31</v>
      </c>
      <c r="B396" t="s">
        <v>43</v>
      </c>
      <c r="C396" s="6">
        <f t="shared" si="6"/>
        <v>0</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t="s">
        <v>43</v>
      </c>
      <c r="Y396">
        <v>12</v>
      </c>
      <c r="Z396">
        <v>3</v>
      </c>
      <c r="AA396">
        <v>2</v>
      </c>
      <c r="AB396">
        <v>80</v>
      </c>
      <c r="AC396">
        <v>1</v>
      </c>
      <c r="AD396">
        <v>13</v>
      </c>
      <c r="AE396">
        <v>5</v>
      </c>
      <c r="AF396">
        <v>1</v>
      </c>
      <c r="AG396">
        <v>13</v>
      </c>
      <c r="AH396">
        <v>10</v>
      </c>
      <c r="AI396">
        <v>3</v>
      </c>
      <c r="AJ396">
        <v>12</v>
      </c>
    </row>
    <row r="397" spans="1:36" x14ac:dyDescent="0.3">
      <c r="A397">
        <v>43</v>
      </c>
      <c r="B397" t="s">
        <v>43</v>
      </c>
      <c r="C397" s="6">
        <f t="shared" si="6"/>
        <v>0</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t="s">
        <v>43</v>
      </c>
      <c r="Y397">
        <v>20</v>
      </c>
      <c r="Z397">
        <v>4</v>
      </c>
      <c r="AA397">
        <v>1</v>
      </c>
      <c r="AB397">
        <v>80</v>
      </c>
      <c r="AC397">
        <v>1</v>
      </c>
      <c r="AD397">
        <v>8</v>
      </c>
      <c r="AE397">
        <v>1</v>
      </c>
      <c r="AF397">
        <v>3</v>
      </c>
      <c r="AG397">
        <v>3</v>
      </c>
      <c r="AH397">
        <v>2</v>
      </c>
      <c r="AI397">
        <v>1</v>
      </c>
      <c r="AJ397">
        <v>2</v>
      </c>
    </row>
    <row r="398" spans="1:36" x14ac:dyDescent="0.3">
      <c r="A398">
        <v>43</v>
      </c>
      <c r="B398" t="s">
        <v>43</v>
      </c>
      <c r="C398" s="6">
        <f t="shared" si="6"/>
        <v>0</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t="s">
        <v>35</v>
      </c>
      <c r="Y398">
        <v>14</v>
      </c>
      <c r="Z398">
        <v>3</v>
      </c>
      <c r="AA398">
        <v>4</v>
      </c>
      <c r="AB398">
        <v>80</v>
      </c>
      <c r="AC398">
        <v>0</v>
      </c>
      <c r="AD398">
        <v>8</v>
      </c>
      <c r="AE398">
        <v>3</v>
      </c>
      <c r="AF398">
        <v>3</v>
      </c>
      <c r="AG398">
        <v>5</v>
      </c>
      <c r="AH398">
        <v>2</v>
      </c>
      <c r="AI398">
        <v>0</v>
      </c>
      <c r="AJ398">
        <v>2</v>
      </c>
    </row>
    <row r="399" spans="1:36" x14ac:dyDescent="0.3">
      <c r="A399">
        <v>25</v>
      </c>
      <c r="B399" t="s">
        <v>43</v>
      </c>
      <c r="C399" s="6">
        <f t="shared" si="6"/>
        <v>0</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t="s">
        <v>35</v>
      </c>
      <c r="Y399">
        <v>11</v>
      </c>
      <c r="Z399">
        <v>3</v>
      </c>
      <c r="AA399">
        <v>2</v>
      </c>
      <c r="AB399">
        <v>80</v>
      </c>
      <c r="AC399">
        <v>0</v>
      </c>
      <c r="AD399">
        <v>5</v>
      </c>
      <c r="AE399">
        <v>3</v>
      </c>
      <c r="AF399">
        <v>3</v>
      </c>
      <c r="AG399">
        <v>5</v>
      </c>
      <c r="AH399">
        <v>4</v>
      </c>
      <c r="AI399">
        <v>1</v>
      </c>
      <c r="AJ399">
        <v>3</v>
      </c>
    </row>
    <row r="400" spans="1:36" x14ac:dyDescent="0.3">
      <c r="A400">
        <v>37</v>
      </c>
      <c r="B400" t="s">
        <v>43</v>
      </c>
      <c r="C400" s="6">
        <f t="shared" si="6"/>
        <v>0</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t="s">
        <v>35</v>
      </c>
      <c r="Y400">
        <v>15</v>
      </c>
      <c r="Z400">
        <v>3</v>
      </c>
      <c r="AA400">
        <v>1</v>
      </c>
      <c r="AB400">
        <v>80</v>
      </c>
      <c r="AC400">
        <v>2</v>
      </c>
      <c r="AD400">
        <v>15</v>
      </c>
      <c r="AE400">
        <v>2</v>
      </c>
      <c r="AF400">
        <v>3</v>
      </c>
      <c r="AG400">
        <v>13</v>
      </c>
      <c r="AH400">
        <v>11</v>
      </c>
      <c r="AI400">
        <v>10</v>
      </c>
      <c r="AJ400">
        <v>7</v>
      </c>
    </row>
    <row r="401" spans="1:36" x14ac:dyDescent="0.3">
      <c r="A401">
        <v>31</v>
      </c>
      <c r="B401" t="s">
        <v>43</v>
      </c>
      <c r="C401" s="6">
        <f t="shared" si="6"/>
        <v>0</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t="s">
        <v>43</v>
      </c>
      <c r="Y401">
        <v>12</v>
      </c>
      <c r="Z401">
        <v>3</v>
      </c>
      <c r="AA401">
        <v>3</v>
      </c>
      <c r="AB401">
        <v>80</v>
      </c>
      <c r="AC401">
        <v>1</v>
      </c>
      <c r="AD401">
        <v>4</v>
      </c>
      <c r="AE401">
        <v>3</v>
      </c>
      <c r="AF401">
        <v>3</v>
      </c>
      <c r="AG401">
        <v>4</v>
      </c>
      <c r="AH401">
        <v>2</v>
      </c>
      <c r="AI401">
        <v>3</v>
      </c>
      <c r="AJ401">
        <v>2</v>
      </c>
    </row>
    <row r="402" spans="1:36" x14ac:dyDescent="0.3">
      <c r="A402">
        <v>39</v>
      </c>
      <c r="B402" t="s">
        <v>43</v>
      </c>
      <c r="C402" s="6">
        <f t="shared" si="6"/>
        <v>0</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t="s">
        <v>35</v>
      </c>
      <c r="Y402">
        <v>14</v>
      </c>
      <c r="Z402">
        <v>3</v>
      </c>
      <c r="AA402">
        <v>3</v>
      </c>
      <c r="AB402">
        <v>80</v>
      </c>
      <c r="AC402">
        <v>1</v>
      </c>
      <c r="AD402">
        <v>21</v>
      </c>
      <c r="AE402">
        <v>3</v>
      </c>
      <c r="AF402">
        <v>3</v>
      </c>
      <c r="AG402">
        <v>21</v>
      </c>
      <c r="AH402">
        <v>8</v>
      </c>
      <c r="AI402">
        <v>1</v>
      </c>
      <c r="AJ402">
        <v>6</v>
      </c>
    </row>
    <row r="403" spans="1:36" x14ac:dyDescent="0.3">
      <c r="A403">
        <v>56</v>
      </c>
      <c r="B403" t="s">
        <v>43</v>
      </c>
      <c r="C403" s="6">
        <f t="shared" si="6"/>
        <v>0</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t="s">
        <v>43</v>
      </c>
      <c r="Y403">
        <v>11</v>
      </c>
      <c r="Z403">
        <v>3</v>
      </c>
      <c r="AA403">
        <v>4</v>
      </c>
      <c r="AB403">
        <v>80</v>
      </c>
      <c r="AC403">
        <v>3</v>
      </c>
      <c r="AD403">
        <v>36</v>
      </c>
      <c r="AE403">
        <v>0</v>
      </c>
      <c r="AF403">
        <v>2</v>
      </c>
      <c r="AG403">
        <v>7</v>
      </c>
      <c r="AH403">
        <v>7</v>
      </c>
      <c r="AI403">
        <v>7</v>
      </c>
      <c r="AJ403">
        <v>7</v>
      </c>
    </row>
    <row r="404" spans="1:36" x14ac:dyDescent="0.3">
      <c r="A404">
        <v>30</v>
      </c>
      <c r="B404" t="s">
        <v>43</v>
      </c>
      <c r="C404" s="6">
        <f t="shared" si="6"/>
        <v>0</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t="s">
        <v>43</v>
      </c>
      <c r="Y404">
        <v>11</v>
      </c>
      <c r="Z404">
        <v>3</v>
      </c>
      <c r="AA404">
        <v>2</v>
      </c>
      <c r="AB404">
        <v>80</v>
      </c>
      <c r="AC404">
        <v>0</v>
      </c>
      <c r="AD404">
        <v>6</v>
      </c>
      <c r="AE404">
        <v>6</v>
      </c>
      <c r="AF404">
        <v>3</v>
      </c>
      <c r="AG404">
        <v>5</v>
      </c>
      <c r="AH404">
        <v>4</v>
      </c>
      <c r="AI404">
        <v>4</v>
      </c>
      <c r="AJ404">
        <v>4</v>
      </c>
    </row>
    <row r="405" spans="1:36" x14ac:dyDescent="0.3">
      <c r="A405">
        <v>41</v>
      </c>
      <c r="B405" t="s">
        <v>43</v>
      </c>
      <c r="C405" s="6">
        <f t="shared" si="6"/>
        <v>0</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t="s">
        <v>43</v>
      </c>
      <c r="Y405">
        <v>16</v>
      </c>
      <c r="Z405">
        <v>3</v>
      </c>
      <c r="AA405">
        <v>3</v>
      </c>
      <c r="AB405">
        <v>80</v>
      </c>
      <c r="AC405">
        <v>1</v>
      </c>
      <c r="AD405">
        <v>10</v>
      </c>
      <c r="AE405">
        <v>2</v>
      </c>
      <c r="AF405">
        <v>3</v>
      </c>
      <c r="AG405">
        <v>10</v>
      </c>
      <c r="AH405">
        <v>7</v>
      </c>
      <c r="AI405">
        <v>0</v>
      </c>
      <c r="AJ405">
        <v>7</v>
      </c>
    </row>
    <row r="406" spans="1:36" x14ac:dyDescent="0.3">
      <c r="A406">
        <v>28</v>
      </c>
      <c r="B406" t="s">
        <v>43</v>
      </c>
      <c r="C406" s="6">
        <f t="shared" si="6"/>
        <v>0</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t="s">
        <v>43</v>
      </c>
      <c r="Y406">
        <v>12</v>
      </c>
      <c r="Z406">
        <v>3</v>
      </c>
      <c r="AA406">
        <v>4</v>
      </c>
      <c r="AB406">
        <v>80</v>
      </c>
      <c r="AC406">
        <v>1</v>
      </c>
      <c r="AD406">
        <v>10</v>
      </c>
      <c r="AE406">
        <v>2</v>
      </c>
      <c r="AF406">
        <v>3</v>
      </c>
      <c r="AG406">
        <v>10</v>
      </c>
      <c r="AH406">
        <v>0</v>
      </c>
      <c r="AI406">
        <v>1</v>
      </c>
      <c r="AJ406">
        <v>8</v>
      </c>
    </row>
    <row r="407" spans="1:36" x14ac:dyDescent="0.3">
      <c r="A407">
        <v>25</v>
      </c>
      <c r="B407" t="s">
        <v>35</v>
      </c>
      <c r="C407" s="6">
        <f t="shared" si="6"/>
        <v>1</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t="s">
        <v>43</v>
      </c>
      <c r="Y407">
        <v>13</v>
      </c>
      <c r="Z407">
        <v>3</v>
      </c>
      <c r="AA407">
        <v>3</v>
      </c>
      <c r="AB407">
        <v>80</v>
      </c>
      <c r="AC407">
        <v>1</v>
      </c>
      <c r="AD407">
        <v>6</v>
      </c>
      <c r="AE407">
        <v>5</v>
      </c>
      <c r="AF407">
        <v>3</v>
      </c>
      <c r="AG407">
        <v>2</v>
      </c>
      <c r="AH407">
        <v>2</v>
      </c>
      <c r="AI407">
        <v>0</v>
      </c>
      <c r="AJ407">
        <v>2</v>
      </c>
    </row>
    <row r="408" spans="1:36" x14ac:dyDescent="0.3">
      <c r="A408">
        <v>52</v>
      </c>
      <c r="B408" t="s">
        <v>43</v>
      </c>
      <c r="C408" s="6">
        <f t="shared" si="6"/>
        <v>0</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t="s">
        <v>35</v>
      </c>
      <c r="Y408">
        <v>14</v>
      </c>
      <c r="Z408">
        <v>3</v>
      </c>
      <c r="AA408">
        <v>3</v>
      </c>
      <c r="AB408">
        <v>80</v>
      </c>
      <c r="AC408">
        <v>0</v>
      </c>
      <c r="AD408">
        <v>28</v>
      </c>
      <c r="AE408">
        <v>4</v>
      </c>
      <c r="AF408">
        <v>3</v>
      </c>
      <c r="AG408">
        <v>5</v>
      </c>
      <c r="AH408">
        <v>4</v>
      </c>
      <c r="AI408">
        <v>0</v>
      </c>
      <c r="AJ408">
        <v>4</v>
      </c>
    </row>
    <row r="409" spans="1:36" x14ac:dyDescent="0.3">
      <c r="A409">
        <v>45</v>
      </c>
      <c r="B409" t="s">
        <v>43</v>
      </c>
      <c r="C409" s="6">
        <f t="shared" si="6"/>
        <v>0</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t="s">
        <v>43</v>
      </c>
      <c r="Y409">
        <v>21</v>
      </c>
      <c r="Z409">
        <v>4</v>
      </c>
      <c r="AA409">
        <v>4</v>
      </c>
      <c r="AB409">
        <v>80</v>
      </c>
      <c r="AC409">
        <v>2</v>
      </c>
      <c r="AD409">
        <v>8</v>
      </c>
      <c r="AE409">
        <v>3</v>
      </c>
      <c r="AF409">
        <v>2</v>
      </c>
      <c r="AG409">
        <v>2</v>
      </c>
      <c r="AH409">
        <v>2</v>
      </c>
      <c r="AI409">
        <v>0</v>
      </c>
      <c r="AJ409">
        <v>2</v>
      </c>
    </row>
    <row r="410" spans="1:36" x14ac:dyDescent="0.3">
      <c r="A410">
        <v>52</v>
      </c>
      <c r="B410" t="s">
        <v>43</v>
      </c>
      <c r="C410" s="6">
        <f t="shared" si="6"/>
        <v>0</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t="s">
        <v>43</v>
      </c>
      <c r="Y410">
        <v>13</v>
      </c>
      <c r="Z410">
        <v>3</v>
      </c>
      <c r="AA410">
        <v>4</v>
      </c>
      <c r="AB410">
        <v>80</v>
      </c>
      <c r="AC410">
        <v>0</v>
      </c>
      <c r="AD410">
        <v>31</v>
      </c>
      <c r="AE410">
        <v>2</v>
      </c>
      <c r="AF410">
        <v>1</v>
      </c>
      <c r="AG410">
        <v>5</v>
      </c>
      <c r="AH410">
        <v>2</v>
      </c>
      <c r="AI410">
        <v>1</v>
      </c>
      <c r="AJ410">
        <v>4</v>
      </c>
    </row>
    <row r="411" spans="1:36" x14ac:dyDescent="0.3">
      <c r="A411">
        <v>42</v>
      </c>
      <c r="B411" t="s">
        <v>43</v>
      </c>
      <c r="C411" s="6">
        <f t="shared" si="6"/>
        <v>0</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t="s">
        <v>43</v>
      </c>
      <c r="Y411">
        <v>11</v>
      </c>
      <c r="Z411">
        <v>3</v>
      </c>
      <c r="AA411">
        <v>2</v>
      </c>
      <c r="AB411">
        <v>80</v>
      </c>
      <c r="AC411">
        <v>1</v>
      </c>
      <c r="AD411">
        <v>19</v>
      </c>
      <c r="AE411">
        <v>3</v>
      </c>
      <c r="AF411">
        <v>3</v>
      </c>
      <c r="AG411">
        <v>5</v>
      </c>
      <c r="AH411">
        <v>4</v>
      </c>
      <c r="AI411">
        <v>0</v>
      </c>
      <c r="AJ411">
        <v>2</v>
      </c>
    </row>
    <row r="412" spans="1:36" x14ac:dyDescent="0.3">
      <c r="A412">
        <v>30</v>
      </c>
      <c r="B412" t="s">
        <v>43</v>
      </c>
      <c r="C412" s="6">
        <f t="shared" si="6"/>
        <v>0</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t="s">
        <v>43</v>
      </c>
      <c r="Y412">
        <v>20</v>
      </c>
      <c r="Z412">
        <v>4</v>
      </c>
      <c r="AA412">
        <v>3</v>
      </c>
      <c r="AB412">
        <v>80</v>
      </c>
      <c r="AC412">
        <v>0</v>
      </c>
      <c r="AD412">
        <v>11</v>
      </c>
      <c r="AE412">
        <v>2</v>
      </c>
      <c r="AF412">
        <v>3</v>
      </c>
      <c r="AG412">
        <v>5</v>
      </c>
      <c r="AH412">
        <v>4</v>
      </c>
      <c r="AI412">
        <v>0</v>
      </c>
      <c r="AJ412">
        <v>2</v>
      </c>
    </row>
    <row r="413" spans="1:36" x14ac:dyDescent="0.3">
      <c r="A413">
        <v>60</v>
      </c>
      <c r="B413" t="s">
        <v>43</v>
      </c>
      <c r="C413" s="6">
        <f t="shared" si="6"/>
        <v>0</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t="s">
        <v>43</v>
      </c>
      <c r="Y413">
        <v>11</v>
      </c>
      <c r="Z413">
        <v>3</v>
      </c>
      <c r="AA413">
        <v>4</v>
      </c>
      <c r="AB413">
        <v>80</v>
      </c>
      <c r="AC413">
        <v>0</v>
      </c>
      <c r="AD413">
        <v>33</v>
      </c>
      <c r="AE413">
        <v>5</v>
      </c>
      <c r="AF413">
        <v>1</v>
      </c>
      <c r="AG413">
        <v>29</v>
      </c>
      <c r="AH413">
        <v>8</v>
      </c>
      <c r="AI413">
        <v>11</v>
      </c>
      <c r="AJ413">
        <v>10</v>
      </c>
    </row>
    <row r="414" spans="1:36" x14ac:dyDescent="0.3">
      <c r="A414">
        <v>46</v>
      </c>
      <c r="B414" t="s">
        <v>43</v>
      </c>
      <c r="C414" s="6">
        <f t="shared" si="6"/>
        <v>0</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t="s">
        <v>43</v>
      </c>
      <c r="Y414">
        <v>14</v>
      </c>
      <c r="Z414">
        <v>3</v>
      </c>
      <c r="AA414">
        <v>3</v>
      </c>
      <c r="AB414">
        <v>80</v>
      </c>
      <c r="AC414">
        <v>1</v>
      </c>
      <c r="AD414">
        <v>19</v>
      </c>
      <c r="AE414">
        <v>5</v>
      </c>
      <c r="AF414">
        <v>2</v>
      </c>
      <c r="AG414">
        <v>10</v>
      </c>
      <c r="AH414">
        <v>7</v>
      </c>
      <c r="AI414">
        <v>0</v>
      </c>
      <c r="AJ414">
        <v>8</v>
      </c>
    </row>
    <row r="415" spans="1:36" x14ac:dyDescent="0.3">
      <c r="A415">
        <v>42</v>
      </c>
      <c r="B415" t="s">
        <v>43</v>
      </c>
      <c r="C415" s="6">
        <f t="shared" si="6"/>
        <v>0</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t="s">
        <v>43</v>
      </c>
      <c r="Y415">
        <v>11</v>
      </c>
      <c r="Z415">
        <v>3</v>
      </c>
      <c r="AA415">
        <v>4</v>
      </c>
      <c r="AB415">
        <v>80</v>
      </c>
      <c r="AC415">
        <v>3</v>
      </c>
      <c r="AD415">
        <v>7</v>
      </c>
      <c r="AE415">
        <v>4</v>
      </c>
      <c r="AF415">
        <v>4</v>
      </c>
      <c r="AG415">
        <v>6</v>
      </c>
      <c r="AH415">
        <v>5</v>
      </c>
      <c r="AI415">
        <v>0</v>
      </c>
      <c r="AJ415">
        <v>4</v>
      </c>
    </row>
    <row r="416" spans="1:36" x14ac:dyDescent="0.3">
      <c r="A416">
        <v>24</v>
      </c>
      <c r="B416" t="s">
        <v>35</v>
      </c>
      <c r="C416" s="6">
        <f t="shared" si="6"/>
        <v>1</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t="s">
        <v>35</v>
      </c>
      <c r="Y416">
        <v>16</v>
      </c>
      <c r="Z416">
        <v>3</v>
      </c>
      <c r="AA416">
        <v>2</v>
      </c>
      <c r="AB416">
        <v>80</v>
      </c>
      <c r="AC416">
        <v>0</v>
      </c>
      <c r="AD416">
        <v>6</v>
      </c>
      <c r="AE416">
        <v>4</v>
      </c>
      <c r="AF416">
        <v>3</v>
      </c>
      <c r="AG416">
        <v>5</v>
      </c>
      <c r="AH416">
        <v>3</v>
      </c>
      <c r="AI416">
        <v>1</v>
      </c>
      <c r="AJ416">
        <v>4</v>
      </c>
    </row>
    <row r="417" spans="1:36" x14ac:dyDescent="0.3">
      <c r="A417">
        <v>34</v>
      </c>
      <c r="B417" t="s">
        <v>35</v>
      </c>
      <c r="C417" s="6">
        <f t="shared" si="6"/>
        <v>1</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t="s">
        <v>43</v>
      </c>
      <c r="Y417">
        <v>16</v>
      </c>
      <c r="Z417">
        <v>3</v>
      </c>
      <c r="AA417">
        <v>4</v>
      </c>
      <c r="AB417">
        <v>80</v>
      </c>
      <c r="AC417">
        <v>1</v>
      </c>
      <c r="AD417">
        <v>3</v>
      </c>
      <c r="AE417">
        <v>3</v>
      </c>
      <c r="AF417">
        <v>2</v>
      </c>
      <c r="AG417">
        <v>2</v>
      </c>
      <c r="AH417">
        <v>2</v>
      </c>
      <c r="AI417">
        <v>1</v>
      </c>
      <c r="AJ417">
        <v>0</v>
      </c>
    </row>
    <row r="418" spans="1:36" x14ac:dyDescent="0.3">
      <c r="A418">
        <v>38</v>
      </c>
      <c r="B418" t="s">
        <v>43</v>
      </c>
      <c r="C418" s="6">
        <f t="shared" si="6"/>
        <v>0</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t="s">
        <v>35</v>
      </c>
      <c r="Y418">
        <v>23</v>
      </c>
      <c r="Z418">
        <v>4</v>
      </c>
      <c r="AA418">
        <v>3</v>
      </c>
      <c r="AB418">
        <v>80</v>
      </c>
      <c r="AC418">
        <v>1</v>
      </c>
      <c r="AD418">
        <v>1</v>
      </c>
      <c r="AE418">
        <v>3</v>
      </c>
      <c r="AF418">
        <v>3</v>
      </c>
      <c r="AG418">
        <v>1</v>
      </c>
      <c r="AH418">
        <v>0</v>
      </c>
      <c r="AI418">
        <v>0</v>
      </c>
      <c r="AJ418">
        <v>0</v>
      </c>
    </row>
    <row r="419" spans="1:36" x14ac:dyDescent="0.3">
      <c r="A419">
        <v>40</v>
      </c>
      <c r="B419" t="s">
        <v>43</v>
      </c>
      <c r="C419" s="6">
        <f t="shared" si="6"/>
        <v>0</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t="s">
        <v>43</v>
      </c>
      <c r="Y419">
        <v>14</v>
      </c>
      <c r="Z419">
        <v>3</v>
      </c>
      <c r="AA419">
        <v>4</v>
      </c>
      <c r="AB419">
        <v>80</v>
      </c>
      <c r="AC419">
        <v>0</v>
      </c>
      <c r="AD419">
        <v>21</v>
      </c>
      <c r="AE419">
        <v>2</v>
      </c>
      <c r="AF419">
        <v>3</v>
      </c>
      <c r="AG419">
        <v>20</v>
      </c>
      <c r="AH419">
        <v>15</v>
      </c>
      <c r="AI419">
        <v>1</v>
      </c>
      <c r="AJ419">
        <v>12</v>
      </c>
    </row>
    <row r="420" spans="1:36" x14ac:dyDescent="0.3">
      <c r="A420">
        <v>26</v>
      </c>
      <c r="B420" t="s">
        <v>43</v>
      </c>
      <c r="C420" s="6">
        <f t="shared" si="6"/>
        <v>0</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t="s">
        <v>43</v>
      </c>
      <c r="Y420">
        <v>22</v>
      </c>
      <c r="Z420">
        <v>4</v>
      </c>
      <c r="AA420">
        <v>2</v>
      </c>
      <c r="AB420">
        <v>80</v>
      </c>
      <c r="AC420">
        <v>2</v>
      </c>
      <c r="AD420">
        <v>3</v>
      </c>
      <c r="AE420">
        <v>3</v>
      </c>
      <c r="AF420">
        <v>1</v>
      </c>
      <c r="AG420">
        <v>3</v>
      </c>
      <c r="AH420">
        <v>2</v>
      </c>
      <c r="AI420">
        <v>0</v>
      </c>
      <c r="AJ420">
        <v>2</v>
      </c>
    </row>
    <row r="421" spans="1:36" x14ac:dyDescent="0.3">
      <c r="A421">
        <v>30</v>
      </c>
      <c r="B421" t="s">
        <v>43</v>
      </c>
      <c r="C421" s="6">
        <f t="shared" si="6"/>
        <v>0</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t="s">
        <v>43</v>
      </c>
      <c r="Y421">
        <v>15</v>
      </c>
      <c r="Z421">
        <v>3</v>
      </c>
      <c r="AA421">
        <v>3</v>
      </c>
      <c r="AB421">
        <v>80</v>
      </c>
      <c r="AC421">
        <v>1</v>
      </c>
      <c r="AD421">
        <v>9</v>
      </c>
      <c r="AE421">
        <v>3</v>
      </c>
      <c r="AF421">
        <v>1</v>
      </c>
      <c r="AG421">
        <v>5</v>
      </c>
      <c r="AH421">
        <v>3</v>
      </c>
      <c r="AI421">
        <v>1</v>
      </c>
      <c r="AJ421">
        <v>4</v>
      </c>
    </row>
    <row r="422" spans="1:36" x14ac:dyDescent="0.3">
      <c r="A422">
        <v>29</v>
      </c>
      <c r="B422" t="s">
        <v>43</v>
      </c>
      <c r="C422" s="6">
        <f t="shared" si="6"/>
        <v>0</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t="s">
        <v>43</v>
      </c>
      <c r="Y422">
        <v>18</v>
      </c>
      <c r="Z422">
        <v>3</v>
      </c>
      <c r="AA422">
        <v>3</v>
      </c>
      <c r="AB422">
        <v>80</v>
      </c>
      <c r="AC422">
        <v>0</v>
      </c>
      <c r="AD422">
        <v>10</v>
      </c>
      <c r="AE422">
        <v>2</v>
      </c>
      <c r="AF422">
        <v>3</v>
      </c>
      <c r="AG422">
        <v>10</v>
      </c>
      <c r="AH422">
        <v>2</v>
      </c>
      <c r="AI422">
        <v>0</v>
      </c>
      <c r="AJ422">
        <v>7</v>
      </c>
    </row>
    <row r="423" spans="1:36" x14ac:dyDescent="0.3">
      <c r="A423">
        <v>29</v>
      </c>
      <c r="B423" t="s">
        <v>35</v>
      </c>
      <c r="C423" s="6">
        <f t="shared" si="6"/>
        <v>1</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t="s">
        <v>43</v>
      </c>
      <c r="Y423">
        <v>16</v>
      </c>
      <c r="Z423">
        <v>3</v>
      </c>
      <c r="AA423">
        <v>2</v>
      </c>
      <c r="AB423">
        <v>80</v>
      </c>
      <c r="AC423">
        <v>0</v>
      </c>
      <c r="AD423">
        <v>6</v>
      </c>
      <c r="AE423">
        <v>2</v>
      </c>
      <c r="AF423">
        <v>4</v>
      </c>
      <c r="AG423">
        <v>2</v>
      </c>
      <c r="AH423">
        <v>2</v>
      </c>
      <c r="AI423">
        <v>1</v>
      </c>
      <c r="AJ423">
        <v>1</v>
      </c>
    </row>
    <row r="424" spans="1:36" x14ac:dyDescent="0.3">
      <c r="A424">
        <v>19</v>
      </c>
      <c r="B424" t="s">
        <v>35</v>
      </c>
      <c r="C424" s="6">
        <f t="shared" si="6"/>
        <v>1</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t="s">
        <v>43</v>
      </c>
      <c r="Y424">
        <v>12</v>
      </c>
      <c r="Z424">
        <v>3</v>
      </c>
      <c r="AA424">
        <v>3</v>
      </c>
      <c r="AB424">
        <v>80</v>
      </c>
      <c r="AC424">
        <v>0</v>
      </c>
      <c r="AD424">
        <v>1</v>
      </c>
      <c r="AE424">
        <v>3</v>
      </c>
      <c r="AF424">
        <v>4</v>
      </c>
      <c r="AG424">
        <v>1</v>
      </c>
      <c r="AH424">
        <v>0</v>
      </c>
      <c r="AI424">
        <v>0</v>
      </c>
      <c r="AJ424">
        <v>0</v>
      </c>
    </row>
    <row r="425" spans="1:36" x14ac:dyDescent="0.3">
      <c r="A425">
        <v>30</v>
      </c>
      <c r="B425" t="s">
        <v>43</v>
      </c>
      <c r="C425" s="6">
        <f t="shared" si="6"/>
        <v>0</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t="s">
        <v>43</v>
      </c>
      <c r="Y425">
        <v>11</v>
      </c>
      <c r="Z425">
        <v>3</v>
      </c>
      <c r="AA425">
        <v>3</v>
      </c>
      <c r="AB425">
        <v>80</v>
      </c>
      <c r="AC425">
        <v>0</v>
      </c>
      <c r="AD425">
        <v>10</v>
      </c>
      <c r="AE425">
        <v>3</v>
      </c>
      <c r="AF425">
        <v>3</v>
      </c>
      <c r="AG425">
        <v>9</v>
      </c>
      <c r="AH425">
        <v>8</v>
      </c>
      <c r="AI425">
        <v>7</v>
      </c>
      <c r="AJ425">
        <v>8</v>
      </c>
    </row>
    <row r="426" spans="1:36" x14ac:dyDescent="0.3">
      <c r="A426">
        <v>57</v>
      </c>
      <c r="B426" t="s">
        <v>43</v>
      </c>
      <c r="C426" s="6">
        <f t="shared" si="6"/>
        <v>0</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t="s">
        <v>43</v>
      </c>
      <c r="Y426">
        <v>12</v>
      </c>
      <c r="Z426">
        <v>3</v>
      </c>
      <c r="AA426">
        <v>3</v>
      </c>
      <c r="AB426">
        <v>80</v>
      </c>
      <c r="AC426">
        <v>1</v>
      </c>
      <c r="AD426">
        <v>32</v>
      </c>
      <c r="AE426">
        <v>3</v>
      </c>
      <c r="AF426">
        <v>2</v>
      </c>
      <c r="AG426">
        <v>1</v>
      </c>
      <c r="AH426">
        <v>0</v>
      </c>
      <c r="AI426">
        <v>0</v>
      </c>
      <c r="AJ426">
        <v>0</v>
      </c>
    </row>
    <row r="427" spans="1:36" x14ac:dyDescent="0.3">
      <c r="A427">
        <v>50</v>
      </c>
      <c r="B427" t="s">
        <v>43</v>
      </c>
      <c r="C427" s="6">
        <f t="shared" si="6"/>
        <v>0</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t="s">
        <v>43</v>
      </c>
      <c r="Y427">
        <v>15</v>
      </c>
      <c r="Z427">
        <v>3</v>
      </c>
      <c r="AA427">
        <v>2</v>
      </c>
      <c r="AB427">
        <v>80</v>
      </c>
      <c r="AC427">
        <v>1</v>
      </c>
      <c r="AD427">
        <v>28</v>
      </c>
      <c r="AE427">
        <v>2</v>
      </c>
      <c r="AF427">
        <v>3</v>
      </c>
      <c r="AG427">
        <v>27</v>
      </c>
      <c r="AH427">
        <v>10</v>
      </c>
      <c r="AI427">
        <v>15</v>
      </c>
      <c r="AJ427">
        <v>7</v>
      </c>
    </row>
    <row r="428" spans="1:36" x14ac:dyDescent="0.3">
      <c r="A428">
        <v>30</v>
      </c>
      <c r="B428" t="s">
        <v>43</v>
      </c>
      <c r="C428" s="6">
        <f t="shared" si="6"/>
        <v>0</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t="s">
        <v>43</v>
      </c>
      <c r="Y428">
        <v>14</v>
      </c>
      <c r="Z428">
        <v>3</v>
      </c>
      <c r="AA428">
        <v>3</v>
      </c>
      <c r="AB428">
        <v>80</v>
      </c>
      <c r="AC428">
        <v>0</v>
      </c>
      <c r="AD428">
        <v>12</v>
      </c>
      <c r="AE428">
        <v>2</v>
      </c>
      <c r="AF428">
        <v>2</v>
      </c>
      <c r="AG428">
        <v>11</v>
      </c>
      <c r="AH428">
        <v>7</v>
      </c>
      <c r="AI428">
        <v>6</v>
      </c>
      <c r="AJ428">
        <v>7</v>
      </c>
    </row>
    <row r="429" spans="1:36" x14ac:dyDescent="0.3">
      <c r="A429">
        <v>60</v>
      </c>
      <c r="B429" t="s">
        <v>43</v>
      </c>
      <c r="C429" s="6">
        <f t="shared" si="6"/>
        <v>0</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t="s">
        <v>43</v>
      </c>
      <c r="Y429">
        <v>19</v>
      </c>
      <c r="Z429">
        <v>3</v>
      </c>
      <c r="AA429">
        <v>4</v>
      </c>
      <c r="AB429">
        <v>80</v>
      </c>
      <c r="AC429">
        <v>0</v>
      </c>
      <c r="AD429">
        <v>22</v>
      </c>
      <c r="AE429">
        <v>5</v>
      </c>
      <c r="AF429">
        <v>4</v>
      </c>
      <c r="AG429">
        <v>18</v>
      </c>
      <c r="AH429">
        <v>13</v>
      </c>
      <c r="AI429">
        <v>13</v>
      </c>
      <c r="AJ429">
        <v>11</v>
      </c>
    </row>
    <row r="430" spans="1:36" x14ac:dyDescent="0.3">
      <c r="A430">
        <v>47</v>
      </c>
      <c r="B430" t="s">
        <v>43</v>
      </c>
      <c r="C430" s="6">
        <f t="shared" si="6"/>
        <v>0</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t="s">
        <v>43</v>
      </c>
      <c r="Y430">
        <v>13</v>
      </c>
      <c r="Z430">
        <v>3</v>
      </c>
      <c r="AA430">
        <v>3</v>
      </c>
      <c r="AB430">
        <v>80</v>
      </c>
      <c r="AC430">
        <v>3</v>
      </c>
      <c r="AD430">
        <v>20</v>
      </c>
      <c r="AE430">
        <v>2</v>
      </c>
      <c r="AF430">
        <v>3</v>
      </c>
      <c r="AG430">
        <v>5</v>
      </c>
      <c r="AH430">
        <v>0</v>
      </c>
      <c r="AI430">
        <v>0</v>
      </c>
      <c r="AJ430">
        <v>4</v>
      </c>
    </row>
    <row r="431" spans="1:36" x14ac:dyDescent="0.3">
      <c r="A431">
        <v>46</v>
      </c>
      <c r="B431" t="s">
        <v>43</v>
      </c>
      <c r="C431" s="6">
        <f t="shared" si="6"/>
        <v>0</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t="s">
        <v>43</v>
      </c>
      <c r="Y431">
        <v>13</v>
      </c>
      <c r="Z431">
        <v>3</v>
      </c>
      <c r="AA431">
        <v>3</v>
      </c>
      <c r="AB431">
        <v>80</v>
      </c>
      <c r="AC431">
        <v>0</v>
      </c>
      <c r="AD431">
        <v>26</v>
      </c>
      <c r="AE431">
        <v>2</v>
      </c>
      <c r="AF431">
        <v>1</v>
      </c>
      <c r="AG431">
        <v>3</v>
      </c>
      <c r="AH431">
        <v>2</v>
      </c>
      <c r="AI431">
        <v>0</v>
      </c>
      <c r="AJ431">
        <v>1</v>
      </c>
    </row>
    <row r="432" spans="1:36" x14ac:dyDescent="0.3">
      <c r="A432">
        <v>35</v>
      </c>
      <c r="B432" t="s">
        <v>43</v>
      </c>
      <c r="C432" s="6">
        <f t="shared" si="6"/>
        <v>0</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t="s">
        <v>43</v>
      </c>
      <c r="Y432">
        <v>15</v>
      </c>
      <c r="Z432">
        <v>3</v>
      </c>
      <c r="AA432">
        <v>3</v>
      </c>
      <c r="AB432">
        <v>80</v>
      </c>
      <c r="AC432">
        <v>0</v>
      </c>
      <c r="AD432">
        <v>6</v>
      </c>
      <c r="AE432">
        <v>2</v>
      </c>
      <c r="AF432">
        <v>3</v>
      </c>
      <c r="AG432">
        <v>5</v>
      </c>
      <c r="AH432">
        <v>4</v>
      </c>
      <c r="AI432">
        <v>4</v>
      </c>
      <c r="AJ432">
        <v>3</v>
      </c>
    </row>
    <row r="433" spans="1:36" x14ac:dyDescent="0.3">
      <c r="A433">
        <v>54</v>
      </c>
      <c r="B433" t="s">
        <v>43</v>
      </c>
      <c r="C433" s="6">
        <f t="shared" si="6"/>
        <v>0</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t="s">
        <v>43</v>
      </c>
      <c r="Y433">
        <v>11</v>
      </c>
      <c r="Z433">
        <v>3</v>
      </c>
      <c r="AA433">
        <v>3</v>
      </c>
      <c r="AB433">
        <v>80</v>
      </c>
      <c r="AC433">
        <v>0</v>
      </c>
      <c r="AD433">
        <v>19</v>
      </c>
      <c r="AE433">
        <v>3</v>
      </c>
      <c r="AF433">
        <v>3</v>
      </c>
      <c r="AG433">
        <v>1</v>
      </c>
      <c r="AH433">
        <v>0</v>
      </c>
      <c r="AI433">
        <v>0</v>
      </c>
      <c r="AJ433">
        <v>0</v>
      </c>
    </row>
    <row r="434" spans="1:36" x14ac:dyDescent="0.3">
      <c r="A434">
        <v>34</v>
      </c>
      <c r="B434" t="s">
        <v>43</v>
      </c>
      <c r="C434" s="6">
        <f t="shared" si="6"/>
        <v>0</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t="s">
        <v>43</v>
      </c>
      <c r="Y434">
        <v>12</v>
      </c>
      <c r="Z434">
        <v>3</v>
      </c>
      <c r="AA434">
        <v>3</v>
      </c>
      <c r="AB434">
        <v>80</v>
      </c>
      <c r="AC434">
        <v>1</v>
      </c>
      <c r="AD434">
        <v>14</v>
      </c>
      <c r="AE434">
        <v>3</v>
      </c>
      <c r="AF434">
        <v>3</v>
      </c>
      <c r="AG434">
        <v>7</v>
      </c>
      <c r="AH434">
        <v>3</v>
      </c>
      <c r="AI434">
        <v>5</v>
      </c>
      <c r="AJ434">
        <v>7</v>
      </c>
    </row>
    <row r="435" spans="1:36" x14ac:dyDescent="0.3">
      <c r="A435">
        <v>46</v>
      </c>
      <c r="B435" t="s">
        <v>43</v>
      </c>
      <c r="C435" s="6">
        <f t="shared" si="6"/>
        <v>0</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t="s">
        <v>35</v>
      </c>
      <c r="Y435">
        <v>19</v>
      </c>
      <c r="Z435">
        <v>3</v>
      </c>
      <c r="AA435">
        <v>3</v>
      </c>
      <c r="AB435">
        <v>80</v>
      </c>
      <c r="AC435">
        <v>1</v>
      </c>
      <c r="AD435">
        <v>15</v>
      </c>
      <c r="AE435">
        <v>3</v>
      </c>
      <c r="AF435">
        <v>3</v>
      </c>
      <c r="AG435">
        <v>3</v>
      </c>
      <c r="AH435">
        <v>2</v>
      </c>
      <c r="AI435">
        <v>1</v>
      </c>
      <c r="AJ435">
        <v>2</v>
      </c>
    </row>
    <row r="436" spans="1:36" x14ac:dyDescent="0.3">
      <c r="A436">
        <v>31</v>
      </c>
      <c r="B436" t="s">
        <v>43</v>
      </c>
      <c r="C436" s="6">
        <f t="shared" si="6"/>
        <v>0</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t="s">
        <v>43</v>
      </c>
      <c r="Y436">
        <v>25</v>
      </c>
      <c r="Z436">
        <v>4</v>
      </c>
      <c r="AA436">
        <v>4</v>
      </c>
      <c r="AB436">
        <v>80</v>
      </c>
      <c r="AC436">
        <v>1</v>
      </c>
      <c r="AD436">
        <v>13</v>
      </c>
      <c r="AE436">
        <v>6</v>
      </c>
      <c r="AF436">
        <v>4</v>
      </c>
      <c r="AG436">
        <v>13</v>
      </c>
      <c r="AH436">
        <v>8</v>
      </c>
      <c r="AI436">
        <v>0</v>
      </c>
      <c r="AJ436">
        <v>8</v>
      </c>
    </row>
    <row r="437" spans="1:36" x14ac:dyDescent="0.3">
      <c r="A437">
        <v>33</v>
      </c>
      <c r="B437" t="s">
        <v>35</v>
      </c>
      <c r="C437" s="6">
        <f t="shared" si="6"/>
        <v>1</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t="s">
        <v>35</v>
      </c>
      <c r="Y437">
        <v>12</v>
      </c>
      <c r="Z437">
        <v>3</v>
      </c>
      <c r="AA437">
        <v>4</v>
      </c>
      <c r="AB437">
        <v>80</v>
      </c>
      <c r="AC437">
        <v>0</v>
      </c>
      <c r="AD437">
        <v>15</v>
      </c>
      <c r="AE437">
        <v>2</v>
      </c>
      <c r="AF437">
        <v>4</v>
      </c>
      <c r="AG437">
        <v>7</v>
      </c>
      <c r="AH437">
        <v>6</v>
      </c>
      <c r="AI437">
        <v>7</v>
      </c>
      <c r="AJ437">
        <v>7</v>
      </c>
    </row>
    <row r="438" spans="1:36" x14ac:dyDescent="0.3">
      <c r="A438">
        <v>33</v>
      </c>
      <c r="B438" t="s">
        <v>35</v>
      </c>
      <c r="C438" s="6">
        <f t="shared" si="6"/>
        <v>1</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t="s">
        <v>43</v>
      </c>
      <c r="Y438">
        <v>13</v>
      </c>
      <c r="Z438">
        <v>3</v>
      </c>
      <c r="AA438">
        <v>1</v>
      </c>
      <c r="AB438">
        <v>80</v>
      </c>
      <c r="AC438">
        <v>3</v>
      </c>
      <c r="AD438">
        <v>8</v>
      </c>
      <c r="AE438">
        <v>2</v>
      </c>
      <c r="AF438">
        <v>3</v>
      </c>
      <c r="AG438">
        <v>4</v>
      </c>
      <c r="AH438">
        <v>3</v>
      </c>
      <c r="AI438">
        <v>1</v>
      </c>
      <c r="AJ438">
        <v>3</v>
      </c>
    </row>
    <row r="439" spans="1:36" x14ac:dyDescent="0.3">
      <c r="A439">
        <v>30</v>
      </c>
      <c r="B439" t="s">
        <v>43</v>
      </c>
      <c r="C439" s="6">
        <f t="shared" si="6"/>
        <v>0</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t="s">
        <v>43</v>
      </c>
      <c r="Y439">
        <v>14</v>
      </c>
      <c r="Z439">
        <v>3</v>
      </c>
      <c r="AA439">
        <v>1</v>
      </c>
      <c r="AB439">
        <v>80</v>
      </c>
      <c r="AC439">
        <v>0</v>
      </c>
      <c r="AD439">
        <v>4</v>
      </c>
      <c r="AE439">
        <v>3</v>
      </c>
      <c r="AF439">
        <v>3</v>
      </c>
      <c r="AG439">
        <v>3</v>
      </c>
      <c r="AH439">
        <v>2</v>
      </c>
      <c r="AI439">
        <v>1</v>
      </c>
      <c r="AJ439">
        <v>2</v>
      </c>
    </row>
    <row r="440" spans="1:36" x14ac:dyDescent="0.3">
      <c r="A440">
        <v>35</v>
      </c>
      <c r="B440" t="s">
        <v>43</v>
      </c>
      <c r="C440" s="6">
        <f t="shared" si="6"/>
        <v>0</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t="s">
        <v>35</v>
      </c>
      <c r="Y440">
        <v>12</v>
      </c>
      <c r="Z440">
        <v>3</v>
      </c>
      <c r="AA440">
        <v>3</v>
      </c>
      <c r="AB440">
        <v>80</v>
      </c>
      <c r="AC440">
        <v>0</v>
      </c>
      <c r="AD440">
        <v>10</v>
      </c>
      <c r="AE440">
        <v>2</v>
      </c>
      <c r="AF440">
        <v>3</v>
      </c>
      <c r="AG440">
        <v>8</v>
      </c>
      <c r="AH440">
        <v>7</v>
      </c>
      <c r="AI440">
        <v>0</v>
      </c>
      <c r="AJ440">
        <v>0</v>
      </c>
    </row>
    <row r="441" spans="1:36" x14ac:dyDescent="0.3">
      <c r="A441">
        <v>31</v>
      </c>
      <c r="B441" t="s">
        <v>35</v>
      </c>
      <c r="C441" s="6">
        <f t="shared" si="6"/>
        <v>1</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t="s">
        <v>43</v>
      </c>
      <c r="Y441">
        <v>12</v>
      </c>
      <c r="Z441">
        <v>3</v>
      </c>
      <c r="AA441">
        <v>1</v>
      </c>
      <c r="AB441">
        <v>80</v>
      </c>
      <c r="AC441">
        <v>0</v>
      </c>
      <c r="AD441">
        <v>12</v>
      </c>
      <c r="AE441">
        <v>2</v>
      </c>
      <c r="AF441">
        <v>3</v>
      </c>
      <c r="AG441">
        <v>1</v>
      </c>
      <c r="AH441">
        <v>0</v>
      </c>
      <c r="AI441">
        <v>0</v>
      </c>
      <c r="AJ441">
        <v>0</v>
      </c>
    </row>
    <row r="442" spans="1:36" x14ac:dyDescent="0.3">
      <c r="A442">
        <v>34</v>
      </c>
      <c r="B442" t="s">
        <v>35</v>
      </c>
      <c r="C442" s="6">
        <f t="shared" si="6"/>
        <v>1</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t="s">
        <v>35</v>
      </c>
      <c r="Y442">
        <v>15</v>
      </c>
      <c r="Z442">
        <v>3</v>
      </c>
      <c r="AA442">
        <v>3</v>
      </c>
      <c r="AB442">
        <v>80</v>
      </c>
      <c r="AC442">
        <v>3</v>
      </c>
      <c r="AD442">
        <v>11</v>
      </c>
      <c r="AE442">
        <v>2</v>
      </c>
      <c r="AF442">
        <v>3</v>
      </c>
      <c r="AG442">
        <v>3</v>
      </c>
      <c r="AH442">
        <v>2</v>
      </c>
      <c r="AI442">
        <v>0</v>
      </c>
      <c r="AJ442">
        <v>2</v>
      </c>
    </row>
    <row r="443" spans="1:36" x14ac:dyDescent="0.3">
      <c r="A443">
        <v>42</v>
      </c>
      <c r="B443" t="s">
        <v>43</v>
      </c>
      <c r="C443" s="6">
        <f t="shared" si="6"/>
        <v>0</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t="s">
        <v>43</v>
      </c>
      <c r="Y443">
        <v>17</v>
      </c>
      <c r="Z443">
        <v>3</v>
      </c>
      <c r="AA443">
        <v>4</v>
      </c>
      <c r="AB443">
        <v>80</v>
      </c>
      <c r="AC443">
        <v>1</v>
      </c>
      <c r="AD443">
        <v>8</v>
      </c>
      <c r="AE443">
        <v>4</v>
      </c>
      <c r="AF443">
        <v>3</v>
      </c>
      <c r="AG443">
        <v>2</v>
      </c>
      <c r="AH443">
        <v>2</v>
      </c>
      <c r="AI443">
        <v>2</v>
      </c>
      <c r="AJ443">
        <v>0</v>
      </c>
    </row>
    <row r="444" spans="1:36" x14ac:dyDescent="0.3">
      <c r="A444">
        <v>36</v>
      </c>
      <c r="B444" t="s">
        <v>43</v>
      </c>
      <c r="C444" s="6">
        <f t="shared" si="6"/>
        <v>0</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t="s">
        <v>43</v>
      </c>
      <c r="Y444">
        <v>14</v>
      </c>
      <c r="Z444">
        <v>3</v>
      </c>
      <c r="AA444">
        <v>4</v>
      </c>
      <c r="AB444">
        <v>80</v>
      </c>
      <c r="AC444">
        <v>0</v>
      </c>
      <c r="AD444">
        <v>10</v>
      </c>
      <c r="AE444">
        <v>3</v>
      </c>
      <c r="AF444">
        <v>2</v>
      </c>
      <c r="AG444">
        <v>10</v>
      </c>
      <c r="AH444">
        <v>3</v>
      </c>
      <c r="AI444">
        <v>9</v>
      </c>
      <c r="AJ444">
        <v>7</v>
      </c>
    </row>
    <row r="445" spans="1:36" x14ac:dyDescent="0.3">
      <c r="A445">
        <v>22</v>
      </c>
      <c r="B445" t="s">
        <v>35</v>
      </c>
      <c r="C445" s="6">
        <f t="shared" si="6"/>
        <v>1</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t="s">
        <v>43</v>
      </c>
      <c r="Y445">
        <v>16</v>
      </c>
      <c r="Z445">
        <v>3</v>
      </c>
      <c r="AA445">
        <v>3</v>
      </c>
      <c r="AB445">
        <v>80</v>
      </c>
      <c r="AC445">
        <v>0</v>
      </c>
      <c r="AD445">
        <v>4</v>
      </c>
      <c r="AE445">
        <v>3</v>
      </c>
      <c r="AF445">
        <v>3</v>
      </c>
      <c r="AG445">
        <v>2</v>
      </c>
      <c r="AH445">
        <v>2</v>
      </c>
      <c r="AI445">
        <v>1</v>
      </c>
      <c r="AJ445">
        <v>2</v>
      </c>
    </row>
    <row r="446" spans="1:36" x14ac:dyDescent="0.3">
      <c r="A446">
        <v>48</v>
      </c>
      <c r="B446" t="s">
        <v>43</v>
      </c>
      <c r="C446" s="6">
        <f t="shared" si="6"/>
        <v>0</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t="s">
        <v>43</v>
      </c>
      <c r="Y446">
        <v>14</v>
      </c>
      <c r="Z446">
        <v>3</v>
      </c>
      <c r="AA446">
        <v>1</v>
      </c>
      <c r="AB446">
        <v>80</v>
      </c>
      <c r="AC446">
        <v>1</v>
      </c>
      <c r="AD446">
        <v>14</v>
      </c>
      <c r="AE446">
        <v>2</v>
      </c>
      <c r="AF446">
        <v>3</v>
      </c>
      <c r="AG446">
        <v>9</v>
      </c>
      <c r="AH446">
        <v>7</v>
      </c>
      <c r="AI446">
        <v>6</v>
      </c>
      <c r="AJ446">
        <v>7</v>
      </c>
    </row>
    <row r="447" spans="1:36" x14ac:dyDescent="0.3">
      <c r="A447">
        <v>55</v>
      </c>
      <c r="B447" t="s">
        <v>43</v>
      </c>
      <c r="C447" s="6">
        <f t="shared" si="6"/>
        <v>0</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t="s">
        <v>43</v>
      </c>
      <c r="Y447">
        <v>23</v>
      </c>
      <c r="Z447">
        <v>4</v>
      </c>
      <c r="AA447">
        <v>4</v>
      </c>
      <c r="AB447">
        <v>80</v>
      </c>
      <c r="AC447">
        <v>0</v>
      </c>
      <c r="AD447">
        <v>37</v>
      </c>
      <c r="AE447">
        <v>2</v>
      </c>
      <c r="AF447">
        <v>3</v>
      </c>
      <c r="AG447">
        <v>10</v>
      </c>
      <c r="AH447">
        <v>9</v>
      </c>
      <c r="AI447">
        <v>7</v>
      </c>
      <c r="AJ447">
        <v>7</v>
      </c>
    </row>
    <row r="448" spans="1:36" x14ac:dyDescent="0.3">
      <c r="A448">
        <v>41</v>
      </c>
      <c r="B448" t="s">
        <v>43</v>
      </c>
      <c r="C448" s="6">
        <f t="shared" si="6"/>
        <v>0</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t="s">
        <v>43</v>
      </c>
      <c r="Y448">
        <v>14</v>
      </c>
      <c r="Z448">
        <v>3</v>
      </c>
      <c r="AA448">
        <v>4</v>
      </c>
      <c r="AB448">
        <v>80</v>
      </c>
      <c r="AC448">
        <v>0</v>
      </c>
      <c r="AD448">
        <v>16</v>
      </c>
      <c r="AE448">
        <v>3</v>
      </c>
      <c r="AF448">
        <v>3</v>
      </c>
      <c r="AG448">
        <v>14</v>
      </c>
      <c r="AH448">
        <v>3</v>
      </c>
      <c r="AI448">
        <v>1</v>
      </c>
      <c r="AJ448">
        <v>10</v>
      </c>
    </row>
    <row r="449" spans="1:36" x14ac:dyDescent="0.3">
      <c r="A449">
        <v>35</v>
      </c>
      <c r="B449" t="s">
        <v>43</v>
      </c>
      <c r="C449" s="6">
        <f t="shared" si="6"/>
        <v>0</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t="s">
        <v>43</v>
      </c>
      <c r="Y449">
        <v>11</v>
      </c>
      <c r="Z449">
        <v>3</v>
      </c>
      <c r="AA449">
        <v>3</v>
      </c>
      <c r="AB449">
        <v>80</v>
      </c>
      <c r="AC449">
        <v>0</v>
      </c>
      <c r="AD449">
        <v>15</v>
      </c>
      <c r="AE449">
        <v>2</v>
      </c>
      <c r="AF449">
        <v>3</v>
      </c>
      <c r="AG449">
        <v>11</v>
      </c>
      <c r="AH449">
        <v>9</v>
      </c>
      <c r="AI449">
        <v>6</v>
      </c>
      <c r="AJ449">
        <v>9</v>
      </c>
    </row>
    <row r="450" spans="1:36" x14ac:dyDescent="0.3">
      <c r="A450">
        <v>40</v>
      </c>
      <c r="B450" t="s">
        <v>43</v>
      </c>
      <c r="C450" s="6">
        <f t="shared" si="6"/>
        <v>0</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t="s">
        <v>43</v>
      </c>
      <c r="Y450">
        <v>15</v>
      </c>
      <c r="Z450">
        <v>3</v>
      </c>
      <c r="AA450">
        <v>3</v>
      </c>
      <c r="AB450">
        <v>80</v>
      </c>
      <c r="AC450">
        <v>0</v>
      </c>
      <c r="AD450">
        <v>22</v>
      </c>
      <c r="AE450">
        <v>3</v>
      </c>
      <c r="AF450">
        <v>3</v>
      </c>
      <c r="AG450">
        <v>20</v>
      </c>
      <c r="AH450">
        <v>6</v>
      </c>
      <c r="AI450">
        <v>5</v>
      </c>
      <c r="AJ450">
        <v>13</v>
      </c>
    </row>
    <row r="451" spans="1:36" x14ac:dyDescent="0.3">
      <c r="A451">
        <v>39</v>
      </c>
      <c r="B451" t="s">
        <v>43</v>
      </c>
      <c r="C451" s="6">
        <f t="shared" ref="C451:C514" si="7">IF(B451="Yes",1,0)</f>
        <v>0</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t="s">
        <v>43</v>
      </c>
      <c r="Y451">
        <v>11</v>
      </c>
      <c r="Z451">
        <v>3</v>
      </c>
      <c r="AA451">
        <v>1</v>
      </c>
      <c r="AB451">
        <v>80</v>
      </c>
      <c r="AC451">
        <v>1</v>
      </c>
      <c r="AD451">
        <v>8</v>
      </c>
      <c r="AE451">
        <v>3</v>
      </c>
      <c r="AF451">
        <v>3</v>
      </c>
      <c r="AG451">
        <v>8</v>
      </c>
      <c r="AH451">
        <v>3</v>
      </c>
      <c r="AI451">
        <v>0</v>
      </c>
      <c r="AJ451">
        <v>7</v>
      </c>
    </row>
    <row r="452" spans="1:36" x14ac:dyDescent="0.3">
      <c r="A452">
        <v>31</v>
      </c>
      <c r="B452" t="s">
        <v>43</v>
      </c>
      <c r="C452" s="6">
        <f t="shared" si="7"/>
        <v>0</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t="s">
        <v>35</v>
      </c>
      <c r="Y452">
        <v>13</v>
      </c>
      <c r="Z452">
        <v>3</v>
      </c>
      <c r="AA452">
        <v>3</v>
      </c>
      <c r="AB452">
        <v>80</v>
      </c>
      <c r="AC452">
        <v>0</v>
      </c>
      <c r="AD452">
        <v>10</v>
      </c>
      <c r="AE452">
        <v>2</v>
      </c>
      <c r="AF452">
        <v>4</v>
      </c>
      <c r="AG452">
        <v>6</v>
      </c>
      <c r="AH452">
        <v>5</v>
      </c>
      <c r="AI452">
        <v>0</v>
      </c>
      <c r="AJ452">
        <v>5</v>
      </c>
    </row>
    <row r="453" spans="1:36" x14ac:dyDescent="0.3">
      <c r="A453">
        <v>42</v>
      </c>
      <c r="B453" t="s">
        <v>43</v>
      </c>
      <c r="C453" s="6">
        <f t="shared" si="7"/>
        <v>0</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t="s">
        <v>35</v>
      </c>
      <c r="Y453">
        <v>21</v>
      </c>
      <c r="Z453">
        <v>4</v>
      </c>
      <c r="AA453">
        <v>4</v>
      </c>
      <c r="AB453">
        <v>80</v>
      </c>
      <c r="AC453">
        <v>1</v>
      </c>
      <c r="AD453">
        <v>10</v>
      </c>
      <c r="AE453">
        <v>5</v>
      </c>
      <c r="AF453">
        <v>2</v>
      </c>
      <c r="AG453">
        <v>10</v>
      </c>
      <c r="AH453">
        <v>9</v>
      </c>
      <c r="AI453">
        <v>5</v>
      </c>
      <c r="AJ453">
        <v>8</v>
      </c>
    </row>
    <row r="454" spans="1:36" x14ac:dyDescent="0.3">
      <c r="A454">
        <v>45</v>
      </c>
      <c r="B454" t="s">
        <v>43</v>
      </c>
      <c r="C454" s="6">
        <f t="shared" si="7"/>
        <v>0</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t="s">
        <v>43</v>
      </c>
      <c r="Y454">
        <v>19</v>
      </c>
      <c r="Z454">
        <v>3</v>
      </c>
      <c r="AA454">
        <v>2</v>
      </c>
      <c r="AB454">
        <v>80</v>
      </c>
      <c r="AC454">
        <v>1</v>
      </c>
      <c r="AD454">
        <v>9</v>
      </c>
      <c r="AE454">
        <v>3</v>
      </c>
      <c r="AF454">
        <v>4</v>
      </c>
      <c r="AG454">
        <v>8</v>
      </c>
      <c r="AH454">
        <v>7</v>
      </c>
      <c r="AI454">
        <v>3</v>
      </c>
      <c r="AJ454">
        <v>7</v>
      </c>
    </row>
    <row r="455" spans="1:36" x14ac:dyDescent="0.3">
      <c r="A455">
        <v>26</v>
      </c>
      <c r="B455" t="s">
        <v>35</v>
      </c>
      <c r="C455" s="6">
        <f t="shared" si="7"/>
        <v>1</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t="s">
        <v>35</v>
      </c>
      <c r="Y455">
        <v>11</v>
      </c>
      <c r="Z455">
        <v>3</v>
      </c>
      <c r="AA455">
        <v>2</v>
      </c>
      <c r="AB455">
        <v>80</v>
      </c>
      <c r="AC455">
        <v>1</v>
      </c>
      <c r="AD455">
        <v>8</v>
      </c>
      <c r="AE455">
        <v>2</v>
      </c>
      <c r="AF455">
        <v>2</v>
      </c>
      <c r="AG455">
        <v>7</v>
      </c>
      <c r="AH455">
        <v>7</v>
      </c>
      <c r="AI455">
        <v>1</v>
      </c>
      <c r="AJ455">
        <v>0</v>
      </c>
    </row>
    <row r="456" spans="1:36" x14ac:dyDescent="0.3">
      <c r="A456">
        <v>29</v>
      </c>
      <c r="B456" t="s">
        <v>43</v>
      </c>
      <c r="C456" s="6">
        <f t="shared" si="7"/>
        <v>0</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t="s">
        <v>43</v>
      </c>
      <c r="Y456">
        <v>12</v>
      </c>
      <c r="Z456">
        <v>3</v>
      </c>
      <c r="AA456">
        <v>2</v>
      </c>
      <c r="AB456">
        <v>80</v>
      </c>
      <c r="AC456">
        <v>2</v>
      </c>
      <c r="AD456">
        <v>8</v>
      </c>
      <c r="AE456">
        <v>2</v>
      </c>
      <c r="AF456">
        <v>4</v>
      </c>
      <c r="AG456">
        <v>3</v>
      </c>
      <c r="AH456">
        <v>2</v>
      </c>
      <c r="AI456">
        <v>1</v>
      </c>
      <c r="AJ456">
        <v>2</v>
      </c>
    </row>
    <row r="457" spans="1:36" x14ac:dyDescent="0.3">
      <c r="A457">
        <v>33</v>
      </c>
      <c r="B457" t="s">
        <v>43</v>
      </c>
      <c r="C457" s="6">
        <f t="shared" si="7"/>
        <v>0</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t="s">
        <v>43</v>
      </c>
      <c r="Y457">
        <v>19</v>
      </c>
      <c r="Z457">
        <v>3</v>
      </c>
      <c r="AA457">
        <v>3</v>
      </c>
      <c r="AB457">
        <v>80</v>
      </c>
      <c r="AC457">
        <v>1</v>
      </c>
      <c r="AD457">
        <v>10</v>
      </c>
      <c r="AE457">
        <v>2</v>
      </c>
      <c r="AF457">
        <v>3</v>
      </c>
      <c r="AG457">
        <v>6</v>
      </c>
      <c r="AH457">
        <v>1</v>
      </c>
      <c r="AI457">
        <v>0</v>
      </c>
      <c r="AJ457">
        <v>5</v>
      </c>
    </row>
    <row r="458" spans="1:36" x14ac:dyDescent="0.3">
      <c r="A458">
        <v>31</v>
      </c>
      <c r="B458" t="s">
        <v>43</v>
      </c>
      <c r="C458" s="6">
        <f t="shared" si="7"/>
        <v>0</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t="s">
        <v>43</v>
      </c>
      <c r="Y458">
        <v>21</v>
      </c>
      <c r="Z458">
        <v>4</v>
      </c>
      <c r="AA458">
        <v>3</v>
      </c>
      <c r="AB458">
        <v>80</v>
      </c>
      <c r="AC458">
        <v>1</v>
      </c>
      <c r="AD458">
        <v>10</v>
      </c>
      <c r="AE458">
        <v>3</v>
      </c>
      <c r="AF458">
        <v>2</v>
      </c>
      <c r="AG458">
        <v>5</v>
      </c>
      <c r="AH458">
        <v>4</v>
      </c>
      <c r="AI458">
        <v>0</v>
      </c>
      <c r="AJ458">
        <v>1</v>
      </c>
    </row>
    <row r="459" spans="1:36" x14ac:dyDescent="0.3">
      <c r="A459">
        <v>18</v>
      </c>
      <c r="B459" t="s">
        <v>35</v>
      </c>
      <c r="C459" s="6">
        <f t="shared" si="7"/>
        <v>1</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t="s">
        <v>35</v>
      </c>
      <c r="Y459">
        <v>14</v>
      </c>
      <c r="Z459">
        <v>3</v>
      </c>
      <c r="AA459">
        <v>4</v>
      </c>
      <c r="AB459">
        <v>80</v>
      </c>
      <c r="AC459">
        <v>0</v>
      </c>
      <c r="AD459">
        <v>0</v>
      </c>
      <c r="AE459">
        <v>3</v>
      </c>
      <c r="AF459">
        <v>3</v>
      </c>
      <c r="AG459">
        <v>0</v>
      </c>
      <c r="AH459">
        <v>0</v>
      </c>
      <c r="AI459">
        <v>0</v>
      </c>
      <c r="AJ459">
        <v>0</v>
      </c>
    </row>
    <row r="460" spans="1:36" x14ac:dyDescent="0.3">
      <c r="A460">
        <v>40</v>
      </c>
      <c r="B460" t="s">
        <v>43</v>
      </c>
      <c r="C460" s="6">
        <f t="shared" si="7"/>
        <v>0</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t="s">
        <v>43</v>
      </c>
      <c r="Y460">
        <v>15</v>
      </c>
      <c r="Z460">
        <v>3</v>
      </c>
      <c r="AA460">
        <v>3</v>
      </c>
      <c r="AB460">
        <v>80</v>
      </c>
      <c r="AC460">
        <v>1</v>
      </c>
      <c r="AD460">
        <v>20</v>
      </c>
      <c r="AE460">
        <v>2</v>
      </c>
      <c r="AF460">
        <v>3</v>
      </c>
      <c r="AG460">
        <v>1</v>
      </c>
      <c r="AH460">
        <v>0</v>
      </c>
      <c r="AI460">
        <v>0</v>
      </c>
      <c r="AJ460">
        <v>1</v>
      </c>
    </row>
    <row r="461" spans="1:36" x14ac:dyDescent="0.3">
      <c r="A461">
        <v>41</v>
      </c>
      <c r="B461" t="s">
        <v>43</v>
      </c>
      <c r="C461" s="6">
        <f t="shared" si="7"/>
        <v>0</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t="s">
        <v>35</v>
      </c>
      <c r="Y461">
        <v>17</v>
      </c>
      <c r="Z461">
        <v>3</v>
      </c>
      <c r="AA461">
        <v>1</v>
      </c>
      <c r="AB461">
        <v>80</v>
      </c>
      <c r="AC461">
        <v>0</v>
      </c>
      <c r="AD461">
        <v>10</v>
      </c>
      <c r="AE461">
        <v>3</v>
      </c>
      <c r="AF461">
        <v>3</v>
      </c>
      <c r="AG461">
        <v>8</v>
      </c>
      <c r="AH461">
        <v>7</v>
      </c>
      <c r="AI461">
        <v>0</v>
      </c>
      <c r="AJ461">
        <v>7</v>
      </c>
    </row>
    <row r="462" spans="1:36" x14ac:dyDescent="0.3">
      <c r="A462">
        <v>26</v>
      </c>
      <c r="B462" t="s">
        <v>43</v>
      </c>
      <c r="C462" s="6">
        <f t="shared" si="7"/>
        <v>0</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t="s">
        <v>43</v>
      </c>
      <c r="Y462">
        <v>12</v>
      </c>
      <c r="Z462">
        <v>3</v>
      </c>
      <c r="AA462">
        <v>1</v>
      </c>
      <c r="AB462">
        <v>80</v>
      </c>
      <c r="AC462">
        <v>2</v>
      </c>
      <c r="AD462">
        <v>8</v>
      </c>
      <c r="AE462">
        <v>5</v>
      </c>
      <c r="AF462">
        <v>3</v>
      </c>
      <c r="AG462">
        <v>0</v>
      </c>
      <c r="AH462">
        <v>0</v>
      </c>
      <c r="AI462">
        <v>0</v>
      </c>
      <c r="AJ462">
        <v>0</v>
      </c>
    </row>
    <row r="463" spans="1:36" x14ac:dyDescent="0.3">
      <c r="A463">
        <v>35</v>
      </c>
      <c r="B463" t="s">
        <v>43</v>
      </c>
      <c r="C463" s="6">
        <f t="shared" si="7"/>
        <v>0</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t="s">
        <v>43</v>
      </c>
      <c r="Y463">
        <v>16</v>
      </c>
      <c r="Z463">
        <v>3</v>
      </c>
      <c r="AA463">
        <v>4</v>
      </c>
      <c r="AB463">
        <v>80</v>
      </c>
      <c r="AC463">
        <v>0</v>
      </c>
      <c r="AD463">
        <v>5</v>
      </c>
      <c r="AE463">
        <v>3</v>
      </c>
      <c r="AF463">
        <v>3</v>
      </c>
      <c r="AG463">
        <v>5</v>
      </c>
      <c r="AH463">
        <v>4</v>
      </c>
      <c r="AI463">
        <v>0</v>
      </c>
      <c r="AJ463">
        <v>3</v>
      </c>
    </row>
    <row r="464" spans="1:36" x14ac:dyDescent="0.3">
      <c r="A464">
        <v>34</v>
      </c>
      <c r="B464" t="s">
        <v>43</v>
      </c>
      <c r="C464" s="6">
        <f t="shared" si="7"/>
        <v>0</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t="s">
        <v>43</v>
      </c>
      <c r="Y464">
        <v>12</v>
      </c>
      <c r="Z464">
        <v>3</v>
      </c>
      <c r="AA464">
        <v>4</v>
      </c>
      <c r="AB464">
        <v>80</v>
      </c>
      <c r="AC464">
        <v>0</v>
      </c>
      <c r="AD464">
        <v>10</v>
      </c>
      <c r="AE464">
        <v>3</v>
      </c>
      <c r="AF464">
        <v>3</v>
      </c>
      <c r="AG464">
        <v>10</v>
      </c>
      <c r="AH464">
        <v>7</v>
      </c>
      <c r="AI464">
        <v>5</v>
      </c>
      <c r="AJ464">
        <v>7</v>
      </c>
    </row>
    <row r="465" spans="1:36" x14ac:dyDescent="0.3">
      <c r="A465">
        <v>26</v>
      </c>
      <c r="B465" t="s">
        <v>35</v>
      </c>
      <c r="C465" s="6">
        <f t="shared" si="7"/>
        <v>1</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t="s">
        <v>35</v>
      </c>
      <c r="Y465">
        <v>18</v>
      </c>
      <c r="Z465">
        <v>3</v>
      </c>
      <c r="AA465">
        <v>2</v>
      </c>
      <c r="AB465">
        <v>80</v>
      </c>
      <c r="AC465">
        <v>0</v>
      </c>
      <c r="AD465">
        <v>1</v>
      </c>
      <c r="AE465">
        <v>3</v>
      </c>
      <c r="AF465">
        <v>1</v>
      </c>
      <c r="AG465">
        <v>1</v>
      </c>
      <c r="AH465">
        <v>0</v>
      </c>
      <c r="AI465">
        <v>0</v>
      </c>
      <c r="AJ465">
        <v>0</v>
      </c>
    </row>
    <row r="466" spans="1:36" x14ac:dyDescent="0.3">
      <c r="A466">
        <v>37</v>
      </c>
      <c r="B466" t="s">
        <v>43</v>
      </c>
      <c r="C466" s="6">
        <f t="shared" si="7"/>
        <v>0</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t="s">
        <v>43</v>
      </c>
      <c r="Y466">
        <v>17</v>
      </c>
      <c r="Z466">
        <v>3</v>
      </c>
      <c r="AA466">
        <v>4</v>
      </c>
      <c r="AB466">
        <v>80</v>
      </c>
      <c r="AC466">
        <v>0</v>
      </c>
      <c r="AD466">
        <v>12</v>
      </c>
      <c r="AE466">
        <v>3</v>
      </c>
      <c r="AF466">
        <v>4</v>
      </c>
      <c r="AG466">
        <v>6</v>
      </c>
      <c r="AH466">
        <v>5</v>
      </c>
      <c r="AI466">
        <v>1</v>
      </c>
      <c r="AJ466">
        <v>2</v>
      </c>
    </row>
    <row r="467" spans="1:36" x14ac:dyDescent="0.3">
      <c r="A467">
        <v>46</v>
      </c>
      <c r="B467" t="s">
        <v>43</v>
      </c>
      <c r="C467" s="6">
        <f t="shared" si="7"/>
        <v>0</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t="s">
        <v>43</v>
      </c>
      <c r="Y467">
        <v>11</v>
      </c>
      <c r="Z467">
        <v>3</v>
      </c>
      <c r="AA467">
        <v>4</v>
      </c>
      <c r="AB467">
        <v>80</v>
      </c>
      <c r="AC467">
        <v>0</v>
      </c>
      <c r="AD467">
        <v>28</v>
      </c>
      <c r="AE467">
        <v>3</v>
      </c>
      <c r="AF467">
        <v>2</v>
      </c>
      <c r="AG467">
        <v>2</v>
      </c>
      <c r="AH467">
        <v>2</v>
      </c>
      <c r="AI467">
        <v>1</v>
      </c>
      <c r="AJ467">
        <v>2</v>
      </c>
    </row>
    <row r="468" spans="1:36" x14ac:dyDescent="0.3">
      <c r="A468">
        <v>41</v>
      </c>
      <c r="B468" t="s">
        <v>43</v>
      </c>
      <c r="C468" s="6">
        <f t="shared" si="7"/>
        <v>0</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t="s">
        <v>43</v>
      </c>
      <c r="Y468">
        <v>16</v>
      </c>
      <c r="Z468">
        <v>3</v>
      </c>
      <c r="AA468">
        <v>2</v>
      </c>
      <c r="AB468">
        <v>80</v>
      </c>
      <c r="AC468">
        <v>1</v>
      </c>
      <c r="AD468">
        <v>22</v>
      </c>
      <c r="AE468">
        <v>2</v>
      </c>
      <c r="AF468">
        <v>3</v>
      </c>
      <c r="AG468">
        <v>18</v>
      </c>
      <c r="AH468">
        <v>16</v>
      </c>
      <c r="AI468">
        <v>11</v>
      </c>
      <c r="AJ468">
        <v>8</v>
      </c>
    </row>
    <row r="469" spans="1:36" x14ac:dyDescent="0.3">
      <c r="A469">
        <v>37</v>
      </c>
      <c r="B469" t="s">
        <v>43</v>
      </c>
      <c r="C469" s="6">
        <f t="shared" si="7"/>
        <v>0</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t="s">
        <v>43</v>
      </c>
      <c r="Y469">
        <v>13</v>
      </c>
      <c r="Z469">
        <v>3</v>
      </c>
      <c r="AA469">
        <v>4</v>
      </c>
      <c r="AB469">
        <v>80</v>
      </c>
      <c r="AC469">
        <v>1</v>
      </c>
      <c r="AD469">
        <v>9</v>
      </c>
      <c r="AE469">
        <v>6</v>
      </c>
      <c r="AF469">
        <v>3</v>
      </c>
      <c r="AG469">
        <v>9</v>
      </c>
      <c r="AH469">
        <v>5</v>
      </c>
      <c r="AI469">
        <v>7</v>
      </c>
      <c r="AJ469">
        <v>7</v>
      </c>
    </row>
    <row r="470" spans="1:36" x14ac:dyDescent="0.3">
      <c r="A470">
        <v>52</v>
      </c>
      <c r="B470" t="s">
        <v>43</v>
      </c>
      <c r="C470" s="6">
        <f t="shared" si="7"/>
        <v>0</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t="s">
        <v>35</v>
      </c>
      <c r="Y470">
        <v>12</v>
      </c>
      <c r="Z470">
        <v>3</v>
      </c>
      <c r="AA470">
        <v>2</v>
      </c>
      <c r="AB470">
        <v>80</v>
      </c>
      <c r="AC470">
        <v>2</v>
      </c>
      <c r="AD470">
        <v>18</v>
      </c>
      <c r="AE470">
        <v>3</v>
      </c>
      <c r="AF470">
        <v>3</v>
      </c>
      <c r="AG470">
        <v>10</v>
      </c>
      <c r="AH470">
        <v>9</v>
      </c>
      <c r="AI470">
        <v>6</v>
      </c>
      <c r="AJ470">
        <v>9</v>
      </c>
    </row>
    <row r="471" spans="1:36" x14ac:dyDescent="0.3">
      <c r="A471">
        <v>32</v>
      </c>
      <c r="B471" t="s">
        <v>35</v>
      </c>
      <c r="C471" s="6">
        <f t="shared" si="7"/>
        <v>1</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t="s">
        <v>43</v>
      </c>
      <c r="Y471">
        <v>12</v>
      </c>
      <c r="Z471">
        <v>3</v>
      </c>
      <c r="AA471">
        <v>4</v>
      </c>
      <c r="AB471">
        <v>80</v>
      </c>
      <c r="AC471">
        <v>0</v>
      </c>
      <c r="AD471">
        <v>6</v>
      </c>
      <c r="AE471">
        <v>2</v>
      </c>
      <c r="AF471">
        <v>3</v>
      </c>
      <c r="AG471">
        <v>4</v>
      </c>
      <c r="AH471">
        <v>2</v>
      </c>
      <c r="AI471">
        <v>1</v>
      </c>
      <c r="AJ471">
        <v>2</v>
      </c>
    </row>
    <row r="472" spans="1:36" x14ac:dyDescent="0.3">
      <c r="A472">
        <v>24</v>
      </c>
      <c r="B472" t="s">
        <v>43</v>
      </c>
      <c r="C472" s="6">
        <f t="shared" si="7"/>
        <v>0</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t="s">
        <v>43</v>
      </c>
      <c r="Y472">
        <v>13</v>
      </c>
      <c r="Z472">
        <v>3</v>
      </c>
      <c r="AA472">
        <v>3</v>
      </c>
      <c r="AB472">
        <v>80</v>
      </c>
      <c r="AC472">
        <v>2</v>
      </c>
      <c r="AD472">
        <v>3</v>
      </c>
      <c r="AE472">
        <v>3</v>
      </c>
      <c r="AF472">
        <v>3</v>
      </c>
      <c r="AG472">
        <v>2</v>
      </c>
      <c r="AH472">
        <v>2</v>
      </c>
      <c r="AI472">
        <v>2</v>
      </c>
      <c r="AJ472">
        <v>1</v>
      </c>
    </row>
    <row r="473" spans="1:36" x14ac:dyDescent="0.3">
      <c r="A473">
        <v>38</v>
      </c>
      <c r="B473" t="s">
        <v>43</v>
      </c>
      <c r="C473" s="6">
        <f t="shared" si="7"/>
        <v>0</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t="s">
        <v>43</v>
      </c>
      <c r="Y473">
        <v>19</v>
      </c>
      <c r="Z473">
        <v>3</v>
      </c>
      <c r="AA473">
        <v>3</v>
      </c>
      <c r="AB473">
        <v>80</v>
      </c>
      <c r="AC473">
        <v>1</v>
      </c>
      <c r="AD473">
        <v>18</v>
      </c>
      <c r="AE473">
        <v>4</v>
      </c>
      <c r="AF473">
        <v>3</v>
      </c>
      <c r="AG473">
        <v>1</v>
      </c>
      <c r="AH473">
        <v>0</v>
      </c>
      <c r="AI473">
        <v>0</v>
      </c>
      <c r="AJ473">
        <v>0</v>
      </c>
    </row>
    <row r="474" spans="1:36" x14ac:dyDescent="0.3">
      <c r="A474">
        <v>37</v>
      </c>
      <c r="B474" t="s">
        <v>43</v>
      </c>
      <c r="C474" s="6">
        <f t="shared" si="7"/>
        <v>0</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t="s">
        <v>43</v>
      </c>
      <c r="Y474">
        <v>12</v>
      </c>
      <c r="Z474">
        <v>3</v>
      </c>
      <c r="AA474">
        <v>2</v>
      </c>
      <c r="AB474">
        <v>80</v>
      </c>
      <c r="AC474">
        <v>1</v>
      </c>
      <c r="AD474">
        <v>8</v>
      </c>
      <c r="AE474">
        <v>2</v>
      </c>
      <c r="AF474">
        <v>2</v>
      </c>
      <c r="AG474">
        <v>6</v>
      </c>
      <c r="AH474">
        <v>5</v>
      </c>
      <c r="AI474">
        <v>4</v>
      </c>
      <c r="AJ474">
        <v>3</v>
      </c>
    </row>
    <row r="475" spans="1:36" x14ac:dyDescent="0.3">
      <c r="A475">
        <v>49</v>
      </c>
      <c r="B475" t="s">
        <v>43</v>
      </c>
      <c r="C475" s="6">
        <f t="shared" si="7"/>
        <v>0</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t="s">
        <v>35</v>
      </c>
      <c r="Y475">
        <v>17</v>
      </c>
      <c r="Z475">
        <v>3</v>
      </c>
      <c r="AA475">
        <v>3</v>
      </c>
      <c r="AB475">
        <v>80</v>
      </c>
      <c r="AC475">
        <v>1</v>
      </c>
      <c r="AD475">
        <v>31</v>
      </c>
      <c r="AE475">
        <v>5</v>
      </c>
      <c r="AF475">
        <v>3</v>
      </c>
      <c r="AG475">
        <v>31</v>
      </c>
      <c r="AH475">
        <v>9</v>
      </c>
      <c r="AI475">
        <v>0</v>
      </c>
      <c r="AJ475">
        <v>9</v>
      </c>
    </row>
    <row r="476" spans="1:36" x14ac:dyDescent="0.3">
      <c r="A476">
        <v>24</v>
      </c>
      <c r="B476" t="s">
        <v>43</v>
      </c>
      <c r="C476" s="6">
        <f t="shared" si="7"/>
        <v>0</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t="s">
        <v>35</v>
      </c>
      <c r="Y476">
        <v>11</v>
      </c>
      <c r="Z476">
        <v>3</v>
      </c>
      <c r="AA476">
        <v>2</v>
      </c>
      <c r="AB476">
        <v>80</v>
      </c>
      <c r="AC476">
        <v>2</v>
      </c>
      <c r="AD476">
        <v>6</v>
      </c>
      <c r="AE476">
        <v>3</v>
      </c>
      <c r="AF476">
        <v>3</v>
      </c>
      <c r="AG476">
        <v>6</v>
      </c>
      <c r="AH476">
        <v>5</v>
      </c>
      <c r="AI476">
        <v>1</v>
      </c>
      <c r="AJ476">
        <v>4</v>
      </c>
    </row>
    <row r="477" spans="1:36" x14ac:dyDescent="0.3">
      <c r="A477">
        <v>26</v>
      </c>
      <c r="B477" t="s">
        <v>43</v>
      </c>
      <c r="C477" s="6">
        <f t="shared" si="7"/>
        <v>0</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t="s">
        <v>43</v>
      </c>
      <c r="Y477">
        <v>20</v>
      </c>
      <c r="Z477">
        <v>4</v>
      </c>
      <c r="AA477">
        <v>4</v>
      </c>
      <c r="AB477">
        <v>80</v>
      </c>
      <c r="AC477">
        <v>2</v>
      </c>
      <c r="AD477">
        <v>6</v>
      </c>
      <c r="AE477">
        <v>5</v>
      </c>
      <c r="AF477">
        <v>4</v>
      </c>
      <c r="AG477">
        <v>5</v>
      </c>
      <c r="AH477">
        <v>3</v>
      </c>
      <c r="AI477">
        <v>1</v>
      </c>
      <c r="AJ477">
        <v>4</v>
      </c>
    </row>
    <row r="478" spans="1:36" x14ac:dyDescent="0.3">
      <c r="A478">
        <v>24</v>
      </c>
      <c r="B478" t="s">
        <v>43</v>
      </c>
      <c r="C478" s="6">
        <f t="shared" si="7"/>
        <v>0</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t="s">
        <v>43</v>
      </c>
      <c r="Y478">
        <v>21</v>
      </c>
      <c r="Z478">
        <v>4</v>
      </c>
      <c r="AA478">
        <v>4</v>
      </c>
      <c r="AB478">
        <v>80</v>
      </c>
      <c r="AC478">
        <v>1</v>
      </c>
      <c r="AD478">
        <v>1</v>
      </c>
      <c r="AE478">
        <v>2</v>
      </c>
      <c r="AF478">
        <v>3</v>
      </c>
      <c r="AG478">
        <v>1</v>
      </c>
      <c r="AH478">
        <v>0</v>
      </c>
      <c r="AI478">
        <v>0</v>
      </c>
      <c r="AJ478">
        <v>0</v>
      </c>
    </row>
    <row r="479" spans="1:36" x14ac:dyDescent="0.3">
      <c r="A479">
        <v>50</v>
      </c>
      <c r="B479" t="s">
        <v>43</v>
      </c>
      <c r="C479" s="6">
        <f t="shared" si="7"/>
        <v>0</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t="s">
        <v>43</v>
      </c>
      <c r="Y479">
        <v>11</v>
      </c>
      <c r="Z479">
        <v>3</v>
      </c>
      <c r="AA479">
        <v>3</v>
      </c>
      <c r="AB479">
        <v>80</v>
      </c>
      <c r="AC479">
        <v>1</v>
      </c>
      <c r="AD479">
        <v>32</v>
      </c>
      <c r="AE479">
        <v>2</v>
      </c>
      <c r="AF479">
        <v>3</v>
      </c>
      <c r="AG479">
        <v>32</v>
      </c>
      <c r="AH479">
        <v>5</v>
      </c>
      <c r="AI479">
        <v>10</v>
      </c>
      <c r="AJ479">
        <v>7</v>
      </c>
    </row>
    <row r="480" spans="1:36" x14ac:dyDescent="0.3">
      <c r="A480">
        <v>25</v>
      </c>
      <c r="B480" t="s">
        <v>43</v>
      </c>
      <c r="C480" s="6">
        <f t="shared" si="7"/>
        <v>0</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t="s">
        <v>43</v>
      </c>
      <c r="Y480">
        <v>11</v>
      </c>
      <c r="Z480">
        <v>3</v>
      </c>
      <c r="AA480">
        <v>3</v>
      </c>
      <c r="AB480">
        <v>80</v>
      </c>
      <c r="AC480">
        <v>0</v>
      </c>
      <c r="AD480">
        <v>7</v>
      </c>
      <c r="AE480">
        <v>1</v>
      </c>
      <c r="AF480">
        <v>3</v>
      </c>
      <c r="AG480">
        <v>7</v>
      </c>
      <c r="AH480">
        <v>4</v>
      </c>
      <c r="AI480">
        <v>0</v>
      </c>
      <c r="AJ480">
        <v>6</v>
      </c>
    </row>
    <row r="481" spans="1:36" x14ac:dyDescent="0.3">
      <c r="A481">
        <v>24</v>
      </c>
      <c r="B481" t="s">
        <v>35</v>
      </c>
      <c r="C481" s="6">
        <f t="shared" si="7"/>
        <v>1</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t="s">
        <v>35</v>
      </c>
      <c r="Y481">
        <v>16</v>
      </c>
      <c r="Z481">
        <v>3</v>
      </c>
      <c r="AA481">
        <v>4</v>
      </c>
      <c r="AB481">
        <v>80</v>
      </c>
      <c r="AC481">
        <v>1</v>
      </c>
      <c r="AD481">
        <v>6</v>
      </c>
      <c r="AE481">
        <v>4</v>
      </c>
      <c r="AF481">
        <v>3</v>
      </c>
      <c r="AG481">
        <v>6</v>
      </c>
      <c r="AH481">
        <v>3</v>
      </c>
      <c r="AI481">
        <v>1</v>
      </c>
      <c r="AJ481">
        <v>2</v>
      </c>
    </row>
    <row r="482" spans="1:36" x14ac:dyDescent="0.3">
      <c r="A482">
        <v>30</v>
      </c>
      <c r="B482" t="s">
        <v>35</v>
      </c>
      <c r="C482" s="6">
        <f t="shared" si="7"/>
        <v>1</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t="s">
        <v>43</v>
      </c>
      <c r="Y482">
        <v>18</v>
      </c>
      <c r="Z482">
        <v>3</v>
      </c>
      <c r="AA482">
        <v>3</v>
      </c>
      <c r="AB482">
        <v>80</v>
      </c>
      <c r="AC482">
        <v>1</v>
      </c>
      <c r="AD482">
        <v>1</v>
      </c>
      <c r="AE482">
        <v>2</v>
      </c>
      <c r="AF482">
        <v>4</v>
      </c>
      <c r="AG482">
        <v>1</v>
      </c>
      <c r="AH482">
        <v>0</v>
      </c>
      <c r="AI482">
        <v>0</v>
      </c>
      <c r="AJ482">
        <v>0</v>
      </c>
    </row>
    <row r="483" spans="1:36" x14ac:dyDescent="0.3">
      <c r="A483">
        <v>34</v>
      </c>
      <c r="B483" t="s">
        <v>43</v>
      </c>
      <c r="C483" s="6">
        <f t="shared" si="7"/>
        <v>0</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t="s">
        <v>35</v>
      </c>
      <c r="Y483">
        <v>13</v>
      </c>
      <c r="Z483">
        <v>3</v>
      </c>
      <c r="AA483">
        <v>4</v>
      </c>
      <c r="AB483">
        <v>80</v>
      </c>
      <c r="AC483">
        <v>1</v>
      </c>
      <c r="AD483">
        <v>6</v>
      </c>
      <c r="AE483">
        <v>3</v>
      </c>
      <c r="AF483">
        <v>3</v>
      </c>
      <c r="AG483">
        <v>6</v>
      </c>
      <c r="AH483">
        <v>5</v>
      </c>
      <c r="AI483">
        <v>1</v>
      </c>
      <c r="AJ483">
        <v>3</v>
      </c>
    </row>
    <row r="484" spans="1:36" x14ac:dyDescent="0.3">
      <c r="A484">
        <v>31</v>
      </c>
      <c r="B484" t="s">
        <v>35</v>
      </c>
      <c r="C484" s="6">
        <f t="shared" si="7"/>
        <v>1</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t="s">
        <v>43</v>
      </c>
      <c r="Y484">
        <v>17</v>
      </c>
      <c r="Z484">
        <v>3</v>
      </c>
      <c r="AA484">
        <v>3</v>
      </c>
      <c r="AB484">
        <v>80</v>
      </c>
      <c r="AC484">
        <v>0</v>
      </c>
      <c r="AD484">
        <v>9</v>
      </c>
      <c r="AE484">
        <v>2</v>
      </c>
      <c r="AF484">
        <v>1</v>
      </c>
      <c r="AG484">
        <v>3</v>
      </c>
      <c r="AH484">
        <v>1</v>
      </c>
      <c r="AI484">
        <v>1</v>
      </c>
      <c r="AJ484">
        <v>2</v>
      </c>
    </row>
    <row r="485" spans="1:36" x14ac:dyDescent="0.3">
      <c r="A485">
        <v>35</v>
      </c>
      <c r="B485" t="s">
        <v>43</v>
      </c>
      <c r="C485" s="6">
        <f t="shared" si="7"/>
        <v>0</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t="s">
        <v>43</v>
      </c>
      <c r="Y485">
        <v>14</v>
      </c>
      <c r="Z485">
        <v>3</v>
      </c>
      <c r="AA485">
        <v>4</v>
      </c>
      <c r="AB485">
        <v>80</v>
      </c>
      <c r="AC485">
        <v>0</v>
      </c>
      <c r="AD485">
        <v>9</v>
      </c>
      <c r="AE485">
        <v>3</v>
      </c>
      <c r="AF485">
        <v>3</v>
      </c>
      <c r="AG485">
        <v>3</v>
      </c>
      <c r="AH485">
        <v>2</v>
      </c>
      <c r="AI485">
        <v>0</v>
      </c>
      <c r="AJ485">
        <v>2</v>
      </c>
    </row>
    <row r="486" spans="1:36" x14ac:dyDescent="0.3">
      <c r="A486">
        <v>31</v>
      </c>
      <c r="B486" t="s">
        <v>43</v>
      </c>
      <c r="C486" s="6">
        <f t="shared" si="7"/>
        <v>0</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t="s">
        <v>43</v>
      </c>
      <c r="Y486">
        <v>22</v>
      </c>
      <c r="Z486">
        <v>4</v>
      </c>
      <c r="AA486">
        <v>4</v>
      </c>
      <c r="AB486">
        <v>80</v>
      </c>
      <c r="AC486">
        <v>2</v>
      </c>
      <c r="AD486">
        <v>13</v>
      </c>
      <c r="AE486">
        <v>4</v>
      </c>
      <c r="AF486">
        <v>4</v>
      </c>
      <c r="AG486">
        <v>7</v>
      </c>
      <c r="AH486">
        <v>7</v>
      </c>
      <c r="AI486">
        <v>5</v>
      </c>
      <c r="AJ486">
        <v>7</v>
      </c>
    </row>
    <row r="487" spans="1:36" x14ac:dyDescent="0.3">
      <c r="A487">
        <v>27</v>
      </c>
      <c r="B487" t="s">
        <v>43</v>
      </c>
      <c r="C487" s="6">
        <f t="shared" si="7"/>
        <v>0</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t="s">
        <v>43</v>
      </c>
      <c r="Y487">
        <v>12</v>
      </c>
      <c r="Z487">
        <v>3</v>
      </c>
      <c r="AA487">
        <v>3</v>
      </c>
      <c r="AB487">
        <v>80</v>
      </c>
      <c r="AC487">
        <v>2</v>
      </c>
      <c r="AD487">
        <v>6</v>
      </c>
      <c r="AE487">
        <v>5</v>
      </c>
      <c r="AF487">
        <v>2</v>
      </c>
      <c r="AG487">
        <v>5</v>
      </c>
      <c r="AH487">
        <v>3</v>
      </c>
      <c r="AI487">
        <v>0</v>
      </c>
      <c r="AJ487">
        <v>3</v>
      </c>
    </row>
    <row r="488" spans="1:36" x14ac:dyDescent="0.3">
      <c r="A488">
        <v>37</v>
      </c>
      <c r="B488" t="s">
        <v>43</v>
      </c>
      <c r="C488" s="6">
        <f t="shared" si="7"/>
        <v>0</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t="s">
        <v>35</v>
      </c>
      <c r="Y488">
        <v>11</v>
      </c>
      <c r="Z488">
        <v>3</v>
      </c>
      <c r="AA488">
        <v>3</v>
      </c>
      <c r="AB488">
        <v>80</v>
      </c>
      <c r="AC488">
        <v>1</v>
      </c>
      <c r="AD488">
        <v>17</v>
      </c>
      <c r="AE488">
        <v>3</v>
      </c>
      <c r="AF488">
        <v>2</v>
      </c>
      <c r="AG488">
        <v>3</v>
      </c>
      <c r="AH488">
        <v>0</v>
      </c>
      <c r="AI488">
        <v>1</v>
      </c>
      <c r="AJ488">
        <v>0</v>
      </c>
    </row>
    <row r="489" spans="1:36" x14ac:dyDescent="0.3">
      <c r="A489">
        <v>20</v>
      </c>
      <c r="B489" t="s">
        <v>43</v>
      </c>
      <c r="C489" s="6">
        <f t="shared" si="7"/>
        <v>0</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t="s">
        <v>43</v>
      </c>
      <c r="Y489">
        <v>13</v>
      </c>
      <c r="Z489">
        <v>3</v>
      </c>
      <c r="AA489">
        <v>4</v>
      </c>
      <c r="AB489">
        <v>80</v>
      </c>
      <c r="AC489">
        <v>0</v>
      </c>
      <c r="AD489">
        <v>1</v>
      </c>
      <c r="AE489">
        <v>0</v>
      </c>
      <c r="AF489">
        <v>4</v>
      </c>
      <c r="AG489">
        <v>1</v>
      </c>
      <c r="AH489">
        <v>0</v>
      </c>
      <c r="AI489">
        <v>0</v>
      </c>
      <c r="AJ489">
        <v>0</v>
      </c>
    </row>
    <row r="490" spans="1:36" x14ac:dyDescent="0.3">
      <c r="A490">
        <v>42</v>
      </c>
      <c r="B490" t="s">
        <v>43</v>
      </c>
      <c r="C490" s="6">
        <f t="shared" si="7"/>
        <v>0</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t="s">
        <v>43</v>
      </c>
      <c r="Y490">
        <v>13</v>
      </c>
      <c r="Z490">
        <v>3</v>
      </c>
      <c r="AA490">
        <v>2</v>
      </c>
      <c r="AB490">
        <v>80</v>
      </c>
      <c r="AC490">
        <v>2</v>
      </c>
      <c r="AD490">
        <v>10</v>
      </c>
      <c r="AE490">
        <v>4</v>
      </c>
      <c r="AF490">
        <v>3</v>
      </c>
      <c r="AG490">
        <v>10</v>
      </c>
      <c r="AH490">
        <v>2</v>
      </c>
      <c r="AI490">
        <v>2</v>
      </c>
      <c r="AJ490">
        <v>2</v>
      </c>
    </row>
    <row r="491" spans="1:36" x14ac:dyDescent="0.3">
      <c r="A491">
        <v>43</v>
      </c>
      <c r="B491" t="s">
        <v>43</v>
      </c>
      <c r="C491" s="6">
        <f t="shared" si="7"/>
        <v>0</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t="s">
        <v>35</v>
      </c>
      <c r="Y491">
        <v>14</v>
      </c>
      <c r="Z491">
        <v>3</v>
      </c>
      <c r="AA491">
        <v>3</v>
      </c>
      <c r="AB491">
        <v>80</v>
      </c>
      <c r="AC491">
        <v>1</v>
      </c>
      <c r="AD491">
        <v>21</v>
      </c>
      <c r="AE491">
        <v>3</v>
      </c>
      <c r="AF491">
        <v>2</v>
      </c>
      <c r="AG491">
        <v>1</v>
      </c>
      <c r="AH491">
        <v>0</v>
      </c>
      <c r="AI491">
        <v>0</v>
      </c>
      <c r="AJ491">
        <v>0</v>
      </c>
    </row>
    <row r="492" spans="1:36" x14ac:dyDescent="0.3">
      <c r="A492">
        <v>38</v>
      </c>
      <c r="B492" t="s">
        <v>43</v>
      </c>
      <c r="C492" s="6">
        <f t="shared" si="7"/>
        <v>0</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t="s">
        <v>43</v>
      </c>
      <c r="Y492">
        <v>17</v>
      </c>
      <c r="Z492">
        <v>3</v>
      </c>
      <c r="AA492">
        <v>4</v>
      </c>
      <c r="AB492">
        <v>80</v>
      </c>
      <c r="AC492">
        <v>0</v>
      </c>
      <c r="AD492">
        <v>8</v>
      </c>
      <c r="AE492">
        <v>3</v>
      </c>
      <c r="AF492">
        <v>2</v>
      </c>
      <c r="AG492">
        <v>0</v>
      </c>
      <c r="AH492">
        <v>0</v>
      </c>
      <c r="AI492">
        <v>0</v>
      </c>
      <c r="AJ492">
        <v>0</v>
      </c>
    </row>
    <row r="493" spans="1:36" x14ac:dyDescent="0.3">
      <c r="A493">
        <v>43</v>
      </c>
      <c r="B493" t="s">
        <v>43</v>
      </c>
      <c r="C493" s="6">
        <f t="shared" si="7"/>
        <v>0</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t="s">
        <v>35</v>
      </c>
      <c r="Y493">
        <v>13</v>
      </c>
      <c r="Z493">
        <v>3</v>
      </c>
      <c r="AA493">
        <v>2</v>
      </c>
      <c r="AB493">
        <v>80</v>
      </c>
      <c r="AC493">
        <v>1</v>
      </c>
      <c r="AD493">
        <v>10</v>
      </c>
      <c r="AE493">
        <v>3</v>
      </c>
      <c r="AF493">
        <v>3</v>
      </c>
      <c r="AG493">
        <v>8</v>
      </c>
      <c r="AH493">
        <v>7</v>
      </c>
      <c r="AI493">
        <v>4</v>
      </c>
      <c r="AJ493">
        <v>7</v>
      </c>
    </row>
    <row r="494" spans="1:36" x14ac:dyDescent="0.3">
      <c r="A494">
        <v>48</v>
      </c>
      <c r="B494" t="s">
        <v>43</v>
      </c>
      <c r="C494" s="6">
        <f t="shared" si="7"/>
        <v>0</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t="s">
        <v>43</v>
      </c>
      <c r="Y494">
        <v>11</v>
      </c>
      <c r="Z494">
        <v>3</v>
      </c>
      <c r="AA494">
        <v>1</v>
      </c>
      <c r="AB494">
        <v>80</v>
      </c>
      <c r="AC494">
        <v>1</v>
      </c>
      <c r="AD494">
        <v>21</v>
      </c>
      <c r="AE494">
        <v>3</v>
      </c>
      <c r="AF494">
        <v>1</v>
      </c>
      <c r="AG494">
        <v>3</v>
      </c>
      <c r="AH494">
        <v>2</v>
      </c>
      <c r="AI494">
        <v>0</v>
      </c>
      <c r="AJ494">
        <v>2</v>
      </c>
    </row>
    <row r="495" spans="1:36" x14ac:dyDescent="0.3">
      <c r="A495">
        <v>44</v>
      </c>
      <c r="B495" t="s">
        <v>43</v>
      </c>
      <c r="C495" s="6">
        <f t="shared" si="7"/>
        <v>0</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t="s">
        <v>43</v>
      </c>
      <c r="Y495">
        <v>11</v>
      </c>
      <c r="Z495">
        <v>3</v>
      </c>
      <c r="AA495">
        <v>2</v>
      </c>
      <c r="AB495">
        <v>80</v>
      </c>
      <c r="AC495">
        <v>0</v>
      </c>
      <c r="AD495">
        <v>10</v>
      </c>
      <c r="AE495">
        <v>1</v>
      </c>
      <c r="AF495">
        <v>4</v>
      </c>
      <c r="AG495">
        <v>2</v>
      </c>
      <c r="AH495">
        <v>2</v>
      </c>
      <c r="AI495">
        <v>0</v>
      </c>
      <c r="AJ495">
        <v>2</v>
      </c>
    </row>
    <row r="496" spans="1:36" x14ac:dyDescent="0.3">
      <c r="A496">
        <v>34</v>
      </c>
      <c r="B496" t="s">
        <v>43</v>
      </c>
      <c r="C496" s="6">
        <f t="shared" si="7"/>
        <v>0</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t="s">
        <v>35</v>
      </c>
      <c r="Y496">
        <v>18</v>
      </c>
      <c r="Z496">
        <v>3</v>
      </c>
      <c r="AA496">
        <v>4</v>
      </c>
      <c r="AB496">
        <v>80</v>
      </c>
      <c r="AC496">
        <v>2</v>
      </c>
      <c r="AD496">
        <v>8</v>
      </c>
      <c r="AE496">
        <v>3</v>
      </c>
      <c r="AF496">
        <v>3</v>
      </c>
      <c r="AG496">
        <v>8</v>
      </c>
      <c r="AH496">
        <v>2</v>
      </c>
      <c r="AI496">
        <v>0</v>
      </c>
      <c r="AJ496">
        <v>6</v>
      </c>
    </row>
    <row r="497" spans="1:36" x14ac:dyDescent="0.3">
      <c r="A497">
        <v>27</v>
      </c>
      <c r="B497" t="s">
        <v>35</v>
      </c>
      <c r="C497" s="6">
        <f t="shared" si="7"/>
        <v>1</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t="s">
        <v>43</v>
      </c>
      <c r="Y497">
        <v>11</v>
      </c>
      <c r="Z497">
        <v>3</v>
      </c>
      <c r="AA497">
        <v>2</v>
      </c>
      <c r="AB497">
        <v>80</v>
      </c>
      <c r="AC497">
        <v>1</v>
      </c>
      <c r="AD497">
        <v>5</v>
      </c>
      <c r="AE497">
        <v>3</v>
      </c>
      <c r="AF497">
        <v>3</v>
      </c>
      <c r="AG497">
        <v>4</v>
      </c>
      <c r="AH497">
        <v>3</v>
      </c>
      <c r="AI497">
        <v>0</v>
      </c>
      <c r="AJ497">
        <v>2</v>
      </c>
    </row>
    <row r="498" spans="1:36" x14ac:dyDescent="0.3">
      <c r="A498">
        <v>21</v>
      </c>
      <c r="B498" t="s">
        <v>43</v>
      </c>
      <c r="C498" s="6">
        <f t="shared" si="7"/>
        <v>0</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t="s">
        <v>43</v>
      </c>
      <c r="Y498">
        <v>11</v>
      </c>
      <c r="Z498">
        <v>3</v>
      </c>
      <c r="AA498">
        <v>3</v>
      </c>
      <c r="AB498">
        <v>80</v>
      </c>
      <c r="AC498">
        <v>0</v>
      </c>
      <c r="AD498">
        <v>3</v>
      </c>
      <c r="AE498">
        <v>2</v>
      </c>
      <c r="AF498">
        <v>3</v>
      </c>
      <c r="AG498">
        <v>3</v>
      </c>
      <c r="AH498">
        <v>2</v>
      </c>
      <c r="AI498">
        <v>1</v>
      </c>
      <c r="AJ498">
        <v>2</v>
      </c>
    </row>
    <row r="499" spans="1:36" x14ac:dyDescent="0.3">
      <c r="A499">
        <v>44</v>
      </c>
      <c r="B499" t="s">
        <v>43</v>
      </c>
      <c r="C499" s="6">
        <f t="shared" si="7"/>
        <v>0</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t="s">
        <v>35</v>
      </c>
      <c r="Y499">
        <v>12</v>
      </c>
      <c r="Z499">
        <v>3</v>
      </c>
      <c r="AA499">
        <v>1</v>
      </c>
      <c r="AB499">
        <v>80</v>
      </c>
      <c r="AC499">
        <v>1</v>
      </c>
      <c r="AD499">
        <v>26</v>
      </c>
      <c r="AE499">
        <v>2</v>
      </c>
      <c r="AF499">
        <v>4</v>
      </c>
      <c r="AG499">
        <v>2</v>
      </c>
      <c r="AH499">
        <v>2</v>
      </c>
      <c r="AI499">
        <v>0</v>
      </c>
      <c r="AJ499">
        <v>1</v>
      </c>
    </row>
    <row r="500" spans="1:36" x14ac:dyDescent="0.3">
      <c r="A500">
        <v>22</v>
      </c>
      <c r="B500" t="s">
        <v>43</v>
      </c>
      <c r="C500" s="6">
        <f t="shared" si="7"/>
        <v>0</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t="s">
        <v>43</v>
      </c>
      <c r="Y500">
        <v>20</v>
      </c>
      <c r="Z500">
        <v>4</v>
      </c>
      <c r="AA500">
        <v>4</v>
      </c>
      <c r="AB500">
        <v>80</v>
      </c>
      <c r="AC500">
        <v>0</v>
      </c>
      <c r="AD500">
        <v>3</v>
      </c>
      <c r="AE500">
        <v>3</v>
      </c>
      <c r="AF500">
        <v>3</v>
      </c>
      <c r="AG500">
        <v>2</v>
      </c>
      <c r="AH500">
        <v>2</v>
      </c>
      <c r="AI500">
        <v>2</v>
      </c>
      <c r="AJ500">
        <v>2</v>
      </c>
    </row>
    <row r="501" spans="1:36" x14ac:dyDescent="0.3">
      <c r="A501">
        <v>33</v>
      </c>
      <c r="B501" t="s">
        <v>43</v>
      </c>
      <c r="C501" s="6">
        <f t="shared" si="7"/>
        <v>0</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t="s">
        <v>43</v>
      </c>
      <c r="Y501">
        <v>12</v>
      </c>
      <c r="Z501">
        <v>3</v>
      </c>
      <c r="AA501">
        <v>4</v>
      </c>
      <c r="AB501">
        <v>80</v>
      </c>
      <c r="AC501">
        <v>0</v>
      </c>
      <c r="AD501">
        <v>6</v>
      </c>
      <c r="AE501">
        <v>3</v>
      </c>
      <c r="AF501">
        <v>3</v>
      </c>
      <c r="AG501">
        <v>5</v>
      </c>
      <c r="AH501">
        <v>0</v>
      </c>
      <c r="AI501">
        <v>1</v>
      </c>
      <c r="AJ501">
        <v>2</v>
      </c>
    </row>
    <row r="502" spans="1:36" x14ac:dyDescent="0.3">
      <c r="A502">
        <v>32</v>
      </c>
      <c r="B502" t="s">
        <v>43</v>
      </c>
      <c r="C502" s="6">
        <f t="shared" si="7"/>
        <v>0</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t="s">
        <v>35</v>
      </c>
      <c r="Y502">
        <v>12</v>
      </c>
      <c r="Z502">
        <v>3</v>
      </c>
      <c r="AA502">
        <v>4</v>
      </c>
      <c r="AB502">
        <v>80</v>
      </c>
      <c r="AC502">
        <v>1</v>
      </c>
      <c r="AD502">
        <v>6</v>
      </c>
      <c r="AE502">
        <v>2</v>
      </c>
      <c r="AF502">
        <v>2</v>
      </c>
      <c r="AG502">
        <v>6</v>
      </c>
      <c r="AH502">
        <v>4</v>
      </c>
      <c r="AI502">
        <v>0</v>
      </c>
      <c r="AJ502">
        <v>5</v>
      </c>
    </row>
    <row r="503" spans="1:36" x14ac:dyDescent="0.3">
      <c r="A503">
        <v>30</v>
      </c>
      <c r="B503" t="s">
        <v>43</v>
      </c>
      <c r="C503" s="6">
        <f t="shared" si="7"/>
        <v>0</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t="s">
        <v>43</v>
      </c>
      <c r="Y503">
        <v>20</v>
      </c>
      <c r="Z503">
        <v>4</v>
      </c>
      <c r="AA503">
        <v>3</v>
      </c>
      <c r="AB503">
        <v>80</v>
      </c>
      <c r="AC503">
        <v>1</v>
      </c>
      <c r="AD503">
        <v>1</v>
      </c>
      <c r="AE503">
        <v>2</v>
      </c>
      <c r="AF503">
        <v>3</v>
      </c>
      <c r="AG503">
        <v>1</v>
      </c>
      <c r="AH503">
        <v>0</v>
      </c>
      <c r="AI503">
        <v>0</v>
      </c>
      <c r="AJ503">
        <v>0</v>
      </c>
    </row>
    <row r="504" spans="1:36" x14ac:dyDescent="0.3">
      <c r="A504">
        <v>53</v>
      </c>
      <c r="B504" t="s">
        <v>43</v>
      </c>
      <c r="C504" s="6">
        <f t="shared" si="7"/>
        <v>0</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t="s">
        <v>43</v>
      </c>
      <c r="Y504">
        <v>20</v>
      </c>
      <c r="Z504">
        <v>4</v>
      </c>
      <c r="AA504">
        <v>4</v>
      </c>
      <c r="AB504">
        <v>80</v>
      </c>
      <c r="AC504">
        <v>0</v>
      </c>
      <c r="AD504">
        <v>18</v>
      </c>
      <c r="AE504">
        <v>2</v>
      </c>
      <c r="AF504">
        <v>4</v>
      </c>
      <c r="AG504">
        <v>14</v>
      </c>
      <c r="AH504">
        <v>7</v>
      </c>
      <c r="AI504">
        <v>8</v>
      </c>
      <c r="AJ504">
        <v>10</v>
      </c>
    </row>
    <row r="505" spans="1:36" x14ac:dyDescent="0.3">
      <c r="A505">
        <v>34</v>
      </c>
      <c r="B505" t="s">
        <v>43</v>
      </c>
      <c r="C505" s="6">
        <f t="shared" si="7"/>
        <v>0</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t="s">
        <v>43</v>
      </c>
      <c r="Y505">
        <v>12</v>
      </c>
      <c r="Z505">
        <v>3</v>
      </c>
      <c r="AA505">
        <v>4</v>
      </c>
      <c r="AB505">
        <v>80</v>
      </c>
      <c r="AC505">
        <v>1</v>
      </c>
      <c r="AD505">
        <v>10</v>
      </c>
      <c r="AE505">
        <v>4</v>
      </c>
      <c r="AF505">
        <v>2</v>
      </c>
      <c r="AG505">
        <v>10</v>
      </c>
      <c r="AH505">
        <v>9</v>
      </c>
      <c r="AI505">
        <v>8</v>
      </c>
      <c r="AJ505">
        <v>8</v>
      </c>
    </row>
    <row r="506" spans="1:36" x14ac:dyDescent="0.3">
      <c r="A506">
        <v>45</v>
      </c>
      <c r="B506" t="s">
        <v>35</v>
      </c>
      <c r="C506" s="6">
        <f t="shared" si="7"/>
        <v>1</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t="s">
        <v>43</v>
      </c>
      <c r="Y506">
        <v>14</v>
      </c>
      <c r="Z506">
        <v>3</v>
      </c>
      <c r="AA506">
        <v>4</v>
      </c>
      <c r="AB506">
        <v>80</v>
      </c>
      <c r="AC506">
        <v>2</v>
      </c>
      <c r="AD506">
        <v>5</v>
      </c>
      <c r="AE506">
        <v>4</v>
      </c>
      <c r="AF506">
        <v>3</v>
      </c>
      <c r="AG506">
        <v>1</v>
      </c>
      <c r="AH506">
        <v>1</v>
      </c>
      <c r="AI506">
        <v>0</v>
      </c>
      <c r="AJ506">
        <v>0</v>
      </c>
    </row>
    <row r="507" spans="1:36" x14ac:dyDescent="0.3">
      <c r="A507">
        <v>26</v>
      </c>
      <c r="B507" t="s">
        <v>43</v>
      </c>
      <c r="C507" s="6">
        <f t="shared" si="7"/>
        <v>0</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t="s">
        <v>35</v>
      </c>
      <c r="Y507">
        <v>13</v>
      </c>
      <c r="Z507">
        <v>3</v>
      </c>
      <c r="AA507">
        <v>3</v>
      </c>
      <c r="AB507">
        <v>80</v>
      </c>
      <c r="AC507">
        <v>1</v>
      </c>
      <c r="AD507">
        <v>3</v>
      </c>
      <c r="AE507">
        <v>2</v>
      </c>
      <c r="AF507">
        <v>3</v>
      </c>
      <c r="AG507">
        <v>3</v>
      </c>
      <c r="AH507">
        <v>2</v>
      </c>
      <c r="AI507">
        <v>0</v>
      </c>
      <c r="AJ507">
        <v>2</v>
      </c>
    </row>
    <row r="508" spans="1:36" x14ac:dyDescent="0.3">
      <c r="A508">
        <v>37</v>
      </c>
      <c r="B508" t="s">
        <v>43</v>
      </c>
      <c r="C508" s="6">
        <f t="shared" si="7"/>
        <v>0</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t="s">
        <v>43</v>
      </c>
      <c r="Y508">
        <v>15</v>
      </c>
      <c r="Z508">
        <v>3</v>
      </c>
      <c r="AA508">
        <v>3</v>
      </c>
      <c r="AB508">
        <v>80</v>
      </c>
      <c r="AC508">
        <v>1</v>
      </c>
      <c r="AD508">
        <v>10</v>
      </c>
      <c r="AE508">
        <v>2</v>
      </c>
      <c r="AF508">
        <v>3</v>
      </c>
      <c r="AG508">
        <v>10</v>
      </c>
      <c r="AH508">
        <v>7</v>
      </c>
      <c r="AI508">
        <v>7</v>
      </c>
      <c r="AJ508">
        <v>8</v>
      </c>
    </row>
    <row r="509" spans="1:36" x14ac:dyDescent="0.3">
      <c r="A509">
        <v>29</v>
      </c>
      <c r="B509" t="s">
        <v>43</v>
      </c>
      <c r="C509" s="6">
        <f t="shared" si="7"/>
        <v>0</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t="s">
        <v>43</v>
      </c>
      <c r="Y509">
        <v>14</v>
      </c>
      <c r="Z509">
        <v>3</v>
      </c>
      <c r="AA509">
        <v>1</v>
      </c>
      <c r="AB509">
        <v>80</v>
      </c>
      <c r="AC509">
        <v>1</v>
      </c>
      <c r="AD509">
        <v>6</v>
      </c>
      <c r="AE509">
        <v>5</v>
      </c>
      <c r="AF509">
        <v>2</v>
      </c>
      <c r="AG509">
        <v>6</v>
      </c>
      <c r="AH509">
        <v>0</v>
      </c>
      <c r="AI509">
        <v>1</v>
      </c>
      <c r="AJ509">
        <v>2</v>
      </c>
    </row>
    <row r="510" spans="1:36" x14ac:dyDescent="0.3">
      <c r="A510">
        <v>35</v>
      </c>
      <c r="B510" t="s">
        <v>43</v>
      </c>
      <c r="C510" s="6">
        <f t="shared" si="7"/>
        <v>0</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t="s">
        <v>43</v>
      </c>
      <c r="Y510">
        <v>13</v>
      </c>
      <c r="Z510">
        <v>3</v>
      </c>
      <c r="AA510">
        <v>2</v>
      </c>
      <c r="AB510">
        <v>80</v>
      </c>
      <c r="AC510">
        <v>0</v>
      </c>
      <c r="AD510">
        <v>17</v>
      </c>
      <c r="AE510">
        <v>3</v>
      </c>
      <c r="AF510">
        <v>3</v>
      </c>
      <c r="AG510">
        <v>17</v>
      </c>
      <c r="AH510">
        <v>11</v>
      </c>
      <c r="AI510">
        <v>11</v>
      </c>
      <c r="AJ510">
        <v>8</v>
      </c>
    </row>
    <row r="511" spans="1:36" x14ac:dyDescent="0.3">
      <c r="A511">
        <v>33</v>
      </c>
      <c r="B511" t="s">
        <v>43</v>
      </c>
      <c r="C511" s="6">
        <f t="shared" si="7"/>
        <v>0</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t="s">
        <v>43</v>
      </c>
      <c r="Y511">
        <v>23</v>
      </c>
      <c r="Z511">
        <v>4</v>
      </c>
      <c r="AA511">
        <v>3</v>
      </c>
      <c r="AB511">
        <v>80</v>
      </c>
      <c r="AC511">
        <v>1</v>
      </c>
      <c r="AD511">
        <v>15</v>
      </c>
      <c r="AE511">
        <v>2</v>
      </c>
      <c r="AF511">
        <v>1</v>
      </c>
      <c r="AG511">
        <v>13</v>
      </c>
      <c r="AH511">
        <v>11</v>
      </c>
      <c r="AI511">
        <v>4</v>
      </c>
      <c r="AJ511">
        <v>7</v>
      </c>
    </row>
    <row r="512" spans="1:36" x14ac:dyDescent="0.3">
      <c r="A512">
        <v>54</v>
      </c>
      <c r="B512" t="s">
        <v>43</v>
      </c>
      <c r="C512" s="6">
        <f t="shared" si="7"/>
        <v>0</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t="s">
        <v>43</v>
      </c>
      <c r="Y512">
        <v>15</v>
      </c>
      <c r="Z512">
        <v>3</v>
      </c>
      <c r="AA512">
        <v>3</v>
      </c>
      <c r="AB512">
        <v>80</v>
      </c>
      <c r="AC512">
        <v>1</v>
      </c>
      <c r="AD512">
        <v>16</v>
      </c>
      <c r="AE512">
        <v>1</v>
      </c>
      <c r="AF512">
        <v>4</v>
      </c>
      <c r="AG512">
        <v>9</v>
      </c>
      <c r="AH512">
        <v>7</v>
      </c>
      <c r="AI512">
        <v>7</v>
      </c>
      <c r="AJ512">
        <v>1</v>
      </c>
    </row>
    <row r="513" spans="1:36" x14ac:dyDescent="0.3">
      <c r="A513">
        <v>36</v>
      </c>
      <c r="B513" t="s">
        <v>43</v>
      </c>
      <c r="C513" s="6">
        <f t="shared" si="7"/>
        <v>0</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t="s">
        <v>35</v>
      </c>
      <c r="Y513">
        <v>11</v>
      </c>
      <c r="Z513">
        <v>3</v>
      </c>
      <c r="AA513">
        <v>3</v>
      </c>
      <c r="AB513">
        <v>80</v>
      </c>
      <c r="AC513">
        <v>1</v>
      </c>
      <c r="AD513">
        <v>13</v>
      </c>
      <c r="AE513">
        <v>2</v>
      </c>
      <c r="AF513">
        <v>3</v>
      </c>
      <c r="AG513">
        <v>3</v>
      </c>
      <c r="AH513">
        <v>2</v>
      </c>
      <c r="AI513">
        <v>0</v>
      </c>
      <c r="AJ513">
        <v>2</v>
      </c>
    </row>
    <row r="514" spans="1:36" x14ac:dyDescent="0.3">
      <c r="A514">
        <v>27</v>
      </c>
      <c r="B514" t="s">
        <v>43</v>
      </c>
      <c r="C514" s="6">
        <f t="shared" si="7"/>
        <v>0</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t="s">
        <v>43</v>
      </c>
      <c r="Y514">
        <v>13</v>
      </c>
      <c r="Z514">
        <v>3</v>
      </c>
      <c r="AA514">
        <v>4</v>
      </c>
      <c r="AB514">
        <v>80</v>
      </c>
      <c r="AC514">
        <v>0</v>
      </c>
      <c r="AD514">
        <v>5</v>
      </c>
      <c r="AE514">
        <v>0</v>
      </c>
      <c r="AF514">
        <v>3</v>
      </c>
      <c r="AG514">
        <v>4</v>
      </c>
      <c r="AH514">
        <v>2</v>
      </c>
      <c r="AI514">
        <v>1</v>
      </c>
      <c r="AJ514">
        <v>1</v>
      </c>
    </row>
    <row r="515" spans="1:36" x14ac:dyDescent="0.3">
      <c r="A515">
        <v>20</v>
      </c>
      <c r="B515" t="s">
        <v>35</v>
      </c>
      <c r="C515" s="6">
        <f t="shared" ref="C515:C578" si="8">IF(B515="Yes",1,0)</f>
        <v>1</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t="s">
        <v>35</v>
      </c>
      <c r="Y515">
        <v>11</v>
      </c>
      <c r="Z515">
        <v>3</v>
      </c>
      <c r="AA515">
        <v>4</v>
      </c>
      <c r="AB515">
        <v>80</v>
      </c>
      <c r="AC515">
        <v>0</v>
      </c>
      <c r="AD515">
        <v>1</v>
      </c>
      <c r="AE515">
        <v>5</v>
      </c>
      <c r="AF515">
        <v>3</v>
      </c>
      <c r="AG515">
        <v>1</v>
      </c>
      <c r="AH515">
        <v>0</v>
      </c>
      <c r="AI515">
        <v>1</v>
      </c>
      <c r="AJ515">
        <v>1</v>
      </c>
    </row>
    <row r="516" spans="1:36" x14ac:dyDescent="0.3">
      <c r="A516">
        <v>33</v>
      </c>
      <c r="B516" t="s">
        <v>35</v>
      </c>
      <c r="C516" s="6">
        <f t="shared" si="8"/>
        <v>1</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t="s">
        <v>35</v>
      </c>
      <c r="Y516">
        <v>11</v>
      </c>
      <c r="Z516">
        <v>3</v>
      </c>
      <c r="AA516">
        <v>1</v>
      </c>
      <c r="AB516">
        <v>80</v>
      </c>
      <c r="AC516">
        <v>0</v>
      </c>
      <c r="AD516">
        <v>10</v>
      </c>
      <c r="AE516">
        <v>3</v>
      </c>
      <c r="AF516">
        <v>3</v>
      </c>
      <c r="AG516">
        <v>10</v>
      </c>
      <c r="AH516">
        <v>8</v>
      </c>
      <c r="AI516">
        <v>9</v>
      </c>
      <c r="AJ516">
        <v>7</v>
      </c>
    </row>
    <row r="517" spans="1:36" x14ac:dyDescent="0.3">
      <c r="A517">
        <v>35</v>
      </c>
      <c r="B517" t="s">
        <v>43</v>
      </c>
      <c r="C517" s="6">
        <f t="shared" si="8"/>
        <v>0</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t="s">
        <v>43</v>
      </c>
      <c r="Y517">
        <v>18</v>
      </c>
      <c r="Z517">
        <v>3</v>
      </c>
      <c r="AA517">
        <v>3</v>
      </c>
      <c r="AB517">
        <v>80</v>
      </c>
      <c r="AC517">
        <v>2</v>
      </c>
      <c r="AD517">
        <v>1</v>
      </c>
      <c r="AE517">
        <v>3</v>
      </c>
      <c r="AF517">
        <v>3</v>
      </c>
      <c r="AG517">
        <v>1</v>
      </c>
      <c r="AH517">
        <v>0</v>
      </c>
      <c r="AI517">
        <v>0</v>
      </c>
      <c r="AJ517">
        <v>0</v>
      </c>
    </row>
    <row r="518" spans="1:36" x14ac:dyDescent="0.3">
      <c r="A518">
        <v>23</v>
      </c>
      <c r="B518" t="s">
        <v>43</v>
      </c>
      <c r="C518" s="6">
        <f t="shared" si="8"/>
        <v>0</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t="s">
        <v>43</v>
      </c>
      <c r="Y518">
        <v>16</v>
      </c>
      <c r="Z518">
        <v>3</v>
      </c>
      <c r="AA518">
        <v>1</v>
      </c>
      <c r="AB518">
        <v>80</v>
      </c>
      <c r="AC518">
        <v>1</v>
      </c>
      <c r="AD518">
        <v>5</v>
      </c>
      <c r="AE518">
        <v>3</v>
      </c>
      <c r="AF518">
        <v>4</v>
      </c>
      <c r="AG518">
        <v>3</v>
      </c>
      <c r="AH518">
        <v>2</v>
      </c>
      <c r="AI518">
        <v>0</v>
      </c>
      <c r="AJ518">
        <v>2</v>
      </c>
    </row>
    <row r="519" spans="1:36" x14ac:dyDescent="0.3">
      <c r="A519">
        <v>25</v>
      </c>
      <c r="B519" t="s">
        <v>43</v>
      </c>
      <c r="C519" s="6">
        <f t="shared" si="8"/>
        <v>0</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t="s">
        <v>43</v>
      </c>
      <c r="Y519">
        <v>22</v>
      </c>
      <c r="Z519">
        <v>4</v>
      </c>
      <c r="AA519">
        <v>3</v>
      </c>
      <c r="AB519">
        <v>80</v>
      </c>
      <c r="AC519">
        <v>1</v>
      </c>
      <c r="AD519">
        <v>4</v>
      </c>
      <c r="AE519">
        <v>4</v>
      </c>
      <c r="AF519">
        <v>3</v>
      </c>
      <c r="AG519">
        <v>3</v>
      </c>
      <c r="AH519">
        <v>2</v>
      </c>
      <c r="AI519">
        <v>1</v>
      </c>
      <c r="AJ519">
        <v>2</v>
      </c>
    </row>
    <row r="520" spans="1:36" x14ac:dyDescent="0.3">
      <c r="A520">
        <v>38</v>
      </c>
      <c r="B520" t="s">
        <v>43</v>
      </c>
      <c r="C520" s="6">
        <f t="shared" si="8"/>
        <v>0</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t="s">
        <v>43</v>
      </c>
      <c r="Y520">
        <v>20</v>
      </c>
      <c r="Z520">
        <v>4</v>
      </c>
      <c r="AA520">
        <v>1</v>
      </c>
      <c r="AB520">
        <v>80</v>
      </c>
      <c r="AC520">
        <v>0</v>
      </c>
      <c r="AD520">
        <v>8</v>
      </c>
      <c r="AE520">
        <v>2</v>
      </c>
      <c r="AF520">
        <v>3</v>
      </c>
      <c r="AG520">
        <v>7</v>
      </c>
      <c r="AH520">
        <v>7</v>
      </c>
      <c r="AI520">
        <v>0</v>
      </c>
      <c r="AJ520">
        <v>5</v>
      </c>
    </row>
    <row r="521" spans="1:36" x14ac:dyDescent="0.3">
      <c r="A521">
        <v>29</v>
      </c>
      <c r="B521" t="s">
        <v>43</v>
      </c>
      <c r="C521" s="6">
        <f t="shared" si="8"/>
        <v>0</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t="s">
        <v>43</v>
      </c>
      <c r="Y521">
        <v>18</v>
      </c>
      <c r="Z521">
        <v>3</v>
      </c>
      <c r="AA521">
        <v>4</v>
      </c>
      <c r="AB521">
        <v>80</v>
      </c>
      <c r="AC521">
        <v>1</v>
      </c>
      <c r="AD521">
        <v>10</v>
      </c>
      <c r="AE521">
        <v>5</v>
      </c>
      <c r="AF521">
        <v>3</v>
      </c>
      <c r="AG521">
        <v>10</v>
      </c>
      <c r="AH521">
        <v>7</v>
      </c>
      <c r="AI521">
        <v>2</v>
      </c>
      <c r="AJ521">
        <v>8</v>
      </c>
    </row>
    <row r="522" spans="1:36" x14ac:dyDescent="0.3">
      <c r="A522">
        <v>48</v>
      </c>
      <c r="B522" t="s">
        <v>43</v>
      </c>
      <c r="C522" s="6">
        <f t="shared" si="8"/>
        <v>0</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t="s">
        <v>43</v>
      </c>
      <c r="Y522">
        <v>12</v>
      </c>
      <c r="Z522">
        <v>3</v>
      </c>
      <c r="AA522">
        <v>4</v>
      </c>
      <c r="AB522">
        <v>80</v>
      </c>
      <c r="AC522">
        <v>0</v>
      </c>
      <c r="AD522">
        <v>12</v>
      </c>
      <c r="AE522">
        <v>3</v>
      </c>
      <c r="AF522">
        <v>3</v>
      </c>
      <c r="AG522">
        <v>2</v>
      </c>
      <c r="AH522">
        <v>2</v>
      </c>
      <c r="AI522">
        <v>2</v>
      </c>
      <c r="AJ522">
        <v>2</v>
      </c>
    </row>
    <row r="523" spans="1:36" x14ac:dyDescent="0.3">
      <c r="A523">
        <v>27</v>
      </c>
      <c r="B523" t="s">
        <v>43</v>
      </c>
      <c r="C523" s="6">
        <f t="shared" si="8"/>
        <v>0</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t="s">
        <v>35</v>
      </c>
      <c r="Y523">
        <v>20</v>
      </c>
      <c r="Z523">
        <v>4</v>
      </c>
      <c r="AA523">
        <v>2</v>
      </c>
      <c r="AB523">
        <v>80</v>
      </c>
      <c r="AC523">
        <v>2</v>
      </c>
      <c r="AD523">
        <v>6</v>
      </c>
      <c r="AE523">
        <v>3</v>
      </c>
      <c r="AF523">
        <v>3</v>
      </c>
      <c r="AG523">
        <v>6</v>
      </c>
      <c r="AH523">
        <v>5</v>
      </c>
      <c r="AI523">
        <v>0</v>
      </c>
      <c r="AJ523">
        <v>4</v>
      </c>
    </row>
    <row r="524" spans="1:36" x14ac:dyDescent="0.3">
      <c r="A524">
        <v>37</v>
      </c>
      <c r="B524" t="s">
        <v>43</v>
      </c>
      <c r="C524" s="6">
        <f t="shared" si="8"/>
        <v>0</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t="s">
        <v>43</v>
      </c>
      <c r="Y524">
        <v>17</v>
      </c>
      <c r="Z524">
        <v>3</v>
      </c>
      <c r="AA524">
        <v>1</v>
      </c>
      <c r="AB524">
        <v>80</v>
      </c>
      <c r="AC524">
        <v>0</v>
      </c>
      <c r="AD524">
        <v>4</v>
      </c>
      <c r="AE524">
        <v>2</v>
      </c>
      <c r="AF524">
        <v>3</v>
      </c>
      <c r="AG524">
        <v>1</v>
      </c>
      <c r="AH524">
        <v>0</v>
      </c>
      <c r="AI524">
        <v>0</v>
      </c>
      <c r="AJ524">
        <v>0</v>
      </c>
    </row>
    <row r="525" spans="1:36" x14ac:dyDescent="0.3">
      <c r="A525">
        <v>50</v>
      </c>
      <c r="B525" t="s">
        <v>43</v>
      </c>
      <c r="C525" s="6">
        <f t="shared" si="8"/>
        <v>0</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t="s">
        <v>35</v>
      </c>
      <c r="Y525">
        <v>11</v>
      </c>
      <c r="Z525">
        <v>3</v>
      </c>
      <c r="AA525">
        <v>3</v>
      </c>
      <c r="AB525">
        <v>80</v>
      </c>
      <c r="AC525">
        <v>3</v>
      </c>
      <c r="AD525">
        <v>20</v>
      </c>
      <c r="AE525">
        <v>3</v>
      </c>
      <c r="AF525">
        <v>3</v>
      </c>
      <c r="AG525">
        <v>20</v>
      </c>
      <c r="AH525">
        <v>8</v>
      </c>
      <c r="AI525">
        <v>3</v>
      </c>
      <c r="AJ525">
        <v>8</v>
      </c>
    </row>
    <row r="526" spans="1:36" x14ac:dyDescent="0.3">
      <c r="A526">
        <v>34</v>
      </c>
      <c r="B526" t="s">
        <v>43</v>
      </c>
      <c r="C526" s="6">
        <f t="shared" si="8"/>
        <v>0</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t="s">
        <v>43</v>
      </c>
      <c r="Y526">
        <v>14</v>
      </c>
      <c r="Z526">
        <v>3</v>
      </c>
      <c r="AA526">
        <v>2</v>
      </c>
      <c r="AB526">
        <v>80</v>
      </c>
      <c r="AC526">
        <v>0</v>
      </c>
      <c r="AD526">
        <v>9</v>
      </c>
      <c r="AE526">
        <v>3</v>
      </c>
      <c r="AF526">
        <v>4</v>
      </c>
      <c r="AG526">
        <v>8</v>
      </c>
      <c r="AH526">
        <v>7</v>
      </c>
      <c r="AI526">
        <v>7</v>
      </c>
      <c r="AJ526">
        <v>7</v>
      </c>
    </row>
    <row r="527" spans="1:36" x14ac:dyDescent="0.3">
      <c r="A527">
        <v>24</v>
      </c>
      <c r="B527" t="s">
        <v>35</v>
      </c>
      <c r="C527" s="6">
        <f t="shared" si="8"/>
        <v>1</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t="s">
        <v>43</v>
      </c>
      <c r="Y527">
        <v>14</v>
      </c>
      <c r="Z527">
        <v>3</v>
      </c>
      <c r="AA527">
        <v>1</v>
      </c>
      <c r="AB527">
        <v>80</v>
      </c>
      <c r="AC527">
        <v>0</v>
      </c>
      <c r="AD527">
        <v>4</v>
      </c>
      <c r="AE527">
        <v>3</v>
      </c>
      <c r="AF527">
        <v>3</v>
      </c>
      <c r="AG527">
        <v>2</v>
      </c>
      <c r="AH527">
        <v>2</v>
      </c>
      <c r="AI527">
        <v>2</v>
      </c>
      <c r="AJ527">
        <v>0</v>
      </c>
    </row>
    <row r="528" spans="1:36" x14ac:dyDescent="0.3">
      <c r="A528">
        <v>39</v>
      </c>
      <c r="B528" t="s">
        <v>43</v>
      </c>
      <c r="C528" s="6">
        <f t="shared" si="8"/>
        <v>0</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t="s">
        <v>43</v>
      </c>
      <c r="Y528">
        <v>11</v>
      </c>
      <c r="Z528">
        <v>3</v>
      </c>
      <c r="AA528">
        <v>1</v>
      </c>
      <c r="AB528">
        <v>80</v>
      </c>
      <c r="AC528">
        <v>0</v>
      </c>
      <c r="AD528">
        <v>20</v>
      </c>
      <c r="AE528">
        <v>4</v>
      </c>
      <c r="AF528">
        <v>3</v>
      </c>
      <c r="AG528">
        <v>20</v>
      </c>
      <c r="AH528">
        <v>7</v>
      </c>
      <c r="AI528">
        <v>11</v>
      </c>
      <c r="AJ528">
        <v>10</v>
      </c>
    </row>
    <row r="529" spans="1:36" x14ac:dyDescent="0.3">
      <c r="A529">
        <v>32</v>
      </c>
      <c r="B529" t="s">
        <v>43</v>
      </c>
      <c r="C529" s="6">
        <f t="shared" si="8"/>
        <v>0</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t="s">
        <v>43</v>
      </c>
      <c r="Y529">
        <v>12</v>
      </c>
      <c r="Z529">
        <v>3</v>
      </c>
      <c r="AA529">
        <v>4</v>
      </c>
      <c r="AB529">
        <v>80</v>
      </c>
      <c r="AC529">
        <v>0</v>
      </c>
      <c r="AD529">
        <v>10</v>
      </c>
      <c r="AE529">
        <v>2</v>
      </c>
      <c r="AF529">
        <v>2</v>
      </c>
      <c r="AG529">
        <v>10</v>
      </c>
      <c r="AH529">
        <v>7</v>
      </c>
      <c r="AI529">
        <v>0</v>
      </c>
      <c r="AJ529">
        <v>8</v>
      </c>
    </row>
    <row r="530" spans="1:36" x14ac:dyDescent="0.3">
      <c r="A530">
        <v>50</v>
      </c>
      <c r="B530" t="s">
        <v>35</v>
      </c>
      <c r="C530" s="6">
        <f t="shared" si="8"/>
        <v>1</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t="s">
        <v>35</v>
      </c>
      <c r="Y530">
        <v>14</v>
      </c>
      <c r="Z530">
        <v>3</v>
      </c>
      <c r="AA530">
        <v>1</v>
      </c>
      <c r="AB530">
        <v>80</v>
      </c>
      <c r="AC530">
        <v>1</v>
      </c>
      <c r="AD530">
        <v>18</v>
      </c>
      <c r="AE530">
        <v>4</v>
      </c>
      <c r="AF530">
        <v>3</v>
      </c>
      <c r="AG530">
        <v>4</v>
      </c>
      <c r="AH530">
        <v>3</v>
      </c>
      <c r="AI530">
        <v>1</v>
      </c>
      <c r="AJ530">
        <v>3</v>
      </c>
    </row>
    <row r="531" spans="1:36" x14ac:dyDescent="0.3">
      <c r="A531">
        <v>38</v>
      </c>
      <c r="B531" t="s">
        <v>43</v>
      </c>
      <c r="C531" s="6">
        <f t="shared" si="8"/>
        <v>0</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t="s">
        <v>43</v>
      </c>
      <c r="Y531">
        <v>13</v>
      </c>
      <c r="Z531">
        <v>3</v>
      </c>
      <c r="AA531">
        <v>3</v>
      </c>
      <c r="AB531">
        <v>80</v>
      </c>
      <c r="AC531">
        <v>0</v>
      </c>
      <c r="AD531">
        <v>10</v>
      </c>
      <c r="AE531">
        <v>4</v>
      </c>
      <c r="AF531">
        <v>2</v>
      </c>
      <c r="AG531">
        <v>9</v>
      </c>
      <c r="AH531">
        <v>7</v>
      </c>
      <c r="AI531">
        <v>1</v>
      </c>
      <c r="AJ531">
        <v>8</v>
      </c>
    </row>
    <row r="532" spans="1:36" x14ac:dyDescent="0.3">
      <c r="A532">
        <v>27</v>
      </c>
      <c r="B532" t="s">
        <v>43</v>
      </c>
      <c r="C532" s="6">
        <f t="shared" si="8"/>
        <v>0</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t="s">
        <v>43</v>
      </c>
      <c r="Y532">
        <v>11</v>
      </c>
      <c r="Z532">
        <v>3</v>
      </c>
      <c r="AA532">
        <v>4</v>
      </c>
      <c r="AB532">
        <v>80</v>
      </c>
      <c r="AC532">
        <v>0</v>
      </c>
      <c r="AD532">
        <v>9</v>
      </c>
      <c r="AE532">
        <v>3</v>
      </c>
      <c r="AF532">
        <v>3</v>
      </c>
      <c r="AG532">
        <v>9</v>
      </c>
      <c r="AH532">
        <v>7</v>
      </c>
      <c r="AI532">
        <v>0</v>
      </c>
      <c r="AJ532">
        <v>7</v>
      </c>
    </row>
    <row r="533" spans="1:36" x14ac:dyDescent="0.3">
      <c r="A533">
        <v>32</v>
      </c>
      <c r="B533" t="s">
        <v>43</v>
      </c>
      <c r="C533" s="6">
        <f t="shared" si="8"/>
        <v>0</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t="s">
        <v>43</v>
      </c>
      <c r="Y533">
        <v>15</v>
      </c>
      <c r="Z533">
        <v>3</v>
      </c>
      <c r="AA533">
        <v>4</v>
      </c>
      <c r="AB533">
        <v>80</v>
      </c>
      <c r="AC533">
        <v>0</v>
      </c>
      <c r="AD533">
        <v>10</v>
      </c>
      <c r="AE533">
        <v>6</v>
      </c>
      <c r="AF533">
        <v>3</v>
      </c>
      <c r="AG533">
        <v>7</v>
      </c>
      <c r="AH533">
        <v>7</v>
      </c>
      <c r="AI533">
        <v>7</v>
      </c>
      <c r="AJ533">
        <v>7</v>
      </c>
    </row>
    <row r="534" spans="1:36" x14ac:dyDescent="0.3">
      <c r="A534">
        <v>47</v>
      </c>
      <c r="B534" t="s">
        <v>43</v>
      </c>
      <c r="C534" s="6">
        <f t="shared" si="8"/>
        <v>0</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t="s">
        <v>43</v>
      </c>
      <c r="Y534">
        <v>12</v>
      </c>
      <c r="Z534">
        <v>3</v>
      </c>
      <c r="AA534">
        <v>4</v>
      </c>
      <c r="AB534">
        <v>80</v>
      </c>
      <c r="AC534">
        <v>0</v>
      </c>
      <c r="AD534">
        <v>20</v>
      </c>
      <c r="AE534">
        <v>2</v>
      </c>
      <c r="AF534">
        <v>3</v>
      </c>
      <c r="AG534">
        <v>7</v>
      </c>
      <c r="AH534">
        <v>7</v>
      </c>
      <c r="AI534">
        <v>1</v>
      </c>
      <c r="AJ534">
        <v>7</v>
      </c>
    </row>
    <row r="535" spans="1:36" x14ac:dyDescent="0.3">
      <c r="A535">
        <v>40</v>
      </c>
      <c r="B535" t="s">
        <v>43</v>
      </c>
      <c r="C535" s="6">
        <f t="shared" si="8"/>
        <v>0</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t="s">
        <v>35</v>
      </c>
      <c r="Y535">
        <v>21</v>
      </c>
      <c r="Z535">
        <v>4</v>
      </c>
      <c r="AA535">
        <v>3</v>
      </c>
      <c r="AB535">
        <v>80</v>
      </c>
      <c r="AC535">
        <v>1</v>
      </c>
      <c r="AD535">
        <v>20</v>
      </c>
      <c r="AE535">
        <v>2</v>
      </c>
      <c r="AF535">
        <v>3</v>
      </c>
      <c r="AG535">
        <v>18</v>
      </c>
      <c r="AH535">
        <v>13</v>
      </c>
      <c r="AI535">
        <v>1</v>
      </c>
      <c r="AJ535">
        <v>12</v>
      </c>
    </row>
    <row r="536" spans="1:36" x14ac:dyDescent="0.3">
      <c r="A536">
        <v>53</v>
      </c>
      <c r="B536" t="s">
        <v>43</v>
      </c>
      <c r="C536" s="6">
        <f t="shared" si="8"/>
        <v>0</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t="s">
        <v>43</v>
      </c>
      <c r="Y536">
        <v>19</v>
      </c>
      <c r="Z536">
        <v>3</v>
      </c>
      <c r="AA536">
        <v>3</v>
      </c>
      <c r="AB536">
        <v>80</v>
      </c>
      <c r="AC536">
        <v>0</v>
      </c>
      <c r="AD536">
        <v>32</v>
      </c>
      <c r="AE536">
        <v>3</v>
      </c>
      <c r="AF536">
        <v>3</v>
      </c>
      <c r="AG536">
        <v>5</v>
      </c>
      <c r="AH536">
        <v>1</v>
      </c>
      <c r="AI536">
        <v>1</v>
      </c>
      <c r="AJ536">
        <v>3</v>
      </c>
    </row>
    <row r="537" spans="1:36" x14ac:dyDescent="0.3">
      <c r="A537">
        <v>41</v>
      </c>
      <c r="B537" t="s">
        <v>43</v>
      </c>
      <c r="C537" s="6">
        <f t="shared" si="8"/>
        <v>0</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t="s">
        <v>43</v>
      </c>
      <c r="Y537">
        <v>15</v>
      </c>
      <c r="Z537">
        <v>3</v>
      </c>
      <c r="AA537">
        <v>2</v>
      </c>
      <c r="AB537">
        <v>80</v>
      </c>
      <c r="AC537">
        <v>3</v>
      </c>
      <c r="AD537">
        <v>23</v>
      </c>
      <c r="AE537">
        <v>2</v>
      </c>
      <c r="AF537">
        <v>2</v>
      </c>
      <c r="AG537">
        <v>21</v>
      </c>
      <c r="AH537">
        <v>6</v>
      </c>
      <c r="AI537">
        <v>12</v>
      </c>
      <c r="AJ537">
        <v>6</v>
      </c>
    </row>
    <row r="538" spans="1:36" x14ac:dyDescent="0.3">
      <c r="A538">
        <v>60</v>
      </c>
      <c r="B538" t="s">
        <v>43</v>
      </c>
      <c r="C538" s="6">
        <f t="shared" si="8"/>
        <v>0</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t="s">
        <v>43</v>
      </c>
      <c r="Y538">
        <v>14</v>
      </c>
      <c r="Z538">
        <v>3</v>
      </c>
      <c r="AA538">
        <v>4</v>
      </c>
      <c r="AB538">
        <v>80</v>
      </c>
      <c r="AC538">
        <v>0</v>
      </c>
      <c r="AD538">
        <v>10</v>
      </c>
      <c r="AE538">
        <v>1</v>
      </c>
      <c r="AF538">
        <v>3</v>
      </c>
      <c r="AG538">
        <v>2</v>
      </c>
      <c r="AH538">
        <v>2</v>
      </c>
      <c r="AI538">
        <v>2</v>
      </c>
      <c r="AJ538">
        <v>2</v>
      </c>
    </row>
    <row r="539" spans="1:36" x14ac:dyDescent="0.3">
      <c r="A539">
        <v>27</v>
      </c>
      <c r="B539" t="s">
        <v>43</v>
      </c>
      <c r="C539" s="6">
        <f t="shared" si="8"/>
        <v>0</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t="s">
        <v>43</v>
      </c>
      <c r="Y539">
        <v>21</v>
      </c>
      <c r="Z539">
        <v>4</v>
      </c>
      <c r="AA539">
        <v>3</v>
      </c>
      <c r="AB539">
        <v>80</v>
      </c>
      <c r="AC539">
        <v>2</v>
      </c>
      <c r="AD539">
        <v>9</v>
      </c>
      <c r="AE539">
        <v>4</v>
      </c>
      <c r="AF539">
        <v>2</v>
      </c>
      <c r="AG539">
        <v>9</v>
      </c>
      <c r="AH539">
        <v>7</v>
      </c>
      <c r="AI539">
        <v>1</v>
      </c>
      <c r="AJ539">
        <v>7</v>
      </c>
    </row>
    <row r="540" spans="1:36" x14ac:dyDescent="0.3">
      <c r="A540">
        <v>41</v>
      </c>
      <c r="B540" t="s">
        <v>43</v>
      </c>
      <c r="C540" s="6">
        <f t="shared" si="8"/>
        <v>0</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t="s">
        <v>43</v>
      </c>
      <c r="Y540">
        <v>12</v>
      </c>
      <c r="Z540">
        <v>3</v>
      </c>
      <c r="AA540">
        <v>2</v>
      </c>
      <c r="AB540">
        <v>80</v>
      </c>
      <c r="AC540">
        <v>1</v>
      </c>
      <c r="AD540">
        <v>22</v>
      </c>
      <c r="AE540">
        <v>3</v>
      </c>
      <c r="AF540">
        <v>3</v>
      </c>
      <c r="AG540">
        <v>22</v>
      </c>
      <c r="AH540">
        <v>7</v>
      </c>
      <c r="AI540">
        <v>2</v>
      </c>
      <c r="AJ540">
        <v>10</v>
      </c>
    </row>
    <row r="541" spans="1:36" x14ac:dyDescent="0.3">
      <c r="A541">
        <v>50</v>
      </c>
      <c r="B541" t="s">
        <v>43</v>
      </c>
      <c r="C541" s="6">
        <f t="shared" si="8"/>
        <v>0</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t="s">
        <v>43</v>
      </c>
      <c r="Y541">
        <v>15</v>
      </c>
      <c r="Z541">
        <v>3</v>
      </c>
      <c r="AA541">
        <v>4</v>
      </c>
      <c r="AB541">
        <v>80</v>
      </c>
      <c r="AC541">
        <v>1</v>
      </c>
      <c r="AD541">
        <v>4</v>
      </c>
      <c r="AE541">
        <v>2</v>
      </c>
      <c r="AF541">
        <v>3</v>
      </c>
      <c r="AG541">
        <v>2</v>
      </c>
      <c r="AH541">
        <v>2</v>
      </c>
      <c r="AI541">
        <v>2</v>
      </c>
      <c r="AJ541">
        <v>2</v>
      </c>
    </row>
    <row r="542" spans="1:36" x14ac:dyDescent="0.3">
      <c r="A542">
        <v>28</v>
      </c>
      <c r="B542" t="s">
        <v>35</v>
      </c>
      <c r="C542" s="6">
        <f t="shared" si="8"/>
        <v>1</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t="s">
        <v>35</v>
      </c>
      <c r="Y542">
        <v>13</v>
      </c>
      <c r="Z542">
        <v>3</v>
      </c>
      <c r="AA542">
        <v>4</v>
      </c>
      <c r="AB542">
        <v>80</v>
      </c>
      <c r="AC542">
        <v>0</v>
      </c>
      <c r="AD542">
        <v>10</v>
      </c>
      <c r="AE542">
        <v>4</v>
      </c>
      <c r="AF542">
        <v>3</v>
      </c>
      <c r="AG542">
        <v>7</v>
      </c>
      <c r="AH542">
        <v>7</v>
      </c>
      <c r="AI542">
        <v>3</v>
      </c>
      <c r="AJ542">
        <v>7</v>
      </c>
    </row>
    <row r="543" spans="1:36" x14ac:dyDescent="0.3">
      <c r="A543">
        <v>36</v>
      </c>
      <c r="B543" t="s">
        <v>43</v>
      </c>
      <c r="C543" s="6">
        <f t="shared" si="8"/>
        <v>0</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t="s">
        <v>43</v>
      </c>
      <c r="Y543">
        <v>14</v>
      </c>
      <c r="Z543">
        <v>3</v>
      </c>
      <c r="AA543">
        <v>1</v>
      </c>
      <c r="AB543">
        <v>80</v>
      </c>
      <c r="AC543">
        <v>1</v>
      </c>
      <c r="AD543">
        <v>10</v>
      </c>
      <c r="AE543">
        <v>2</v>
      </c>
      <c r="AF543">
        <v>3</v>
      </c>
      <c r="AG543">
        <v>8</v>
      </c>
      <c r="AH543">
        <v>7</v>
      </c>
      <c r="AI543">
        <v>0</v>
      </c>
      <c r="AJ543">
        <v>5</v>
      </c>
    </row>
    <row r="544" spans="1:36" x14ac:dyDescent="0.3">
      <c r="A544">
        <v>38</v>
      </c>
      <c r="B544" t="s">
        <v>43</v>
      </c>
      <c r="C544" s="6">
        <f t="shared" si="8"/>
        <v>0</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t="s">
        <v>35</v>
      </c>
      <c r="Y544">
        <v>14</v>
      </c>
      <c r="Z544">
        <v>3</v>
      </c>
      <c r="AA544">
        <v>4</v>
      </c>
      <c r="AB544">
        <v>80</v>
      </c>
      <c r="AC544">
        <v>0</v>
      </c>
      <c r="AD544">
        <v>10</v>
      </c>
      <c r="AE544">
        <v>4</v>
      </c>
      <c r="AF544">
        <v>4</v>
      </c>
      <c r="AG544">
        <v>1</v>
      </c>
      <c r="AH544">
        <v>0</v>
      </c>
      <c r="AI544">
        <v>0</v>
      </c>
      <c r="AJ544">
        <v>0</v>
      </c>
    </row>
    <row r="545" spans="1:36" x14ac:dyDescent="0.3">
      <c r="A545">
        <v>44</v>
      </c>
      <c r="B545" t="s">
        <v>43</v>
      </c>
      <c r="C545" s="6">
        <f t="shared" si="8"/>
        <v>0</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t="s">
        <v>43</v>
      </c>
      <c r="Y545">
        <v>14</v>
      </c>
      <c r="Z545">
        <v>3</v>
      </c>
      <c r="AA545">
        <v>3</v>
      </c>
      <c r="AB545">
        <v>80</v>
      </c>
      <c r="AC545">
        <v>0</v>
      </c>
      <c r="AD545">
        <v>9</v>
      </c>
      <c r="AE545">
        <v>5</v>
      </c>
      <c r="AF545">
        <v>3</v>
      </c>
      <c r="AG545">
        <v>5</v>
      </c>
      <c r="AH545">
        <v>2</v>
      </c>
      <c r="AI545">
        <v>1</v>
      </c>
      <c r="AJ545">
        <v>4</v>
      </c>
    </row>
    <row r="546" spans="1:36" x14ac:dyDescent="0.3">
      <c r="A546">
        <v>47</v>
      </c>
      <c r="B546" t="s">
        <v>43</v>
      </c>
      <c r="C546" s="6">
        <f t="shared" si="8"/>
        <v>0</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t="s">
        <v>35</v>
      </c>
      <c r="Y546">
        <v>12</v>
      </c>
      <c r="Z546">
        <v>3</v>
      </c>
      <c r="AA546">
        <v>4</v>
      </c>
      <c r="AB546">
        <v>80</v>
      </c>
      <c r="AC546">
        <v>2</v>
      </c>
      <c r="AD546">
        <v>28</v>
      </c>
      <c r="AE546">
        <v>2</v>
      </c>
      <c r="AF546">
        <v>2</v>
      </c>
      <c r="AG546">
        <v>22</v>
      </c>
      <c r="AH546">
        <v>2</v>
      </c>
      <c r="AI546">
        <v>11</v>
      </c>
      <c r="AJ546">
        <v>13</v>
      </c>
    </row>
    <row r="547" spans="1:36" x14ac:dyDescent="0.3">
      <c r="A547">
        <v>30</v>
      </c>
      <c r="B547" t="s">
        <v>43</v>
      </c>
      <c r="C547" s="6">
        <f t="shared" si="8"/>
        <v>0</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t="s">
        <v>43</v>
      </c>
      <c r="Y547">
        <v>23</v>
      </c>
      <c r="Z547">
        <v>4</v>
      </c>
      <c r="AA547">
        <v>4</v>
      </c>
      <c r="AB547">
        <v>80</v>
      </c>
      <c r="AC547">
        <v>1</v>
      </c>
      <c r="AD547">
        <v>10</v>
      </c>
      <c r="AE547">
        <v>2</v>
      </c>
      <c r="AF547">
        <v>2</v>
      </c>
      <c r="AG547">
        <v>8</v>
      </c>
      <c r="AH547">
        <v>7</v>
      </c>
      <c r="AI547">
        <v>7</v>
      </c>
      <c r="AJ547">
        <v>7</v>
      </c>
    </row>
    <row r="548" spans="1:36" x14ac:dyDescent="0.3">
      <c r="A548">
        <v>29</v>
      </c>
      <c r="B548" t="s">
        <v>43</v>
      </c>
      <c r="C548" s="6">
        <f t="shared" si="8"/>
        <v>0</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t="s">
        <v>43</v>
      </c>
      <c r="Y548">
        <v>11</v>
      </c>
      <c r="Z548">
        <v>3</v>
      </c>
      <c r="AA548">
        <v>3</v>
      </c>
      <c r="AB548">
        <v>80</v>
      </c>
      <c r="AC548">
        <v>0</v>
      </c>
      <c r="AD548">
        <v>1</v>
      </c>
      <c r="AE548">
        <v>6</v>
      </c>
      <c r="AF548">
        <v>3</v>
      </c>
      <c r="AG548">
        <v>1</v>
      </c>
      <c r="AH548">
        <v>0</v>
      </c>
      <c r="AI548">
        <v>0</v>
      </c>
      <c r="AJ548">
        <v>0</v>
      </c>
    </row>
    <row r="549" spans="1:36" x14ac:dyDescent="0.3">
      <c r="A549">
        <v>42</v>
      </c>
      <c r="B549" t="s">
        <v>35</v>
      </c>
      <c r="C549" s="6">
        <f t="shared" si="8"/>
        <v>1</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t="s">
        <v>35</v>
      </c>
      <c r="Y549">
        <v>12</v>
      </c>
      <c r="Z549">
        <v>3</v>
      </c>
      <c r="AA549">
        <v>4</v>
      </c>
      <c r="AB549">
        <v>80</v>
      </c>
      <c r="AC549">
        <v>0</v>
      </c>
      <c r="AD549">
        <v>7</v>
      </c>
      <c r="AE549">
        <v>2</v>
      </c>
      <c r="AF549">
        <v>3</v>
      </c>
      <c r="AG549">
        <v>2</v>
      </c>
      <c r="AH549">
        <v>2</v>
      </c>
      <c r="AI549">
        <v>2</v>
      </c>
      <c r="AJ549">
        <v>2</v>
      </c>
    </row>
    <row r="550" spans="1:36" x14ac:dyDescent="0.3">
      <c r="A550">
        <v>43</v>
      </c>
      <c r="B550" t="s">
        <v>43</v>
      </c>
      <c r="C550" s="6">
        <f t="shared" si="8"/>
        <v>0</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t="s">
        <v>43</v>
      </c>
      <c r="Y550">
        <v>18</v>
      </c>
      <c r="Z550">
        <v>3</v>
      </c>
      <c r="AA550">
        <v>3</v>
      </c>
      <c r="AB550">
        <v>80</v>
      </c>
      <c r="AC550">
        <v>1</v>
      </c>
      <c r="AD550">
        <v>7</v>
      </c>
      <c r="AE550">
        <v>5</v>
      </c>
      <c r="AF550">
        <v>3</v>
      </c>
      <c r="AG550">
        <v>2</v>
      </c>
      <c r="AH550">
        <v>2</v>
      </c>
      <c r="AI550">
        <v>2</v>
      </c>
      <c r="AJ550">
        <v>2</v>
      </c>
    </row>
    <row r="551" spans="1:36" x14ac:dyDescent="0.3">
      <c r="A551">
        <v>34</v>
      </c>
      <c r="B551" t="s">
        <v>43</v>
      </c>
      <c r="C551" s="6">
        <f t="shared" si="8"/>
        <v>0</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t="s">
        <v>43</v>
      </c>
      <c r="Y551">
        <v>11</v>
      </c>
      <c r="Z551">
        <v>3</v>
      </c>
      <c r="AA551">
        <v>4</v>
      </c>
      <c r="AB551">
        <v>80</v>
      </c>
      <c r="AC551">
        <v>0</v>
      </c>
      <c r="AD551">
        <v>10</v>
      </c>
      <c r="AE551">
        <v>2</v>
      </c>
      <c r="AF551">
        <v>3</v>
      </c>
      <c r="AG551">
        <v>5</v>
      </c>
      <c r="AH551">
        <v>1</v>
      </c>
      <c r="AI551">
        <v>4</v>
      </c>
      <c r="AJ551">
        <v>3</v>
      </c>
    </row>
    <row r="552" spans="1:36" x14ac:dyDescent="0.3">
      <c r="A552">
        <v>23</v>
      </c>
      <c r="B552" t="s">
        <v>43</v>
      </c>
      <c r="C552" s="6">
        <f t="shared" si="8"/>
        <v>0</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t="s">
        <v>43</v>
      </c>
      <c r="Y552">
        <v>14</v>
      </c>
      <c r="Z552">
        <v>3</v>
      </c>
      <c r="AA552">
        <v>4</v>
      </c>
      <c r="AB552">
        <v>80</v>
      </c>
      <c r="AC552">
        <v>1</v>
      </c>
      <c r="AD552">
        <v>5</v>
      </c>
      <c r="AE552">
        <v>2</v>
      </c>
      <c r="AF552">
        <v>4</v>
      </c>
      <c r="AG552">
        <v>4</v>
      </c>
      <c r="AH552">
        <v>3</v>
      </c>
      <c r="AI552">
        <v>0</v>
      </c>
      <c r="AJ552">
        <v>2</v>
      </c>
    </row>
    <row r="553" spans="1:36" x14ac:dyDescent="0.3">
      <c r="A553">
        <v>39</v>
      </c>
      <c r="B553" t="s">
        <v>43</v>
      </c>
      <c r="C553" s="6">
        <f t="shared" si="8"/>
        <v>0</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t="s">
        <v>43</v>
      </c>
      <c r="Y553">
        <v>15</v>
      </c>
      <c r="Z553">
        <v>3</v>
      </c>
      <c r="AA553">
        <v>3</v>
      </c>
      <c r="AB553">
        <v>80</v>
      </c>
      <c r="AC553">
        <v>1</v>
      </c>
      <c r="AD553">
        <v>12</v>
      </c>
      <c r="AE553">
        <v>3</v>
      </c>
      <c r="AF553">
        <v>1</v>
      </c>
      <c r="AG553">
        <v>8</v>
      </c>
      <c r="AH553">
        <v>3</v>
      </c>
      <c r="AI553">
        <v>3</v>
      </c>
      <c r="AJ553">
        <v>6</v>
      </c>
    </row>
    <row r="554" spans="1:36" x14ac:dyDescent="0.3">
      <c r="A554">
        <v>56</v>
      </c>
      <c r="B554" t="s">
        <v>43</v>
      </c>
      <c r="C554" s="6">
        <f t="shared" si="8"/>
        <v>0</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t="s">
        <v>43</v>
      </c>
      <c r="Y554">
        <v>11</v>
      </c>
      <c r="Z554">
        <v>3</v>
      </c>
      <c r="AA554">
        <v>3</v>
      </c>
      <c r="AB554">
        <v>80</v>
      </c>
      <c r="AC554">
        <v>0</v>
      </c>
      <c r="AD554">
        <v>30</v>
      </c>
      <c r="AE554">
        <v>1</v>
      </c>
      <c r="AF554">
        <v>2</v>
      </c>
      <c r="AG554">
        <v>10</v>
      </c>
      <c r="AH554">
        <v>7</v>
      </c>
      <c r="AI554">
        <v>1</v>
      </c>
      <c r="AJ554">
        <v>1</v>
      </c>
    </row>
    <row r="555" spans="1:36" x14ac:dyDescent="0.3">
      <c r="A555">
        <v>40</v>
      </c>
      <c r="B555" t="s">
        <v>43</v>
      </c>
      <c r="C555" s="6">
        <f t="shared" si="8"/>
        <v>0</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t="s">
        <v>35</v>
      </c>
      <c r="Y555">
        <v>20</v>
      </c>
      <c r="Z555">
        <v>4</v>
      </c>
      <c r="AA555">
        <v>4</v>
      </c>
      <c r="AB555">
        <v>80</v>
      </c>
      <c r="AC555">
        <v>0</v>
      </c>
      <c r="AD555">
        <v>5</v>
      </c>
      <c r="AE555">
        <v>2</v>
      </c>
      <c r="AF555">
        <v>2</v>
      </c>
      <c r="AG555">
        <v>4</v>
      </c>
      <c r="AH555">
        <v>2</v>
      </c>
      <c r="AI555">
        <v>2</v>
      </c>
      <c r="AJ555">
        <v>3</v>
      </c>
    </row>
    <row r="556" spans="1:36" x14ac:dyDescent="0.3">
      <c r="A556">
        <v>27</v>
      </c>
      <c r="B556" t="s">
        <v>43</v>
      </c>
      <c r="C556" s="6">
        <f t="shared" si="8"/>
        <v>0</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t="s">
        <v>43</v>
      </c>
      <c r="Y556">
        <v>19</v>
      </c>
      <c r="Z556">
        <v>3</v>
      </c>
      <c r="AA556">
        <v>1</v>
      </c>
      <c r="AB556">
        <v>80</v>
      </c>
      <c r="AC556">
        <v>0</v>
      </c>
      <c r="AD556">
        <v>9</v>
      </c>
      <c r="AE556">
        <v>2</v>
      </c>
      <c r="AF556">
        <v>1</v>
      </c>
      <c r="AG556">
        <v>7</v>
      </c>
      <c r="AH556">
        <v>6</v>
      </c>
      <c r="AI556">
        <v>0</v>
      </c>
      <c r="AJ556">
        <v>7</v>
      </c>
    </row>
    <row r="557" spans="1:36" x14ac:dyDescent="0.3">
      <c r="A557">
        <v>29</v>
      </c>
      <c r="B557" t="s">
        <v>43</v>
      </c>
      <c r="C557" s="6">
        <f t="shared" si="8"/>
        <v>0</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t="s">
        <v>43</v>
      </c>
      <c r="Y557">
        <v>14</v>
      </c>
      <c r="Z557">
        <v>3</v>
      </c>
      <c r="AA557">
        <v>4</v>
      </c>
      <c r="AB557">
        <v>80</v>
      </c>
      <c r="AC557">
        <v>2</v>
      </c>
      <c r="AD557">
        <v>2</v>
      </c>
      <c r="AE557">
        <v>2</v>
      </c>
      <c r="AF557">
        <v>3</v>
      </c>
      <c r="AG557">
        <v>2</v>
      </c>
      <c r="AH557">
        <v>2</v>
      </c>
      <c r="AI557">
        <v>2</v>
      </c>
      <c r="AJ557">
        <v>2</v>
      </c>
    </row>
    <row r="558" spans="1:36" x14ac:dyDescent="0.3">
      <c r="A558">
        <v>53</v>
      </c>
      <c r="B558" t="s">
        <v>43</v>
      </c>
      <c r="C558" s="6">
        <f t="shared" si="8"/>
        <v>0</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t="s">
        <v>43</v>
      </c>
      <c r="Y558">
        <v>17</v>
      </c>
      <c r="Z558">
        <v>3</v>
      </c>
      <c r="AA558">
        <v>4</v>
      </c>
      <c r="AB558">
        <v>80</v>
      </c>
      <c r="AC558">
        <v>0</v>
      </c>
      <c r="AD558">
        <v>19</v>
      </c>
      <c r="AE558">
        <v>4</v>
      </c>
      <c r="AF558">
        <v>3</v>
      </c>
      <c r="AG558">
        <v>2</v>
      </c>
      <c r="AH558">
        <v>2</v>
      </c>
      <c r="AI558">
        <v>2</v>
      </c>
      <c r="AJ558">
        <v>2</v>
      </c>
    </row>
    <row r="559" spans="1:36" x14ac:dyDescent="0.3">
      <c r="A559">
        <v>35</v>
      </c>
      <c r="B559" t="s">
        <v>43</v>
      </c>
      <c r="C559" s="6">
        <f t="shared" si="8"/>
        <v>0</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t="s">
        <v>43</v>
      </c>
      <c r="Y559">
        <v>11</v>
      </c>
      <c r="Z559">
        <v>3</v>
      </c>
      <c r="AA559">
        <v>1</v>
      </c>
      <c r="AB559">
        <v>80</v>
      </c>
      <c r="AC559">
        <v>1</v>
      </c>
      <c r="AD559">
        <v>16</v>
      </c>
      <c r="AE559">
        <v>2</v>
      </c>
      <c r="AF559">
        <v>4</v>
      </c>
      <c r="AG559">
        <v>1</v>
      </c>
      <c r="AH559">
        <v>0</v>
      </c>
      <c r="AI559">
        <v>0</v>
      </c>
      <c r="AJ559">
        <v>0</v>
      </c>
    </row>
    <row r="560" spans="1:36" x14ac:dyDescent="0.3">
      <c r="A560">
        <v>32</v>
      </c>
      <c r="B560" t="s">
        <v>43</v>
      </c>
      <c r="C560" s="6">
        <f t="shared" si="8"/>
        <v>0</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t="s">
        <v>43</v>
      </c>
      <c r="Y560">
        <v>15</v>
      </c>
      <c r="Z560">
        <v>3</v>
      </c>
      <c r="AA560">
        <v>4</v>
      </c>
      <c r="AB560">
        <v>80</v>
      </c>
      <c r="AC560">
        <v>2</v>
      </c>
      <c r="AD560">
        <v>10</v>
      </c>
      <c r="AE560">
        <v>2</v>
      </c>
      <c r="AF560">
        <v>3</v>
      </c>
      <c r="AG560">
        <v>10</v>
      </c>
      <c r="AH560">
        <v>8</v>
      </c>
      <c r="AI560">
        <v>4</v>
      </c>
      <c r="AJ560">
        <v>7</v>
      </c>
    </row>
    <row r="561" spans="1:36" x14ac:dyDescent="0.3">
      <c r="A561">
        <v>38</v>
      </c>
      <c r="B561" t="s">
        <v>43</v>
      </c>
      <c r="C561" s="6">
        <f t="shared" si="8"/>
        <v>0</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t="s">
        <v>35</v>
      </c>
      <c r="Y561">
        <v>13</v>
      </c>
      <c r="Z561">
        <v>3</v>
      </c>
      <c r="AA561">
        <v>2</v>
      </c>
      <c r="AB561">
        <v>80</v>
      </c>
      <c r="AC561">
        <v>1</v>
      </c>
      <c r="AD561">
        <v>6</v>
      </c>
      <c r="AE561">
        <v>0</v>
      </c>
      <c r="AF561">
        <v>1</v>
      </c>
      <c r="AG561">
        <v>1</v>
      </c>
      <c r="AH561">
        <v>0</v>
      </c>
      <c r="AI561">
        <v>0</v>
      </c>
      <c r="AJ561">
        <v>1</v>
      </c>
    </row>
    <row r="562" spans="1:36" x14ac:dyDescent="0.3">
      <c r="A562">
        <v>34</v>
      </c>
      <c r="B562" t="s">
        <v>43</v>
      </c>
      <c r="C562" s="6">
        <f t="shared" si="8"/>
        <v>0</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t="s">
        <v>43</v>
      </c>
      <c r="Y562">
        <v>14</v>
      </c>
      <c r="Z562">
        <v>3</v>
      </c>
      <c r="AA562">
        <v>3</v>
      </c>
      <c r="AB562">
        <v>80</v>
      </c>
      <c r="AC562">
        <v>1</v>
      </c>
      <c r="AD562">
        <v>7</v>
      </c>
      <c r="AE562">
        <v>3</v>
      </c>
      <c r="AF562">
        <v>3</v>
      </c>
      <c r="AG562">
        <v>0</v>
      </c>
      <c r="AH562">
        <v>0</v>
      </c>
      <c r="AI562">
        <v>0</v>
      </c>
      <c r="AJ562">
        <v>0</v>
      </c>
    </row>
    <row r="563" spans="1:36" x14ac:dyDescent="0.3">
      <c r="A563">
        <v>52</v>
      </c>
      <c r="B563" t="s">
        <v>43</v>
      </c>
      <c r="C563" s="6">
        <f t="shared" si="8"/>
        <v>0</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t="s">
        <v>43</v>
      </c>
      <c r="Y563">
        <v>11</v>
      </c>
      <c r="Z563">
        <v>3</v>
      </c>
      <c r="AA563">
        <v>1</v>
      </c>
      <c r="AB563">
        <v>80</v>
      </c>
      <c r="AC563">
        <v>0</v>
      </c>
      <c r="AD563">
        <v>34</v>
      </c>
      <c r="AE563">
        <v>3</v>
      </c>
      <c r="AF563">
        <v>4</v>
      </c>
      <c r="AG563">
        <v>34</v>
      </c>
      <c r="AH563">
        <v>6</v>
      </c>
      <c r="AI563">
        <v>1</v>
      </c>
      <c r="AJ563">
        <v>16</v>
      </c>
    </row>
    <row r="564" spans="1:36" x14ac:dyDescent="0.3">
      <c r="A564">
        <v>33</v>
      </c>
      <c r="B564" t="s">
        <v>35</v>
      </c>
      <c r="C564" s="6">
        <f t="shared" si="8"/>
        <v>1</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t="s">
        <v>35</v>
      </c>
      <c r="Y564">
        <v>13</v>
      </c>
      <c r="Z564">
        <v>3</v>
      </c>
      <c r="AA564">
        <v>3</v>
      </c>
      <c r="AB564">
        <v>80</v>
      </c>
      <c r="AC564">
        <v>0</v>
      </c>
      <c r="AD564">
        <v>10</v>
      </c>
      <c r="AE564">
        <v>2</v>
      </c>
      <c r="AF564">
        <v>2</v>
      </c>
      <c r="AG564">
        <v>10</v>
      </c>
      <c r="AH564">
        <v>9</v>
      </c>
      <c r="AI564">
        <v>7</v>
      </c>
      <c r="AJ564">
        <v>8</v>
      </c>
    </row>
    <row r="565" spans="1:36" x14ac:dyDescent="0.3">
      <c r="A565">
        <v>25</v>
      </c>
      <c r="B565" t="s">
        <v>43</v>
      </c>
      <c r="C565" s="6">
        <f t="shared" si="8"/>
        <v>0</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t="s">
        <v>43</v>
      </c>
      <c r="Y565">
        <v>23</v>
      </c>
      <c r="Z565">
        <v>4</v>
      </c>
      <c r="AA565">
        <v>2</v>
      </c>
      <c r="AB565">
        <v>80</v>
      </c>
      <c r="AC565">
        <v>0</v>
      </c>
      <c r="AD565">
        <v>6</v>
      </c>
      <c r="AE565">
        <v>5</v>
      </c>
      <c r="AF565">
        <v>2</v>
      </c>
      <c r="AG565">
        <v>6</v>
      </c>
      <c r="AH565">
        <v>5</v>
      </c>
      <c r="AI565">
        <v>1</v>
      </c>
      <c r="AJ565">
        <v>4</v>
      </c>
    </row>
    <row r="566" spans="1:36" x14ac:dyDescent="0.3">
      <c r="A566">
        <v>45</v>
      </c>
      <c r="B566" t="s">
        <v>43</v>
      </c>
      <c r="C566" s="6">
        <f t="shared" si="8"/>
        <v>0</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t="s">
        <v>43</v>
      </c>
      <c r="Y566">
        <v>13</v>
      </c>
      <c r="Z566">
        <v>3</v>
      </c>
      <c r="AA566">
        <v>1</v>
      </c>
      <c r="AB566">
        <v>80</v>
      </c>
      <c r="AC566">
        <v>0</v>
      </c>
      <c r="AD566">
        <v>9</v>
      </c>
      <c r="AE566">
        <v>3</v>
      </c>
      <c r="AF566">
        <v>3</v>
      </c>
      <c r="AG566">
        <v>8</v>
      </c>
      <c r="AH566">
        <v>7</v>
      </c>
      <c r="AI566">
        <v>3</v>
      </c>
      <c r="AJ566">
        <v>1</v>
      </c>
    </row>
    <row r="567" spans="1:36" x14ac:dyDescent="0.3">
      <c r="A567">
        <v>23</v>
      </c>
      <c r="B567" t="s">
        <v>43</v>
      </c>
      <c r="C567" s="6">
        <f t="shared" si="8"/>
        <v>0</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t="s">
        <v>43</v>
      </c>
      <c r="Y567">
        <v>18</v>
      </c>
      <c r="Z567">
        <v>3</v>
      </c>
      <c r="AA567">
        <v>4</v>
      </c>
      <c r="AB567">
        <v>80</v>
      </c>
      <c r="AC567">
        <v>0</v>
      </c>
      <c r="AD567">
        <v>2</v>
      </c>
      <c r="AE567">
        <v>3</v>
      </c>
      <c r="AF567">
        <v>3</v>
      </c>
      <c r="AG567">
        <v>2</v>
      </c>
      <c r="AH567">
        <v>2</v>
      </c>
      <c r="AI567">
        <v>0</v>
      </c>
      <c r="AJ567">
        <v>2</v>
      </c>
    </row>
    <row r="568" spans="1:36" x14ac:dyDescent="0.3">
      <c r="A568">
        <v>47</v>
      </c>
      <c r="B568" t="s">
        <v>35</v>
      </c>
      <c r="C568" s="6">
        <f t="shared" si="8"/>
        <v>1</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t="s">
        <v>35</v>
      </c>
      <c r="Y568">
        <v>12</v>
      </c>
      <c r="Z568">
        <v>3</v>
      </c>
      <c r="AA568">
        <v>4</v>
      </c>
      <c r="AB568">
        <v>80</v>
      </c>
      <c r="AC568">
        <v>0</v>
      </c>
      <c r="AD568">
        <v>8</v>
      </c>
      <c r="AE568">
        <v>2</v>
      </c>
      <c r="AF568">
        <v>3</v>
      </c>
      <c r="AG568">
        <v>5</v>
      </c>
      <c r="AH568">
        <v>4</v>
      </c>
      <c r="AI568">
        <v>1</v>
      </c>
      <c r="AJ568">
        <v>3</v>
      </c>
    </row>
    <row r="569" spans="1:36" x14ac:dyDescent="0.3">
      <c r="A569">
        <v>34</v>
      </c>
      <c r="B569" t="s">
        <v>43</v>
      </c>
      <c r="C569" s="6">
        <f t="shared" si="8"/>
        <v>0</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t="s">
        <v>43</v>
      </c>
      <c r="Y569">
        <v>22</v>
      </c>
      <c r="Z569">
        <v>4</v>
      </c>
      <c r="AA569">
        <v>3</v>
      </c>
      <c r="AB569">
        <v>80</v>
      </c>
      <c r="AC569">
        <v>0</v>
      </c>
      <c r="AD569">
        <v>6</v>
      </c>
      <c r="AE569">
        <v>5</v>
      </c>
      <c r="AF569">
        <v>3</v>
      </c>
      <c r="AG569">
        <v>6</v>
      </c>
      <c r="AH569">
        <v>5</v>
      </c>
      <c r="AI569">
        <v>1</v>
      </c>
      <c r="AJ569">
        <v>4</v>
      </c>
    </row>
    <row r="570" spans="1:36" x14ac:dyDescent="0.3">
      <c r="A570">
        <v>55</v>
      </c>
      <c r="B570" t="s">
        <v>35</v>
      </c>
      <c r="C570" s="6">
        <f t="shared" si="8"/>
        <v>1</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t="s">
        <v>35</v>
      </c>
      <c r="Y570">
        <v>13</v>
      </c>
      <c r="Z570">
        <v>3</v>
      </c>
      <c r="AA570">
        <v>4</v>
      </c>
      <c r="AB570">
        <v>80</v>
      </c>
      <c r="AC570">
        <v>1</v>
      </c>
      <c r="AD570">
        <v>24</v>
      </c>
      <c r="AE570">
        <v>2</v>
      </c>
      <c r="AF570">
        <v>3</v>
      </c>
      <c r="AG570">
        <v>5</v>
      </c>
      <c r="AH570">
        <v>2</v>
      </c>
      <c r="AI570">
        <v>1</v>
      </c>
      <c r="AJ570">
        <v>4</v>
      </c>
    </row>
    <row r="571" spans="1:36" x14ac:dyDescent="0.3">
      <c r="A571">
        <v>36</v>
      </c>
      <c r="B571" t="s">
        <v>43</v>
      </c>
      <c r="C571" s="6">
        <f t="shared" si="8"/>
        <v>0</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t="s">
        <v>43</v>
      </c>
      <c r="Y571">
        <v>15</v>
      </c>
      <c r="Z571">
        <v>3</v>
      </c>
      <c r="AA571">
        <v>2</v>
      </c>
      <c r="AB571">
        <v>80</v>
      </c>
      <c r="AC571">
        <v>0</v>
      </c>
      <c r="AD571">
        <v>10</v>
      </c>
      <c r="AE571">
        <v>1</v>
      </c>
      <c r="AF571">
        <v>3</v>
      </c>
      <c r="AG571">
        <v>10</v>
      </c>
      <c r="AH571">
        <v>7</v>
      </c>
      <c r="AI571">
        <v>0</v>
      </c>
      <c r="AJ571">
        <v>9</v>
      </c>
    </row>
    <row r="572" spans="1:36" x14ac:dyDescent="0.3">
      <c r="A572">
        <v>52</v>
      </c>
      <c r="B572" t="s">
        <v>43</v>
      </c>
      <c r="C572" s="6">
        <f t="shared" si="8"/>
        <v>0</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t="s">
        <v>43</v>
      </c>
      <c r="Y572">
        <v>18</v>
      </c>
      <c r="Z572">
        <v>3</v>
      </c>
      <c r="AA572">
        <v>1</v>
      </c>
      <c r="AB572">
        <v>80</v>
      </c>
      <c r="AC572">
        <v>1</v>
      </c>
      <c r="AD572">
        <v>5</v>
      </c>
      <c r="AE572">
        <v>3</v>
      </c>
      <c r="AF572">
        <v>3</v>
      </c>
      <c r="AG572">
        <v>4</v>
      </c>
      <c r="AH572">
        <v>3</v>
      </c>
      <c r="AI572">
        <v>1</v>
      </c>
      <c r="AJ572">
        <v>2</v>
      </c>
    </row>
    <row r="573" spans="1:36" x14ac:dyDescent="0.3">
      <c r="A573">
        <v>26</v>
      </c>
      <c r="B573" t="s">
        <v>43</v>
      </c>
      <c r="C573" s="6">
        <f t="shared" si="8"/>
        <v>0</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t="s">
        <v>43</v>
      </c>
      <c r="Y573">
        <v>14</v>
      </c>
      <c r="Z573">
        <v>3</v>
      </c>
      <c r="AA573">
        <v>1</v>
      </c>
      <c r="AB573">
        <v>80</v>
      </c>
      <c r="AC573">
        <v>1</v>
      </c>
      <c r="AD573">
        <v>5</v>
      </c>
      <c r="AE573">
        <v>2</v>
      </c>
      <c r="AF573">
        <v>3</v>
      </c>
      <c r="AG573">
        <v>2</v>
      </c>
      <c r="AH573">
        <v>2</v>
      </c>
      <c r="AI573">
        <v>2</v>
      </c>
      <c r="AJ573">
        <v>0</v>
      </c>
    </row>
    <row r="574" spans="1:36" x14ac:dyDescent="0.3">
      <c r="A574">
        <v>29</v>
      </c>
      <c r="B574" t="s">
        <v>43</v>
      </c>
      <c r="C574" s="6">
        <f t="shared" si="8"/>
        <v>0</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t="s">
        <v>43</v>
      </c>
      <c r="Y574">
        <v>12</v>
      </c>
      <c r="Z574">
        <v>3</v>
      </c>
      <c r="AA574">
        <v>1</v>
      </c>
      <c r="AB574">
        <v>80</v>
      </c>
      <c r="AC574">
        <v>1</v>
      </c>
      <c r="AD574">
        <v>11</v>
      </c>
      <c r="AE574">
        <v>3</v>
      </c>
      <c r="AF574">
        <v>2</v>
      </c>
      <c r="AG574">
        <v>8</v>
      </c>
      <c r="AH574">
        <v>7</v>
      </c>
      <c r="AI574">
        <v>1</v>
      </c>
      <c r="AJ574">
        <v>1</v>
      </c>
    </row>
    <row r="575" spans="1:36" x14ac:dyDescent="0.3">
      <c r="A575">
        <v>26</v>
      </c>
      <c r="B575" t="s">
        <v>35</v>
      </c>
      <c r="C575" s="6">
        <f t="shared" si="8"/>
        <v>1</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t="s">
        <v>43</v>
      </c>
      <c r="Y575">
        <v>17</v>
      </c>
      <c r="Z575">
        <v>3</v>
      </c>
      <c r="AA575">
        <v>3</v>
      </c>
      <c r="AB575">
        <v>80</v>
      </c>
      <c r="AC575">
        <v>0</v>
      </c>
      <c r="AD575">
        <v>6</v>
      </c>
      <c r="AE575">
        <v>2</v>
      </c>
      <c r="AF575">
        <v>2</v>
      </c>
      <c r="AG575">
        <v>4</v>
      </c>
      <c r="AH575">
        <v>3</v>
      </c>
      <c r="AI575">
        <v>1</v>
      </c>
      <c r="AJ575">
        <v>2</v>
      </c>
    </row>
    <row r="576" spans="1:36" x14ac:dyDescent="0.3">
      <c r="A576">
        <v>34</v>
      </c>
      <c r="B576" t="s">
        <v>43</v>
      </c>
      <c r="C576" s="6">
        <f t="shared" si="8"/>
        <v>0</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t="s">
        <v>43</v>
      </c>
      <c r="Y576">
        <v>16</v>
      </c>
      <c r="Z576">
        <v>3</v>
      </c>
      <c r="AA576">
        <v>3</v>
      </c>
      <c r="AB576">
        <v>80</v>
      </c>
      <c r="AC576">
        <v>0</v>
      </c>
      <c r="AD576">
        <v>10</v>
      </c>
      <c r="AE576">
        <v>2</v>
      </c>
      <c r="AF576">
        <v>3</v>
      </c>
      <c r="AG576">
        <v>4</v>
      </c>
      <c r="AH576">
        <v>2</v>
      </c>
      <c r="AI576">
        <v>1</v>
      </c>
      <c r="AJ576">
        <v>3</v>
      </c>
    </row>
    <row r="577" spans="1:36" x14ac:dyDescent="0.3">
      <c r="A577">
        <v>54</v>
      </c>
      <c r="B577" t="s">
        <v>43</v>
      </c>
      <c r="C577" s="6">
        <f t="shared" si="8"/>
        <v>0</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t="s">
        <v>35</v>
      </c>
      <c r="Y577">
        <v>11</v>
      </c>
      <c r="Z577">
        <v>3</v>
      </c>
      <c r="AA577">
        <v>2</v>
      </c>
      <c r="AB577">
        <v>80</v>
      </c>
      <c r="AC577">
        <v>2</v>
      </c>
      <c r="AD577">
        <v>9</v>
      </c>
      <c r="AE577">
        <v>4</v>
      </c>
      <c r="AF577">
        <v>3</v>
      </c>
      <c r="AG577">
        <v>5</v>
      </c>
      <c r="AH577">
        <v>3</v>
      </c>
      <c r="AI577">
        <v>1</v>
      </c>
      <c r="AJ577">
        <v>4</v>
      </c>
    </row>
    <row r="578" spans="1:36" x14ac:dyDescent="0.3">
      <c r="A578">
        <v>27</v>
      </c>
      <c r="B578" t="s">
        <v>43</v>
      </c>
      <c r="C578" s="6">
        <f t="shared" si="8"/>
        <v>0</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t="s">
        <v>43</v>
      </c>
      <c r="Y578">
        <v>19</v>
      </c>
      <c r="Z578">
        <v>3</v>
      </c>
      <c r="AA578">
        <v>2</v>
      </c>
      <c r="AB578">
        <v>80</v>
      </c>
      <c r="AC578">
        <v>1</v>
      </c>
      <c r="AD578">
        <v>5</v>
      </c>
      <c r="AE578">
        <v>3</v>
      </c>
      <c r="AF578">
        <v>3</v>
      </c>
      <c r="AG578">
        <v>4</v>
      </c>
      <c r="AH578">
        <v>2</v>
      </c>
      <c r="AI578">
        <v>1</v>
      </c>
      <c r="AJ578">
        <v>1</v>
      </c>
    </row>
    <row r="579" spans="1:36" x14ac:dyDescent="0.3">
      <c r="A579">
        <v>37</v>
      </c>
      <c r="B579" t="s">
        <v>43</v>
      </c>
      <c r="C579" s="6">
        <f t="shared" ref="C579:C642" si="9">IF(B579="Yes",1,0)</f>
        <v>0</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t="s">
        <v>35</v>
      </c>
      <c r="Y579">
        <v>13</v>
      </c>
      <c r="Z579">
        <v>3</v>
      </c>
      <c r="AA579">
        <v>2</v>
      </c>
      <c r="AB579">
        <v>80</v>
      </c>
      <c r="AC579">
        <v>2</v>
      </c>
      <c r="AD579">
        <v>6</v>
      </c>
      <c r="AE579">
        <v>3</v>
      </c>
      <c r="AF579">
        <v>2</v>
      </c>
      <c r="AG579">
        <v>5</v>
      </c>
      <c r="AH579">
        <v>3</v>
      </c>
      <c r="AI579">
        <v>4</v>
      </c>
      <c r="AJ579">
        <v>3</v>
      </c>
    </row>
    <row r="580" spans="1:36" x14ac:dyDescent="0.3">
      <c r="A580">
        <v>38</v>
      </c>
      <c r="B580" t="s">
        <v>43</v>
      </c>
      <c r="C580" s="6">
        <f t="shared" si="9"/>
        <v>0</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t="s">
        <v>35</v>
      </c>
      <c r="Y580">
        <v>12</v>
      </c>
      <c r="Z580">
        <v>3</v>
      </c>
      <c r="AA580">
        <v>4</v>
      </c>
      <c r="AB580">
        <v>80</v>
      </c>
      <c r="AC580">
        <v>0</v>
      </c>
      <c r="AD580">
        <v>17</v>
      </c>
      <c r="AE580">
        <v>2</v>
      </c>
      <c r="AF580">
        <v>3</v>
      </c>
      <c r="AG580">
        <v>15</v>
      </c>
      <c r="AH580">
        <v>7</v>
      </c>
      <c r="AI580">
        <v>4</v>
      </c>
      <c r="AJ580">
        <v>12</v>
      </c>
    </row>
    <row r="581" spans="1:36" x14ac:dyDescent="0.3">
      <c r="A581">
        <v>34</v>
      </c>
      <c r="B581" t="s">
        <v>43</v>
      </c>
      <c r="C581" s="6">
        <f t="shared" si="9"/>
        <v>0</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t="s">
        <v>43</v>
      </c>
      <c r="Y581">
        <v>11</v>
      </c>
      <c r="Z581">
        <v>3</v>
      </c>
      <c r="AA581">
        <v>3</v>
      </c>
      <c r="AB581">
        <v>80</v>
      </c>
      <c r="AC581">
        <v>0</v>
      </c>
      <c r="AD581">
        <v>6</v>
      </c>
      <c r="AE581">
        <v>3</v>
      </c>
      <c r="AF581">
        <v>3</v>
      </c>
      <c r="AG581">
        <v>6</v>
      </c>
      <c r="AH581">
        <v>5</v>
      </c>
      <c r="AI581">
        <v>1</v>
      </c>
      <c r="AJ581">
        <v>3</v>
      </c>
    </row>
    <row r="582" spans="1:36" x14ac:dyDescent="0.3">
      <c r="A582">
        <v>35</v>
      </c>
      <c r="B582" t="s">
        <v>43</v>
      </c>
      <c r="C582" s="6">
        <f t="shared" si="9"/>
        <v>0</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t="s">
        <v>43</v>
      </c>
      <c r="Y582">
        <v>16</v>
      </c>
      <c r="Z582">
        <v>3</v>
      </c>
      <c r="AA582">
        <v>2</v>
      </c>
      <c r="AB582">
        <v>80</v>
      </c>
      <c r="AC582">
        <v>1</v>
      </c>
      <c r="AD582">
        <v>3</v>
      </c>
      <c r="AE582">
        <v>1</v>
      </c>
      <c r="AF582">
        <v>2</v>
      </c>
      <c r="AG582">
        <v>3</v>
      </c>
      <c r="AH582">
        <v>2</v>
      </c>
      <c r="AI582">
        <v>0</v>
      </c>
      <c r="AJ582">
        <v>2</v>
      </c>
    </row>
    <row r="583" spans="1:36" x14ac:dyDescent="0.3">
      <c r="A583">
        <v>30</v>
      </c>
      <c r="B583" t="s">
        <v>43</v>
      </c>
      <c r="C583" s="6">
        <f t="shared" si="9"/>
        <v>0</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t="s">
        <v>43</v>
      </c>
      <c r="Y583">
        <v>21</v>
      </c>
      <c r="Z583">
        <v>4</v>
      </c>
      <c r="AA583">
        <v>3</v>
      </c>
      <c r="AB583">
        <v>80</v>
      </c>
      <c r="AC583">
        <v>2</v>
      </c>
      <c r="AD583">
        <v>7</v>
      </c>
      <c r="AE583">
        <v>2</v>
      </c>
      <c r="AF583">
        <v>3</v>
      </c>
      <c r="AG583">
        <v>2</v>
      </c>
      <c r="AH583">
        <v>2</v>
      </c>
      <c r="AI583">
        <v>0</v>
      </c>
      <c r="AJ583">
        <v>2</v>
      </c>
    </row>
    <row r="584" spans="1:36" x14ac:dyDescent="0.3">
      <c r="A584">
        <v>40</v>
      </c>
      <c r="B584" t="s">
        <v>43</v>
      </c>
      <c r="C584" s="6">
        <f t="shared" si="9"/>
        <v>0</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t="s">
        <v>43</v>
      </c>
      <c r="Y584">
        <v>24</v>
      </c>
      <c r="Z584">
        <v>4</v>
      </c>
      <c r="AA584">
        <v>4</v>
      </c>
      <c r="AB584">
        <v>80</v>
      </c>
      <c r="AC584">
        <v>1</v>
      </c>
      <c r="AD584">
        <v>8</v>
      </c>
      <c r="AE584">
        <v>2</v>
      </c>
      <c r="AF584">
        <v>3</v>
      </c>
      <c r="AG584">
        <v>8</v>
      </c>
      <c r="AH584">
        <v>7</v>
      </c>
      <c r="AI584">
        <v>3</v>
      </c>
      <c r="AJ584">
        <v>7</v>
      </c>
    </row>
    <row r="585" spans="1:36" x14ac:dyDescent="0.3">
      <c r="A585">
        <v>34</v>
      </c>
      <c r="B585" t="s">
        <v>43</v>
      </c>
      <c r="C585" s="6">
        <f t="shared" si="9"/>
        <v>0</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t="s">
        <v>43</v>
      </c>
      <c r="Y585">
        <v>17</v>
      </c>
      <c r="Z585">
        <v>3</v>
      </c>
      <c r="AA585">
        <v>2</v>
      </c>
      <c r="AB585">
        <v>80</v>
      </c>
      <c r="AC585">
        <v>1</v>
      </c>
      <c r="AD585">
        <v>6</v>
      </c>
      <c r="AE585">
        <v>1</v>
      </c>
      <c r="AF585">
        <v>3</v>
      </c>
      <c r="AG585">
        <v>3</v>
      </c>
      <c r="AH585">
        <v>2</v>
      </c>
      <c r="AI585">
        <v>1</v>
      </c>
      <c r="AJ585">
        <v>2</v>
      </c>
    </row>
    <row r="586" spans="1:36" x14ac:dyDescent="0.3">
      <c r="A586">
        <v>42</v>
      </c>
      <c r="B586" t="s">
        <v>43</v>
      </c>
      <c r="C586" s="6">
        <f t="shared" si="9"/>
        <v>0</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t="s">
        <v>43</v>
      </c>
      <c r="Y586">
        <v>13</v>
      </c>
      <c r="Z586">
        <v>3</v>
      </c>
      <c r="AA586">
        <v>2</v>
      </c>
      <c r="AB586">
        <v>80</v>
      </c>
      <c r="AC586">
        <v>1</v>
      </c>
      <c r="AD586">
        <v>24</v>
      </c>
      <c r="AE586">
        <v>4</v>
      </c>
      <c r="AF586">
        <v>2</v>
      </c>
      <c r="AG586">
        <v>24</v>
      </c>
      <c r="AH586">
        <v>7</v>
      </c>
      <c r="AI586">
        <v>14</v>
      </c>
      <c r="AJ586">
        <v>9</v>
      </c>
    </row>
    <row r="587" spans="1:36" x14ac:dyDescent="0.3">
      <c r="A587">
        <v>23</v>
      </c>
      <c r="B587" t="s">
        <v>35</v>
      </c>
      <c r="C587" s="6">
        <f t="shared" si="9"/>
        <v>1</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t="s">
        <v>35</v>
      </c>
      <c r="Y587">
        <v>21</v>
      </c>
      <c r="Z587">
        <v>4</v>
      </c>
      <c r="AA587">
        <v>3</v>
      </c>
      <c r="AB587">
        <v>80</v>
      </c>
      <c r="AC587">
        <v>2</v>
      </c>
      <c r="AD587">
        <v>1</v>
      </c>
      <c r="AE587">
        <v>2</v>
      </c>
      <c r="AF587">
        <v>3</v>
      </c>
      <c r="AG587">
        <v>0</v>
      </c>
      <c r="AH587">
        <v>0</v>
      </c>
      <c r="AI587">
        <v>0</v>
      </c>
      <c r="AJ587">
        <v>0</v>
      </c>
    </row>
    <row r="588" spans="1:36" x14ac:dyDescent="0.3">
      <c r="A588">
        <v>24</v>
      </c>
      <c r="B588" t="s">
        <v>43</v>
      </c>
      <c r="C588" s="6">
        <f t="shared" si="9"/>
        <v>0</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t="s">
        <v>43</v>
      </c>
      <c r="Y588">
        <v>11</v>
      </c>
      <c r="Z588">
        <v>3</v>
      </c>
      <c r="AA588">
        <v>3</v>
      </c>
      <c r="AB588">
        <v>80</v>
      </c>
      <c r="AC588">
        <v>3</v>
      </c>
      <c r="AD588">
        <v>1</v>
      </c>
      <c r="AE588">
        <v>4</v>
      </c>
      <c r="AF588">
        <v>3</v>
      </c>
      <c r="AG588">
        <v>1</v>
      </c>
      <c r="AH588">
        <v>0</v>
      </c>
      <c r="AI588">
        <v>0</v>
      </c>
      <c r="AJ588">
        <v>0</v>
      </c>
    </row>
    <row r="589" spans="1:36" x14ac:dyDescent="0.3">
      <c r="A589">
        <v>52</v>
      </c>
      <c r="B589" t="s">
        <v>43</v>
      </c>
      <c r="C589" s="6">
        <f t="shared" si="9"/>
        <v>0</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t="s">
        <v>43</v>
      </c>
      <c r="Y589">
        <v>20</v>
      </c>
      <c r="Z589">
        <v>4</v>
      </c>
      <c r="AA589">
        <v>2</v>
      </c>
      <c r="AB589">
        <v>80</v>
      </c>
      <c r="AC589">
        <v>1</v>
      </c>
      <c r="AD589">
        <v>9</v>
      </c>
      <c r="AE589">
        <v>3</v>
      </c>
      <c r="AF589">
        <v>3</v>
      </c>
      <c r="AG589">
        <v>5</v>
      </c>
      <c r="AH589">
        <v>2</v>
      </c>
      <c r="AI589">
        <v>1</v>
      </c>
      <c r="AJ589">
        <v>4</v>
      </c>
    </row>
    <row r="590" spans="1:36" x14ac:dyDescent="0.3">
      <c r="A590">
        <v>50</v>
      </c>
      <c r="B590" t="s">
        <v>43</v>
      </c>
      <c r="C590" s="6">
        <f t="shared" si="9"/>
        <v>0</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t="s">
        <v>43</v>
      </c>
      <c r="Y590">
        <v>16</v>
      </c>
      <c r="Z590">
        <v>3</v>
      </c>
      <c r="AA590">
        <v>4</v>
      </c>
      <c r="AB590">
        <v>80</v>
      </c>
      <c r="AC590">
        <v>0</v>
      </c>
      <c r="AD590">
        <v>30</v>
      </c>
      <c r="AE590">
        <v>3</v>
      </c>
      <c r="AF590">
        <v>3</v>
      </c>
      <c r="AG590">
        <v>4</v>
      </c>
      <c r="AH590">
        <v>3</v>
      </c>
      <c r="AI590">
        <v>0</v>
      </c>
      <c r="AJ590">
        <v>3</v>
      </c>
    </row>
    <row r="591" spans="1:36" x14ac:dyDescent="0.3">
      <c r="A591">
        <v>29</v>
      </c>
      <c r="B591" t="s">
        <v>35</v>
      </c>
      <c r="C591" s="6">
        <f t="shared" si="9"/>
        <v>1</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t="s">
        <v>35</v>
      </c>
      <c r="Y591">
        <v>11</v>
      </c>
      <c r="Z591">
        <v>3</v>
      </c>
      <c r="AA591">
        <v>4</v>
      </c>
      <c r="AB591">
        <v>80</v>
      </c>
      <c r="AC591">
        <v>1</v>
      </c>
      <c r="AD591">
        <v>1</v>
      </c>
      <c r="AE591">
        <v>1</v>
      </c>
      <c r="AF591">
        <v>3</v>
      </c>
      <c r="AG591">
        <v>1</v>
      </c>
      <c r="AH591">
        <v>0</v>
      </c>
      <c r="AI591">
        <v>0</v>
      </c>
      <c r="AJ591">
        <v>0</v>
      </c>
    </row>
    <row r="592" spans="1:36" x14ac:dyDescent="0.3">
      <c r="A592">
        <v>33</v>
      </c>
      <c r="B592" t="s">
        <v>43</v>
      </c>
      <c r="C592" s="6">
        <f t="shared" si="9"/>
        <v>0</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t="s">
        <v>43</v>
      </c>
      <c r="Y592">
        <v>11</v>
      </c>
      <c r="Z592">
        <v>3</v>
      </c>
      <c r="AA592">
        <v>4</v>
      </c>
      <c r="AB592">
        <v>80</v>
      </c>
      <c r="AC592">
        <v>0</v>
      </c>
      <c r="AD592">
        <v>14</v>
      </c>
      <c r="AE592">
        <v>3</v>
      </c>
      <c r="AF592">
        <v>4</v>
      </c>
      <c r="AG592">
        <v>13</v>
      </c>
      <c r="AH592">
        <v>9</v>
      </c>
      <c r="AI592">
        <v>3</v>
      </c>
      <c r="AJ592">
        <v>7</v>
      </c>
    </row>
    <row r="593" spans="1:36" x14ac:dyDescent="0.3">
      <c r="A593">
        <v>33</v>
      </c>
      <c r="B593" t="s">
        <v>35</v>
      </c>
      <c r="C593" s="6">
        <f t="shared" si="9"/>
        <v>1</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t="s">
        <v>43</v>
      </c>
      <c r="Y593">
        <v>15</v>
      </c>
      <c r="Z593">
        <v>3</v>
      </c>
      <c r="AA593">
        <v>3</v>
      </c>
      <c r="AB593">
        <v>80</v>
      </c>
      <c r="AC593">
        <v>0</v>
      </c>
      <c r="AD593">
        <v>6</v>
      </c>
      <c r="AE593">
        <v>3</v>
      </c>
      <c r="AF593">
        <v>3</v>
      </c>
      <c r="AG593">
        <v>3</v>
      </c>
      <c r="AH593">
        <v>2</v>
      </c>
      <c r="AI593">
        <v>0</v>
      </c>
      <c r="AJ593">
        <v>2</v>
      </c>
    </row>
    <row r="594" spans="1:36" x14ac:dyDescent="0.3">
      <c r="A594">
        <v>47</v>
      </c>
      <c r="B594" t="s">
        <v>43</v>
      </c>
      <c r="C594" s="6">
        <f t="shared" si="9"/>
        <v>0</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t="s">
        <v>35</v>
      </c>
      <c r="Y594">
        <v>11</v>
      </c>
      <c r="Z594">
        <v>3</v>
      </c>
      <c r="AA594">
        <v>3</v>
      </c>
      <c r="AB594">
        <v>80</v>
      </c>
      <c r="AC594">
        <v>1</v>
      </c>
      <c r="AD594">
        <v>26</v>
      </c>
      <c r="AE594">
        <v>3</v>
      </c>
      <c r="AF594">
        <v>2</v>
      </c>
      <c r="AG594">
        <v>26</v>
      </c>
      <c r="AH594">
        <v>14</v>
      </c>
      <c r="AI594">
        <v>3</v>
      </c>
      <c r="AJ594">
        <v>0</v>
      </c>
    </row>
    <row r="595" spans="1:36" x14ac:dyDescent="0.3">
      <c r="A595">
        <v>36</v>
      </c>
      <c r="B595" t="s">
        <v>43</v>
      </c>
      <c r="C595" s="6">
        <f t="shared" si="9"/>
        <v>0</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t="s">
        <v>43</v>
      </c>
      <c r="Y595">
        <v>15</v>
      </c>
      <c r="Z595">
        <v>3</v>
      </c>
      <c r="AA595">
        <v>1</v>
      </c>
      <c r="AB595">
        <v>80</v>
      </c>
      <c r="AC595">
        <v>1</v>
      </c>
      <c r="AD595">
        <v>10</v>
      </c>
      <c r="AE595">
        <v>2</v>
      </c>
      <c r="AF595">
        <v>3</v>
      </c>
      <c r="AG595">
        <v>9</v>
      </c>
      <c r="AH595">
        <v>7</v>
      </c>
      <c r="AI595">
        <v>0</v>
      </c>
      <c r="AJ595">
        <v>5</v>
      </c>
    </row>
    <row r="596" spans="1:36" x14ac:dyDescent="0.3">
      <c r="A596">
        <v>29</v>
      </c>
      <c r="B596" t="s">
        <v>43</v>
      </c>
      <c r="C596" s="6">
        <f t="shared" si="9"/>
        <v>0</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t="s">
        <v>43</v>
      </c>
      <c r="Y596">
        <v>24</v>
      </c>
      <c r="Z596">
        <v>4</v>
      </c>
      <c r="AA596">
        <v>3</v>
      </c>
      <c r="AB596">
        <v>80</v>
      </c>
      <c r="AC596">
        <v>1</v>
      </c>
      <c r="AD596">
        <v>10</v>
      </c>
      <c r="AE596">
        <v>3</v>
      </c>
      <c r="AF596">
        <v>3</v>
      </c>
      <c r="AG596">
        <v>10</v>
      </c>
      <c r="AH596">
        <v>7</v>
      </c>
      <c r="AI596">
        <v>0</v>
      </c>
      <c r="AJ596">
        <v>7</v>
      </c>
    </row>
    <row r="597" spans="1:36" x14ac:dyDescent="0.3">
      <c r="A597">
        <v>58</v>
      </c>
      <c r="B597" t="s">
        <v>35</v>
      </c>
      <c r="C597" s="6">
        <f t="shared" si="9"/>
        <v>1</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t="s">
        <v>35</v>
      </c>
      <c r="Y597">
        <v>12</v>
      </c>
      <c r="Z597">
        <v>3</v>
      </c>
      <c r="AA597">
        <v>4</v>
      </c>
      <c r="AB597">
        <v>80</v>
      </c>
      <c r="AC597">
        <v>0</v>
      </c>
      <c r="AD597">
        <v>40</v>
      </c>
      <c r="AE597">
        <v>2</v>
      </c>
      <c r="AF597">
        <v>3</v>
      </c>
      <c r="AG597">
        <v>31</v>
      </c>
      <c r="AH597">
        <v>15</v>
      </c>
      <c r="AI597">
        <v>13</v>
      </c>
      <c r="AJ597">
        <v>8</v>
      </c>
    </row>
    <row r="598" spans="1:36" x14ac:dyDescent="0.3">
      <c r="A598">
        <v>35</v>
      </c>
      <c r="B598" t="s">
        <v>43</v>
      </c>
      <c r="C598" s="6">
        <f t="shared" si="9"/>
        <v>0</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t="s">
        <v>43</v>
      </c>
      <c r="Y598">
        <v>13</v>
      </c>
      <c r="Z598">
        <v>3</v>
      </c>
      <c r="AA598">
        <v>3</v>
      </c>
      <c r="AB598">
        <v>80</v>
      </c>
      <c r="AC598">
        <v>0</v>
      </c>
      <c r="AD598">
        <v>7</v>
      </c>
      <c r="AE598">
        <v>0</v>
      </c>
      <c r="AF598">
        <v>3</v>
      </c>
      <c r="AG598">
        <v>2</v>
      </c>
      <c r="AH598">
        <v>2</v>
      </c>
      <c r="AI598">
        <v>2</v>
      </c>
      <c r="AJ598">
        <v>2</v>
      </c>
    </row>
    <row r="599" spans="1:36" x14ac:dyDescent="0.3">
      <c r="A599">
        <v>42</v>
      </c>
      <c r="B599" t="s">
        <v>43</v>
      </c>
      <c r="C599" s="6">
        <f t="shared" si="9"/>
        <v>0</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t="s">
        <v>35</v>
      </c>
      <c r="Y599">
        <v>13</v>
      </c>
      <c r="Z599">
        <v>3</v>
      </c>
      <c r="AA599">
        <v>4</v>
      </c>
      <c r="AB599">
        <v>80</v>
      </c>
      <c r="AC599">
        <v>1</v>
      </c>
      <c r="AD599">
        <v>8</v>
      </c>
      <c r="AE599">
        <v>4</v>
      </c>
      <c r="AF599">
        <v>3</v>
      </c>
      <c r="AG599">
        <v>4</v>
      </c>
      <c r="AH599">
        <v>3</v>
      </c>
      <c r="AI599">
        <v>0</v>
      </c>
      <c r="AJ599">
        <v>2</v>
      </c>
    </row>
    <row r="600" spans="1:36" x14ac:dyDescent="0.3">
      <c r="A600">
        <v>28</v>
      </c>
      <c r="B600" t="s">
        <v>35</v>
      </c>
      <c r="C600" s="6">
        <f t="shared" si="9"/>
        <v>1</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t="s">
        <v>43</v>
      </c>
      <c r="Y600">
        <v>17</v>
      </c>
      <c r="Z600">
        <v>3</v>
      </c>
      <c r="AA600">
        <v>4</v>
      </c>
      <c r="AB600">
        <v>80</v>
      </c>
      <c r="AC600">
        <v>0</v>
      </c>
      <c r="AD600">
        <v>5</v>
      </c>
      <c r="AE600">
        <v>3</v>
      </c>
      <c r="AF600">
        <v>2</v>
      </c>
      <c r="AG600">
        <v>2</v>
      </c>
      <c r="AH600">
        <v>2</v>
      </c>
      <c r="AI600">
        <v>2</v>
      </c>
      <c r="AJ600">
        <v>1</v>
      </c>
    </row>
    <row r="601" spans="1:36" x14ac:dyDescent="0.3">
      <c r="A601">
        <v>36</v>
      </c>
      <c r="B601" t="s">
        <v>43</v>
      </c>
      <c r="C601" s="6">
        <f t="shared" si="9"/>
        <v>0</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t="s">
        <v>43</v>
      </c>
      <c r="Y601">
        <v>13</v>
      </c>
      <c r="Z601">
        <v>3</v>
      </c>
      <c r="AA601">
        <v>2</v>
      </c>
      <c r="AB601">
        <v>80</v>
      </c>
      <c r="AC601">
        <v>1</v>
      </c>
      <c r="AD601">
        <v>8</v>
      </c>
      <c r="AE601">
        <v>2</v>
      </c>
      <c r="AF601">
        <v>3</v>
      </c>
      <c r="AG601">
        <v>5</v>
      </c>
      <c r="AH601">
        <v>2</v>
      </c>
      <c r="AI601">
        <v>0</v>
      </c>
      <c r="AJ601">
        <v>4</v>
      </c>
    </row>
    <row r="602" spans="1:36" x14ac:dyDescent="0.3">
      <c r="A602">
        <v>32</v>
      </c>
      <c r="B602" t="s">
        <v>43</v>
      </c>
      <c r="C602" s="6">
        <f t="shared" si="9"/>
        <v>0</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t="s">
        <v>43</v>
      </c>
      <c r="Y602">
        <v>12</v>
      </c>
      <c r="Z602">
        <v>3</v>
      </c>
      <c r="AA602">
        <v>3</v>
      </c>
      <c r="AB602">
        <v>80</v>
      </c>
      <c r="AC602">
        <v>1</v>
      </c>
      <c r="AD602">
        <v>14</v>
      </c>
      <c r="AE602">
        <v>3</v>
      </c>
      <c r="AF602">
        <v>3</v>
      </c>
      <c r="AG602">
        <v>14</v>
      </c>
      <c r="AH602">
        <v>13</v>
      </c>
      <c r="AI602">
        <v>6</v>
      </c>
      <c r="AJ602">
        <v>8</v>
      </c>
    </row>
    <row r="603" spans="1:36" x14ac:dyDescent="0.3">
      <c r="A603">
        <v>40</v>
      </c>
      <c r="B603" t="s">
        <v>43</v>
      </c>
      <c r="C603" s="6">
        <f t="shared" si="9"/>
        <v>0</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t="s">
        <v>43</v>
      </c>
      <c r="Y603">
        <v>14</v>
      </c>
      <c r="Z603">
        <v>3</v>
      </c>
      <c r="AA603">
        <v>4</v>
      </c>
      <c r="AB603">
        <v>80</v>
      </c>
      <c r="AC603">
        <v>0</v>
      </c>
      <c r="AD603">
        <v>10</v>
      </c>
      <c r="AE603">
        <v>6</v>
      </c>
      <c r="AF603">
        <v>3</v>
      </c>
      <c r="AG603">
        <v>1</v>
      </c>
      <c r="AH603">
        <v>0</v>
      </c>
      <c r="AI603">
        <v>0</v>
      </c>
      <c r="AJ603">
        <v>0</v>
      </c>
    </row>
    <row r="604" spans="1:36" x14ac:dyDescent="0.3">
      <c r="A604">
        <v>30</v>
      </c>
      <c r="B604" t="s">
        <v>43</v>
      </c>
      <c r="C604" s="6">
        <f t="shared" si="9"/>
        <v>0</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t="s">
        <v>35</v>
      </c>
      <c r="Y604">
        <v>24</v>
      </c>
      <c r="Z604">
        <v>4</v>
      </c>
      <c r="AA604">
        <v>2</v>
      </c>
      <c r="AB604">
        <v>80</v>
      </c>
      <c r="AC604">
        <v>0</v>
      </c>
      <c r="AD604">
        <v>12</v>
      </c>
      <c r="AE604">
        <v>4</v>
      </c>
      <c r="AF604">
        <v>2</v>
      </c>
      <c r="AG604">
        <v>0</v>
      </c>
      <c r="AH604">
        <v>0</v>
      </c>
      <c r="AI604">
        <v>0</v>
      </c>
      <c r="AJ604">
        <v>0</v>
      </c>
    </row>
    <row r="605" spans="1:36" x14ac:dyDescent="0.3">
      <c r="A605">
        <v>45</v>
      </c>
      <c r="B605" t="s">
        <v>43</v>
      </c>
      <c r="C605" s="6">
        <f t="shared" si="9"/>
        <v>0</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t="s">
        <v>43</v>
      </c>
      <c r="Y605">
        <v>14</v>
      </c>
      <c r="Z605">
        <v>3</v>
      </c>
      <c r="AA605">
        <v>4</v>
      </c>
      <c r="AB605">
        <v>80</v>
      </c>
      <c r="AC605">
        <v>0</v>
      </c>
      <c r="AD605">
        <v>1</v>
      </c>
      <c r="AE605">
        <v>3</v>
      </c>
      <c r="AF605">
        <v>3</v>
      </c>
      <c r="AG605">
        <v>1</v>
      </c>
      <c r="AH605">
        <v>0</v>
      </c>
      <c r="AI605">
        <v>0</v>
      </c>
      <c r="AJ605">
        <v>0</v>
      </c>
    </row>
    <row r="606" spans="1:36" x14ac:dyDescent="0.3">
      <c r="A606">
        <v>42</v>
      </c>
      <c r="B606" t="s">
        <v>43</v>
      </c>
      <c r="C606" s="6">
        <f t="shared" si="9"/>
        <v>0</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t="s">
        <v>43</v>
      </c>
      <c r="Y606">
        <v>13</v>
      </c>
      <c r="Z606">
        <v>3</v>
      </c>
      <c r="AA606">
        <v>4</v>
      </c>
      <c r="AB606">
        <v>80</v>
      </c>
      <c r="AC606">
        <v>1</v>
      </c>
      <c r="AD606">
        <v>10</v>
      </c>
      <c r="AE606">
        <v>3</v>
      </c>
      <c r="AF606">
        <v>2</v>
      </c>
      <c r="AG606">
        <v>9</v>
      </c>
      <c r="AH606">
        <v>8</v>
      </c>
      <c r="AI606">
        <v>7</v>
      </c>
      <c r="AJ606">
        <v>8</v>
      </c>
    </row>
    <row r="607" spans="1:36" x14ac:dyDescent="0.3">
      <c r="A607">
        <v>38</v>
      </c>
      <c r="B607" t="s">
        <v>43</v>
      </c>
      <c r="C607" s="6">
        <f t="shared" si="9"/>
        <v>0</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t="s">
        <v>43</v>
      </c>
      <c r="Y607">
        <v>15</v>
      </c>
      <c r="Z607">
        <v>3</v>
      </c>
      <c r="AA607">
        <v>3</v>
      </c>
      <c r="AB607">
        <v>80</v>
      </c>
      <c r="AC607">
        <v>1</v>
      </c>
      <c r="AD607">
        <v>13</v>
      </c>
      <c r="AE607">
        <v>3</v>
      </c>
      <c r="AF607">
        <v>2</v>
      </c>
      <c r="AG607">
        <v>4</v>
      </c>
      <c r="AH607">
        <v>3</v>
      </c>
      <c r="AI607">
        <v>1</v>
      </c>
      <c r="AJ607">
        <v>2</v>
      </c>
    </row>
    <row r="608" spans="1:36" x14ac:dyDescent="0.3">
      <c r="A608">
        <v>34</v>
      </c>
      <c r="B608" t="s">
        <v>43</v>
      </c>
      <c r="C608" s="6">
        <f t="shared" si="9"/>
        <v>0</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t="s">
        <v>43</v>
      </c>
      <c r="Y608">
        <v>16</v>
      </c>
      <c r="Z608">
        <v>3</v>
      </c>
      <c r="AA608">
        <v>3</v>
      </c>
      <c r="AB608">
        <v>80</v>
      </c>
      <c r="AC608">
        <v>0</v>
      </c>
      <c r="AD608">
        <v>6</v>
      </c>
      <c r="AE608">
        <v>3</v>
      </c>
      <c r="AF608">
        <v>3</v>
      </c>
      <c r="AG608">
        <v>5</v>
      </c>
      <c r="AH608">
        <v>2</v>
      </c>
      <c r="AI608">
        <v>1</v>
      </c>
      <c r="AJ608">
        <v>3</v>
      </c>
    </row>
    <row r="609" spans="1:36" x14ac:dyDescent="0.3">
      <c r="A609">
        <v>49</v>
      </c>
      <c r="B609" t="s">
        <v>35</v>
      </c>
      <c r="C609" s="6">
        <f t="shared" si="9"/>
        <v>1</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t="s">
        <v>43</v>
      </c>
      <c r="Y609">
        <v>18</v>
      </c>
      <c r="Z609">
        <v>3</v>
      </c>
      <c r="AA609">
        <v>1</v>
      </c>
      <c r="AB609">
        <v>80</v>
      </c>
      <c r="AC609">
        <v>2</v>
      </c>
      <c r="AD609">
        <v>9</v>
      </c>
      <c r="AE609">
        <v>3</v>
      </c>
      <c r="AF609">
        <v>4</v>
      </c>
      <c r="AG609">
        <v>9</v>
      </c>
      <c r="AH609">
        <v>8</v>
      </c>
      <c r="AI609">
        <v>7</v>
      </c>
      <c r="AJ609">
        <v>7</v>
      </c>
    </row>
    <row r="610" spans="1:36" x14ac:dyDescent="0.3">
      <c r="A610">
        <v>55</v>
      </c>
      <c r="B610" t="s">
        <v>35</v>
      </c>
      <c r="C610" s="6">
        <f t="shared" si="9"/>
        <v>1</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t="s">
        <v>43</v>
      </c>
      <c r="Y610">
        <v>16</v>
      </c>
      <c r="Z610">
        <v>3</v>
      </c>
      <c r="AA610">
        <v>3</v>
      </c>
      <c r="AB610">
        <v>80</v>
      </c>
      <c r="AC610">
        <v>0</v>
      </c>
      <c r="AD610">
        <v>12</v>
      </c>
      <c r="AE610">
        <v>3</v>
      </c>
      <c r="AF610">
        <v>2</v>
      </c>
      <c r="AG610">
        <v>9</v>
      </c>
      <c r="AH610">
        <v>7</v>
      </c>
      <c r="AI610">
        <v>7</v>
      </c>
      <c r="AJ610">
        <v>3</v>
      </c>
    </row>
    <row r="611" spans="1:36" x14ac:dyDescent="0.3">
      <c r="A611">
        <v>43</v>
      </c>
      <c r="B611" t="s">
        <v>43</v>
      </c>
      <c r="C611" s="6">
        <f t="shared" si="9"/>
        <v>0</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t="s">
        <v>43</v>
      </c>
      <c r="Y611">
        <v>24</v>
      </c>
      <c r="Z611">
        <v>4</v>
      </c>
      <c r="AA611">
        <v>3</v>
      </c>
      <c r="AB611">
        <v>80</v>
      </c>
      <c r="AC611">
        <v>1</v>
      </c>
      <c r="AD611">
        <v>22</v>
      </c>
      <c r="AE611">
        <v>3</v>
      </c>
      <c r="AF611">
        <v>3</v>
      </c>
      <c r="AG611">
        <v>4</v>
      </c>
      <c r="AH611">
        <v>1</v>
      </c>
      <c r="AI611">
        <v>1</v>
      </c>
      <c r="AJ611">
        <v>0</v>
      </c>
    </row>
    <row r="612" spans="1:36" x14ac:dyDescent="0.3">
      <c r="A612">
        <v>27</v>
      </c>
      <c r="B612" t="s">
        <v>43</v>
      </c>
      <c r="C612" s="6">
        <f t="shared" si="9"/>
        <v>0</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t="s">
        <v>35</v>
      </c>
      <c r="Y612">
        <v>16</v>
      </c>
      <c r="Z612">
        <v>3</v>
      </c>
      <c r="AA612">
        <v>2</v>
      </c>
      <c r="AB612">
        <v>80</v>
      </c>
      <c r="AC612">
        <v>1</v>
      </c>
      <c r="AD612">
        <v>9</v>
      </c>
      <c r="AE612">
        <v>3</v>
      </c>
      <c r="AF612">
        <v>3</v>
      </c>
      <c r="AG612">
        <v>9</v>
      </c>
      <c r="AH612">
        <v>8</v>
      </c>
      <c r="AI612">
        <v>0</v>
      </c>
      <c r="AJ612">
        <v>8</v>
      </c>
    </row>
    <row r="613" spans="1:36" x14ac:dyDescent="0.3">
      <c r="A613">
        <v>35</v>
      </c>
      <c r="B613" t="s">
        <v>43</v>
      </c>
      <c r="C613" s="6">
        <f t="shared" si="9"/>
        <v>0</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t="s">
        <v>43</v>
      </c>
      <c r="Y613">
        <v>21</v>
      </c>
      <c r="Z613">
        <v>4</v>
      </c>
      <c r="AA613">
        <v>2</v>
      </c>
      <c r="AB613">
        <v>80</v>
      </c>
      <c r="AC613">
        <v>0</v>
      </c>
      <c r="AD613">
        <v>17</v>
      </c>
      <c r="AE613">
        <v>3</v>
      </c>
      <c r="AF613">
        <v>4</v>
      </c>
      <c r="AG613">
        <v>8</v>
      </c>
      <c r="AH613">
        <v>5</v>
      </c>
      <c r="AI613">
        <v>1</v>
      </c>
      <c r="AJ613">
        <v>6</v>
      </c>
    </row>
    <row r="614" spans="1:36" x14ac:dyDescent="0.3">
      <c r="A614">
        <v>28</v>
      </c>
      <c r="B614" t="s">
        <v>43</v>
      </c>
      <c r="C614" s="6">
        <f t="shared" si="9"/>
        <v>0</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t="s">
        <v>35</v>
      </c>
      <c r="Y614">
        <v>20</v>
      </c>
      <c r="Z614">
        <v>4</v>
      </c>
      <c r="AA614">
        <v>1</v>
      </c>
      <c r="AB614">
        <v>80</v>
      </c>
      <c r="AC614">
        <v>0</v>
      </c>
      <c r="AD614">
        <v>8</v>
      </c>
      <c r="AE614">
        <v>2</v>
      </c>
      <c r="AF614">
        <v>3</v>
      </c>
      <c r="AG614">
        <v>8</v>
      </c>
      <c r="AH614">
        <v>7</v>
      </c>
      <c r="AI614">
        <v>7</v>
      </c>
      <c r="AJ614">
        <v>5</v>
      </c>
    </row>
    <row r="615" spans="1:36" x14ac:dyDescent="0.3">
      <c r="A615">
        <v>34</v>
      </c>
      <c r="B615" t="s">
        <v>43</v>
      </c>
      <c r="C615" s="6">
        <f t="shared" si="9"/>
        <v>0</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t="s">
        <v>43</v>
      </c>
      <c r="Y615">
        <v>19</v>
      </c>
      <c r="Z615">
        <v>3</v>
      </c>
      <c r="AA615">
        <v>3</v>
      </c>
      <c r="AB615">
        <v>80</v>
      </c>
      <c r="AC615">
        <v>1</v>
      </c>
      <c r="AD615">
        <v>4</v>
      </c>
      <c r="AE615">
        <v>1</v>
      </c>
      <c r="AF615">
        <v>1</v>
      </c>
      <c r="AG615">
        <v>3</v>
      </c>
      <c r="AH615">
        <v>2</v>
      </c>
      <c r="AI615">
        <v>0</v>
      </c>
      <c r="AJ615">
        <v>2</v>
      </c>
    </row>
    <row r="616" spans="1:36" x14ac:dyDescent="0.3">
      <c r="A616">
        <v>26</v>
      </c>
      <c r="B616" t="s">
        <v>35</v>
      </c>
      <c r="C616" s="6">
        <f t="shared" si="9"/>
        <v>1</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t="s">
        <v>35</v>
      </c>
      <c r="Y616">
        <v>14</v>
      </c>
      <c r="Z616">
        <v>3</v>
      </c>
      <c r="AA616">
        <v>1</v>
      </c>
      <c r="AB616">
        <v>80</v>
      </c>
      <c r="AC616">
        <v>1</v>
      </c>
      <c r="AD616">
        <v>8</v>
      </c>
      <c r="AE616">
        <v>2</v>
      </c>
      <c r="AF616">
        <v>3</v>
      </c>
      <c r="AG616">
        <v>8</v>
      </c>
      <c r="AH616">
        <v>7</v>
      </c>
      <c r="AI616">
        <v>1</v>
      </c>
      <c r="AJ616">
        <v>7</v>
      </c>
    </row>
    <row r="617" spans="1:36" x14ac:dyDescent="0.3">
      <c r="A617">
        <v>27</v>
      </c>
      <c r="B617" t="s">
        <v>43</v>
      </c>
      <c r="C617" s="6">
        <f t="shared" si="9"/>
        <v>0</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t="s">
        <v>43</v>
      </c>
      <c r="Y617">
        <v>11</v>
      </c>
      <c r="Z617">
        <v>3</v>
      </c>
      <c r="AA617">
        <v>3</v>
      </c>
      <c r="AB617">
        <v>80</v>
      </c>
      <c r="AC617">
        <v>3</v>
      </c>
      <c r="AD617">
        <v>0</v>
      </c>
      <c r="AE617">
        <v>6</v>
      </c>
      <c r="AF617">
        <v>2</v>
      </c>
      <c r="AG617">
        <v>0</v>
      </c>
      <c r="AH617">
        <v>0</v>
      </c>
      <c r="AI617">
        <v>0</v>
      </c>
      <c r="AJ617">
        <v>0</v>
      </c>
    </row>
    <row r="618" spans="1:36" x14ac:dyDescent="0.3">
      <c r="A618">
        <v>51</v>
      </c>
      <c r="B618" t="s">
        <v>43</v>
      </c>
      <c r="C618" s="6">
        <f t="shared" si="9"/>
        <v>0</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t="s">
        <v>43</v>
      </c>
      <c r="Y618">
        <v>14</v>
      </c>
      <c r="Z618">
        <v>3</v>
      </c>
      <c r="AA618">
        <v>3</v>
      </c>
      <c r="AB618">
        <v>80</v>
      </c>
      <c r="AC618">
        <v>1</v>
      </c>
      <c r="AD618">
        <v>29</v>
      </c>
      <c r="AE618">
        <v>2</v>
      </c>
      <c r="AF618">
        <v>2</v>
      </c>
      <c r="AG618">
        <v>20</v>
      </c>
      <c r="AH618">
        <v>6</v>
      </c>
      <c r="AI618">
        <v>4</v>
      </c>
      <c r="AJ618">
        <v>17</v>
      </c>
    </row>
    <row r="619" spans="1:36" x14ac:dyDescent="0.3">
      <c r="A619">
        <v>44</v>
      </c>
      <c r="B619" t="s">
        <v>43</v>
      </c>
      <c r="C619" s="6">
        <f t="shared" si="9"/>
        <v>0</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t="s">
        <v>43</v>
      </c>
      <c r="Y619">
        <v>12</v>
      </c>
      <c r="Z619">
        <v>3</v>
      </c>
      <c r="AA619">
        <v>4</v>
      </c>
      <c r="AB619">
        <v>80</v>
      </c>
      <c r="AC619">
        <v>0</v>
      </c>
      <c r="AD619">
        <v>10</v>
      </c>
      <c r="AE619">
        <v>2</v>
      </c>
      <c r="AF619">
        <v>2</v>
      </c>
      <c r="AG619">
        <v>5</v>
      </c>
      <c r="AH619">
        <v>2</v>
      </c>
      <c r="AI619">
        <v>2</v>
      </c>
      <c r="AJ619">
        <v>3</v>
      </c>
    </row>
    <row r="620" spans="1:36" x14ac:dyDescent="0.3">
      <c r="A620">
        <v>25</v>
      </c>
      <c r="B620" t="s">
        <v>43</v>
      </c>
      <c r="C620" s="6">
        <f t="shared" si="9"/>
        <v>0</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t="s">
        <v>43</v>
      </c>
      <c r="Y620">
        <v>13</v>
      </c>
      <c r="Z620">
        <v>3</v>
      </c>
      <c r="AA620">
        <v>3</v>
      </c>
      <c r="AB620">
        <v>80</v>
      </c>
      <c r="AC620">
        <v>0</v>
      </c>
      <c r="AD620">
        <v>6</v>
      </c>
      <c r="AE620">
        <v>3</v>
      </c>
      <c r="AF620">
        <v>2</v>
      </c>
      <c r="AG620">
        <v>4</v>
      </c>
      <c r="AH620">
        <v>3</v>
      </c>
      <c r="AI620">
        <v>0</v>
      </c>
      <c r="AJ620">
        <v>1</v>
      </c>
    </row>
    <row r="621" spans="1:36" x14ac:dyDescent="0.3">
      <c r="A621">
        <v>33</v>
      </c>
      <c r="B621" t="s">
        <v>43</v>
      </c>
      <c r="C621" s="6">
        <f t="shared" si="9"/>
        <v>0</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t="s">
        <v>43</v>
      </c>
      <c r="Y621">
        <v>22</v>
      </c>
      <c r="Z621">
        <v>4</v>
      </c>
      <c r="AA621">
        <v>1</v>
      </c>
      <c r="AB621">
        <v>80</v>
      </c>
      <c r="AC621">
        <v>1</v>
      </c>
      <c r="AD621">
        <v>9</v>
      </c>
      <c r="AE621">
        <v>5</v>
      </c>
      <c r="AF621">
        <v>3</v>
      </c>
      <c r="AG621">
        <v>9</v>
      </c>
      <c r="AH621">
        <v>8</v>
      </c>
      <c r="AI621">
        <v>0</v>
      </c>
      <c r="AJ621">
        <v>8</v>
      </c>
    </row>
    <row r="622" spans="1:36" x14ac:dyDescent="0.3">
      <c r="A622">
        <v>35</v>
      </c>
      <c r="B622" t="s">
        <v>43</v>
      </c>
      <c r="C622" s="6">
        <f t="shared" si="9"/>
        <v>0</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t="s">
        <v>43</v>
      </c>
      <c r="Y622">
        <v>11</v>
      </c>
      <c r="Z622">
        <v>3</v>
      </c>
      <c r="AA622">
        <v>4</v>
      </c>
      <c r="AB622">
        <v>80</v>
      </c>
      <c r="AC622">
        <v>0</v>
      </c>
      <c r="AD622">
        <v>6</v>
      </c>
      <c r="AE622">
        <v>3</v>
      </c>
      <c r="AF622">
        <v>2</v>
      </c>
      <c r="AG622">
        <v>6</v>
      </c>
      <c r="AH622">
        <v>5</v>
      </c>
      <c r="AI622">
        <v>1</v>
      </c>
      <c r="AJ622">
        <v>1</v>
      </c>
    </row>
    <row r="623" spans="1:36" x14ac:dyDescent="0.3">
      <c r="A623">
        <v>36</v>
      </c>
      <c r="B623" t="s">
        <v>43</v>
      </c>
      <c r="C623" s="6">
        <f t="shared" si="9"/>
        <v>0</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t="s">
        <v>35</v>
      </c>
      <c r="Y623">
        <v>14</v>
      </c>
      <c r="Z623">
        <v>3</v>
      </c>
      <c r="AA623">
        <v>4</v>
      </c>
      <c r="AB623">
        <v>80</v>
      </c>
      <c r="AC623">
        <v>1</v>
      </c>
      <c r="AD623">
        <v>18</v>
      </c>
      <c r="AE623">
        <v>1</v>
      </c>
      <c r="AF623">
        <v>2</v>
      </c>
      <c r="AG623">
        <v>18</v>
      </c>
      <c r="AH623">
        <v>14</v>
      </c>
      <c r="AI623">
        <v>4</v>
      </c>
      <c r="AJ623">
        <v>11</v>
      </c>
    </row>
    <row r="624" spans="1:36" x14ac:dyDescent="0.3">
      <c r="A624">
        <v>32</v>
      </c>
      <c r="B624" t="s">
        <v>43</v>
      </c>
      <c r="C624" s="6">
        <f t="shared" si="9"/>
        <v>0</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t="s">
        <v>43</v>
      </c>
      <c r="Y624">
        <v>11</v>
      </c>
      <c r="Z624">
        <v>3</v>
      </c>
      <c r="AA624">
        <v>3</v>
      </c>
      <c r="AB624">
        <v>80</v>
      </c>
      <c r="AC624">
        <v>1</v>
      </c>
      <c r="AD624">
        <v>8</v>
      </c>
      <c r="AE624">
        <v>3</v>
      </c>
      <c r="AF624">
        <v>2</v>
      </c>
      <c r="AG624">
        <v>5</v>
      </c>
      <c r="AH624">
        <v>2</v>
      </c>
      <c r="AI624">
        <v>0</v>
      </c>
      <c r="AJ624">
        <v>3</v>
      </c>
    </row>
    <row r="625" spans="1:36" x14ac:dyDescent="0.3">
      <c r="A625">
        <v>30</v>
      </c>
      <c r="B625" t="s">
        <v>43</v>
      </c>
      <c r="C625" s="6">
        <f t="shared" si="9"/>
        <v>0</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t="s">
        <v>43</v>
      </c>
      <c r="Y625">
        <v>12</v>
      </c>
      <c r="Z625">
        <v>3</v>
      </c>
      <c r="AA625">
        <v>2</v>
      </c>
      <c r="AB625">
        <v>80</v>
      </c>
      <c r="AC625">
        <v>1</v>
      </c>
      <c r="AD625">
        <v>10</v>
      </c>
      <c r="AE625">
        <v>3</v>
      </c>
      <c r="AF625">
        <v>2</v>
      </c>
      <c r="AG625">
        <v>5</v>
      </c>
      <c r="AH625">
        <v>4</v>
      </c>
      <c r="AI625">
        <v>0</v>
      </c>
      <c r="AJ625">
        <v>3</v>
      </c>
    </row>
    <row r="626" spans="1:36" x14ac:dyDescent="0.3">
      <c r="A626">
        <v>53</v>
      </c>
      <c r="B626" t="s">
        <v>43</v>
      </c>
      <c r="C626" s="6">
        <f t="shared" si="9"/>
        <v>0</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t="s">
        <v>35</v>
      </c>
      <c r="Y626">
        <v>18</v>
      </c>
      <c r="Z626">
        <v>3</v>
      </c>
      <c r="AA626">
        <v>4</v>
      </c>
      <c r="AB626">
        <v>80</v>
      </c>
      <c r="AC626">
        <v>1</v>
      </c>
      <c r="AD626">
        <v>35</v>
      </c>
      <c r="AE626">
        <v>3</v>
      </c>
      <c r="AF626">
        <v>3</v>
      </c>
      <c r="AG626">
        <v>5</v>
      </c>
      <c r="AH626">
        <v>2</v>
      </c>
      <c r="AI626">
        <v>0</v>
      </c>
      <c r="AJ626">
        <v>4</v>
      </c>
    </row>
    <row r="627" spans="1:36" x14ac:dyDescent="0.3">
      <c r="A627">
        <v>45</v>
      </c>
      <c r="B627" t="s">
        <v>43</v>
      </c>
      <c r="C627" s="6">
        <f t="shared" si="9"/>
        <v>0</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t="s">
        <v>35</v>
      </c>
      <c r="Y627">
        <v>12</v>
      </c>
      <c r="Z627">
        <v>3</v>
      </c>
      <c r="AA627">
        <v>3</v>
      </c>
      <c r="AB627">
        <v>80</v>
      </c>
      <c r="AC627">
        <v>1</v>
      </c>
      <c r="AD627">
        <v>18</v>
      </c>
      <c r="AE627">
        <v>2</v>
      </c>
      <c r="AF627">
        <v>3</v>
      </c>
      <c r="AG627">
        <v>5</v>
      </c>
      <c r="AH627">
        <v>4</v>
      </c>
      <c r="AI627">
        <v>0</v>
      </c>
      <c r="AJ627">
        <v>2</v>
      </c>
    </row>
    <row r="628" spans="1:36" x14ac:dyDescent="0.3">
      <c r="A628">
        <v>32</v>
      </c>
      <c r="B628" t="s">
        <v>43</v>
      </c>
      <c r="C628" s="6">
        <f t="shared" si="9"/>
        <v>0</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t="s">
        <v>43</v>
      </c>
      <c r="Y628">
        <v>12</v>
      </c>
      <c r="Z628">
        <v>3</v>
      </c>
      <c r="AA628">
        <v>3</v>
      </c>
      <c r="AB628">
        <v>80</v>
      </c>
      <c r="AC628">
        <v>1</v>
      </c>
      <c r="AD628">
        <v>9</v>
      </c>
      <c r="AE628">
        <v>3</v>
      </c>
      <c r="AF628">
        <v>2</v>
      </c>
      <c r="AG628">
        <v>5</v>
      </c>
      <c r="AH628">
        <v>3</v>
      </c>
      <c r="AI628">
        <v>1</v>
      </c>
      <c r="AJ628">
        <v>3</v>
      </c>
    </row>
    <row r="629" spans="1:36" x14ac:dyDescent="0.3">
      <c r="A629">
        <v>52</v>
      </c>
      <c r="B629" t="s">
        <v>43</v>
      </c>
      <c r="C629" s="6">
        <f t="shared" si="9"/>
        <v>0</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t="s">
        <v>43</v>
      </c>
      <c r="Y629">
        <v>22</v>
      </c>
      <c r="Z629">
        <v>4</v>
      </c>
      <c r="AA629">
        <v>3</v>
      </c>
      <c r="AB629">
        <v>80</v>
      </c>
      <c r="AC629">
        <v>0</v>
      </c>
      <c r="AD629">
        <v>31</v>
      </c>
      <c r="AE629">
        <v>3</v>
      </c>
      <c r="AF629">
        <v>3</v>
      </c>
      <c r="AG629">
        <v>9</v>
      </c>
      <c r="AH629">
        <v>8</v>
      </c>
      <c r="AI629">
        <v>0</v>
      </c>
      <c r="AJ629">
        <v>0</v>
      </c>
    </row>
    <row r="630" spans="1:36" x14ac:dyDescent="0.3">
      <c r="A630">
        <v>37</v>
      </c>
      <c r="B630" t="s">
        <v>43</v>
      </c>
      <c r="C630" s="6">
        <f t="shared" si="9"/>
        <v>0</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t="s">
        <v>43</v>
      </c>
      <c r="Y630">
        <v>19</v>
      </c>
      <c r="Z630">
        <v>3</v>
      </c>
      <c r="AA630">
        <v>4</v>
      </c>
      <c r="AB630">
        <v>80</v>
      </c>
      <c r="AC630">
        <v>2</v>
      </c>
      <c r="AD630">
        <v>9</v>
      </c>
      <c r="AE630">
        <v>2</v>
      </c>
      <c r="AF630">
        <v>3</v>
      </c>
      <c r="AG630">
        <v>1</v>
      </c>
      <c r="AH630">
        <v>0</v>
      </c>
      <c r="AI630">
        <v>0</v>
      </c>
      <c r="AJ630">
        <v>0</v>
      </c>
    </row>
    <row r="631" spans="1:36" x14ac:dyDescent="0.3">
      <c r="A631">
        <v>28</v>
      </c>
      <c r="B631" t="s">
        <v>43</v>
      </c>
      <c r="C631" s="6">
        <f t="shared" si="9"/>
        <v>0</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t="s">
        <v>43</v>
      </c>
      <c r="Y631">
        <v>13</v>
      </c>
      <c r="Z631">
        <v>3</v>
      </c>
      <c r="AA631">
        <v>4</v>
      </c>
      <c r="AB631">
        <v>80</v>
      </c>
      <c r="AC631">
        <v>1</v>
      </c>
      <c r="AD631">
        <v>6</v>
      </c>
      <c r="AE631">
        <v>6</v>
      </c>
      <c r="AF631">
        <v>3</v>
      </c>
      <c r="AG631">
        <v>5</v>
      </c>
      <c r="AH631">
        <v>1</v>
      </c>
      <c r="AI631">
        <v>0</v>
      </c>
      <c r="AJ631">
        <v>4</v>
      </c>
    </row>
    <row r="632" spans="1:36" x14ac:dyDescent="0.3">
      <c r="A632">
        <v>22</v>
      </c>
      <c r="B632" t="s">
        <v>43</v>
      </c>
      <c r="C632" s="6">
        <f t="shared" si="9"/>
        <v>0</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t="s">
        <v>43</v>
      </c>
      <c r="Y632">
        <v>22</v>
      </c>
      <c r="Z632">
        <v>4</v>
      </c>
      <c r="AA632">
        <v>1</v>
      </c>
      <c r="AB632">
        <v>80</v>
      </c>
      <c r="AC632">
        <v>2</v>
      </c>
      <c r="AD632">
        <v>4</v>
      </c>
      <c r="AE632">
        <v>2</v>
      </c>
      <c r="AF632">
        <v>1</v>
      </c>
      <c r="AG632">
        <v>2</v>
      </c>
      <c r="AH632">
        <v>2</v>
      </c>
      <c r="AI632">
        <v>2</v>
      </c>
      <c r="AJ632">
        <v>2</v>
      </c>
    </row>
    <row r="633" spans="1:36" x14ac:dyDescent="0.3">
      <c r="A633">
        <v>44</v>
      </c>
      <c r="B633" t="s">
        <v>43</v>
      </c>
      <c r="C633" s="6">
        <f t="shared" si="9"/>
        <v>0</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t="s">
        <v>35</v>
      </c>
      <c r="Y633">
        <v>24</v>
      </c>
      <c r="Z633">
        <v>4</v>
      </c>
      <c r="AA633">
        <v>3</v>
      </c>
      <c r="AB633">
        <v>80</v>
      </c>
      <c r="AC633">
        <v>1</v>
      </c>
      <c r="AD633">
        <v>10</v>
      </c>
      <c r="AE633">
        <v>2</v>
      </c>
      <c r="AF633">
        <v>2</v>
      </c>
      <c r="AG633">
        <v>3</v>
      </c>
      <c r="AH633">
        <v>2</v>
      </c>
      <c r="AI633">
        <v>0</v>
      </c>
      <c r="AJ633">
        <v>2</v>
      </c>
    </row>
    <row r="634" spans="1:36" x14ac:dyDescent="0.3">
      <c r="A634">
        <v>42</v>
      </c>
      <c r="B634" t="s">
        <v>43</v>
      </c>
      <c r="C634" s="6">
        <f t="shared" si="9"/>
        <v>0</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t="s">
        <v>35</v>
      </c>
      <c r="Y634">
        <v>14</v>
      </c>
      <c r="Z634">
        <v>3</v>
      </c>
      <c r="AA634">
        <v>4</v>
      </c>
      <c r="AB634">
        <v>80</v>
      </c>
      <c r="AC634">
        <v>0</v>
      </c>
      <c r="AD634">
        <v>8</v>
      </c>
      <c r="AE634">
        <v>2</v>
      </c>
      <c r="AF634">
        <v>3</v>
      </c>
      <c r="AG634">
        <v>2</v>
      </c>
      <c r="AH634">
        <v>1</v>
      </c>
      <c r="AI634">
        <v>2</v>
      </c>
      <c r="AJ634">
        <v>2</v>
      </c>
    </row>
    <row r="635" spans="1:36" x14ac:dyDescent="0.3">
      <c r="A635">
        <v>36</v>
      </c>
      <c r="B635" t="s">
        <v>43</v>
      </c>
      <c r="C635" s="6">
        <f t="shared" si="9"/>
        <v>0</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t="s">
        <v>43</v>
      </c>
      <c r="Y635">
        <v>21</v>
      </c>
      <c r="Z635">
        <v>4</v>
      </c>
      <c r="AA635">
        <v>3</v>
      </c>
      <c r="AB635">
        <v>80</v>
      </c>
      <c r="AC635">
        <v>0</v>
      </c>
      <c r="AD635">
        <v>6</v>
      </c>
      <c r="AE635">
        <v>3</v>
      </c>
      <c r="AF635">
        <v>3</v>
      </c>
      <c r="AG635">
        <v>5</v>
      </c>
      <c r="AH635">
        <v>4</v>
      </c>
      <c r="AI635">
        <v>0</v>
      </c>
      <c r="AJ635">
        <v>3</v>
      </c>
    </row>
    <row r="636" spans="1:36" x14ac:dyDescent="0.3">
      <c r="A636">
        <v>25</v>
      </c>
      <c r="B636" t="s">
        <v>43</v>
      </c>
      <c r="C636" s="6">
        <f t="shared" si="9"/>
        <v>0</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t="s">
        <v>35</v>
      </c>
      <c r="Y636">
        <v>18</v>
      </c>
      <c r="Z636">
        <v>3</v>
      </c>
      <c r="AA636">
        <v>4</v>
      </c>
      <c r="AB636">
        <v>80</v>
      </c>
      <c r="AC636">
        <v>0</v>
      </c>
      <c r="AD636">
        <v>5</v>
      </c>
      <c r="AE636">
        <v>3</v>
      </c>
      <c r="AF636">
        <v>3</v>
      </c>
      <c r="AG636">
        <v>5</v>
      </c>
      <c r="AH636">
        <v>3</v>
      </c>
      <c r="AI636">
        <v>0</v>
      </c>
      <c r="AJ636">
        <v>3</v>
      </c>
    </row>
    <row r="637" spans="1:36" x14ac:dyDescent="0.3">
      <c r="A637">
        <v>35</v>
      </c>
      <c r="B637" t="s">
        <v>43</v>
      </c>
      <c r="C637" s="6">
        <f t="shared" si="9"/>
        <v>0</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t="s">
        <v>35</v>
      </c>
      <c r="Y637">
        <v>20</v>
      </c>
      <c r="Z637">
        <v>4</v>
      </c>
      <c r="AA637">
        <v>2</v>
      </c>
      <c r="AB637">
        <v>80</v>
      </c>
      <c r="AC637">
        <v>1</v>
      </c>
      <c r="AD637">
        <v>17</v>
      </c>
      <c r="AE637">
        <v>2</v>
      </c>
      <c r="AF637">
        <v>3</v>
      </c>
      <c r="AG637">
        <v>17</v>
      </c>
      <c r="AH637">
        <v>14</v>
      </c>
      <c r="AI637">
        <v>5</v>
      </c>
      <c r="AJ637">
        <v>15</v>
      </c>
    </row>
    <row r="638" spans="1:36" x14ac:dyDescent="0.3">
      <c r="A638">
        <v>35</v>
      </c>
      <c r="B638" t="s">
        <v>35</v>
      </c>
      <c r="C638" s="6">
        <f t="shared" si="9"/>
        <v>1</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t="s">
        <v>35</v>
      </c>
      <c r="Y638">
        <v>19</v>
      </c>
      <c r="Z638">
        <v>3</v>
      </c>
      <c r="AA638">
        <v>1</v>
      </c>
      <c r="AB638">
        <v>80</v>
      </c>
      <c r="AC638">
        <v>1</v>
      </c>
      <c r="AD638">
        <v>10</v>
      </c>
      <c r="AE638">
        <v>3</v>
      </c>
      <c r="AF638">
        <v>2</v>
      </c>
      <c r="AG638">
        <v>10</v>
      </c>
      <c r="AH638">
        <v>2</v>
      </c>
      <c r="AI638">
        <v>7</v>
      </c>
      <c r="AJ638">
        <v>8</v>
      </c>
    </row>
    <row r="639" spans="1:36" x14ac:dyDescent="0.3">
      <c r="A639">
        <v>32</v>
      </c>
      <c r="B639" t="s">
        <v>43</v>
      </c>
      <c r="C639" s="6">
        <f t="shared" si="9"/>
        <v>0</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t="s">
        <v>43</v>
      </c>
      <c r="Y639">
        <v>12</v>
      </c>
      <c r="Z639">
        <v>3</v>
      </c>
      <c r="AA639">
        <v>2</v>
      </c>
      <c r="AB639">
        <v>80</v>
      </c>
      <c r="AC639">
        <v>1</v>
      </c>
      <c r="AD639">
        <v>4</v>
      </c>
      <c r="AE639">
        <v>2</v>
      </c>
      <c r="AF639">
        <v>3</v>
      </c>
      <c r="AG639">
        <v>3</v>
      </c>
      <c r="AH639">
        <v>0</v>
      </c>
      <c r="AI639">
        <v>0</v>
      </c>
      <c r="AJ639">
        <v>2</v>
      </c>
    </row>
    <row r="640" spans="1:36" x14ac:dyDescent="0.3">
      <c r="A640">
        <v>25</v>
      </c>
      <c r="B640" t="s">
        <v>43</v>
      </c>
      <c r="C640" s="6">
        <f t="shared" si="9"/>
        <v>0</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t="s">
        <v>43</v>
      </c>
      <c r="Y640">
        <v>12</v>
      </c>
      <c r="Z640">
        <v>3</v>
      </c>
      <c r="AA640">
        <v>1</v>
      </c>
      <c r="AB640">
        <v>80</v>
      </c>
      <c r="AC640">
        <v>0</v>
      </c>
      <c r="AD640">
        <v>5</v>
      </c>
      <c r="AE640">
        <v>1</v>
      </c>
      <c r="AF640">
        <v>4</v>
      </c>
      <c r="AG640">
        <v>5</v>
      </c>
      <c r="AH640">
        <v>2</v>
      </c>
      <c r="AI640">
        <v>0</v>
      </c>
      <c r="AJ640">
        <v>3</v>
      </c>
    </row>
    <row r="641" spans="1:36" x14ac:dyDescent="0.3">
      <c r="A641">
        <v>49</v>
      </c>
      <c r="B641" t="s">
        <v>43</v>
      </c>
      <c r="C641" s="6">
        <f t="shared" si="9"/>
        <v>0</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t="s">
        <v>43</v>
      </c>
      <c r="Y641">
        <v>16</v>
      </c>
      <c r="Z641">
        <v>3</v>
      </c>
      <c r="AA641">
        <v>2</v>
      </c>
      <c r="AB641">
        <v>80</v>
      </c>
      <c r="AC641">
        <v>1</v>
      </c>
      <c r="AD641">
        <v>7</v>
      </c>
      <c r="AE641">
        <v>2</v>
      </c>
      <c r="AF641">
        <v>3</v>
      </c>
      <c r="AG641">
        <v>4</v>
      </c>
      <c r="AH641">
        <v>2</v>
      </c>
      <c r="AI641">
        <v>0</v>
      </c>
      <c r="AJ641">
        <v>2</v>
      </c>
    </row>
    <row r="642" spans="1:36" x14ac:dyDescent="0.3">
      <c r="A642">
        <v>24</v>
      </c>
      <c r="B642" t="s">
        <v>43</v>
      </c>
      <c r="C642" s="6">
        <f t="shared" si="9"/>
        <v>0</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t="s">
        <v>43</v>
      </c>
      <c r="Y642">
        <v>17</v>
      </c>
      <c r="Z642">
        <v>3</v>
      </c>
      <c r="AA642">
        <v>4</v>
      </c>
      <c r="AB642">
        <v>80</v>
      </c>
      <c r="AC642">
        <v>0</v>
      </c>
      <c r="AD642">
        <v>6</v>
      </c>
      <c r="AE642">
        <v>2</v>
      </c>
      <c r="AF642">
        <v>2</v>
      </c>
      <c r="AG642">
        <v>5</v>
      </c>
      <c r="AH642">
        <v>2</v>
      </c>
      <c r="AI642">
        <v>3</v>
      </c>
      <c r="AJ642">
        <v>4</v>
      </c>
    </row>
    <row r="643" spans="1:36" x14ac:dyDescent="0.3">
      <c r="A643">
        <v>32</v>
      </c>
      <c r="B643" t="s">
        <v>43</v>
      </c>
      <c r="C643" s="6">
        <f t="shared" ref="C643:C706" si="10">IF(B643="Yes",1,0)</f>
        <v>0</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t="s">
        <v>43</v>
      </c>
      <c r="Y643">
        <v>14</v>
      </c>
      <c r="Z643">
        <v>3</v>
      </c>
      <c r="AA643">
        <v>4</v>
      </c>
      <c r="AB643">
        <v>80</v>
      </c>
      <c r="AC643">
        <v>1</v>
      </c>
      <c r="AD643">
        <v>10</v>
      </c>
      <c r="AE643">
        <v>3</v>
      </c>
      <c r="AF643">
        <v>3</v>
      </c>
      <c r="AG643">
        <v>10</v>
      </c>
      <c r="AH643">
        <v>8</v>
      </c>
      <c r="AI643">
        <v>5</v>
      </c>
      <c r="AJ643">
        <v>3</v>
      </c>
    </row>
    <row r="644" spans="1:36" x14ac:dyDescent="0.3">
      <c r="A644">
        <v>38</v>
      </c>
      <c r="B644" t="s">
        <v>43</v>
      </c>
      <c r="C644" s="6">
        <f t="shared" si="10"/>
        <v>0</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t="s">
        <v>43</v>
      </c>
      <c r="Y644">
        <v>19</v>
      </c>
      <c r="Z644">
        <v>3</v>
      </c>
      <c r="AA644">
        <v>4</v>
      </c>
      <c r="AB644">
        <v>80</v>
      </c>
      <c r="AC644">
        <v>1</v>
      </c>
      <c r="AD644">
        <v>3</v>
      </c>
      <c r="AE644">
        <v>3</v>
      </c>
      <c r="AF644">
        <v>3</v>
      </c>
      <c r="AG644">
        <v>2</v>
      </c>
      <c r="AH644">
        <v>2</v>
      </c>
      <c r="AI644">
        <v>1</v>
      </c>
      <c r="AJ644">
        <v>2</v>
      </c>
    </row>
    <row r="645" spans="1:36" x14ac:dyDescent="0.3">
      <c r="A645">
        <v>42</v>
      </c>
      <c r="B645" t="s">
        <v>43</v>
      </c>
      <c r="C645" s="6">
        <f t="shared" si="10"/>
        <v>0</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t="s">
        <v>35</v>
      </c>
      <c r="Y645">
        <v>13</v>
      </c>
      <c r="Z645">
        <v>3</v>
      </c>
      <c r="AA645">
        <v>2</v>
      </c>
      <c r="AB645">
        <v>80</v>
      </c>
      <c r="AC645">
        <v>1</v>
      </c>
      <c r="AD645">
        <v>17</v>
      </c>
      <c r="AE645">
        <v>1</v>
      </c>
      <c r="AF645">
        <v>2</v>
      </c>
      <c r="AG645">
        <v>5</v>
      </c>
      <c r="AH645">
        <v>3</v>
      </c>
      <c r="AI645">
        <v>1</v>
      </c>
      <c r="AJ645">
        <v>3</v>
      </c>
    </row>
    <row r="646" spans="1:36" x14ac:dyDescent="0.3">
      <c r="A646">
        <v>31</v>
      </c>
      <c r="B646" t="s">
        <v>43</v>
      </c>
      <c r="C646" s="6">
        <f t="shared" si="10"/>
        <v>0</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t="s">
        <v>35</v>
      </c>
      <c r="Y646">
        <v>19</v>
      </c>
      <c r="Z646">
        <v>3</v>
      </c>
      <c r="AA646">
        <v>2</v>
      </c>
      <c r="AB646">
        <v>80</v>
      </c>
      <c r="AC646">
        <v>1</v>
      </c>
      <c r="AD646">
        <v>8</v>
      </c>
      <c r="AE646">
        <v>2</v>
      </c>
      <c r="AF646">
        <v>3</v>
      </c>
      <c r="AG646">
        <v>6</v>
      </c>
      <c r="AH646">
        <v>4</v>
      </c>
      <c r="AI646">
        <v>0</v>
      </c>
      <c r="AJ646">
        <v>2</v>
      </c>
    </row>
    <row r="647" spans="1:36" x14ac:dyDescent="0.3">
      <c r="A647">
        <v>29</v>
      </c>
      <c r="B647" t="s">
        <v>35</v>
      </c>
      <c r="C647" s="6">
        <f t="shared" si="10"/>
        <v>1</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t="s">
        <v>35</v>
      </c>
      <c r="Y647">
        <v>19</v>
      </c>
      <c r="Z647">
        <v>3</v>
      </c>
      <c r="AA647">
        <v>3</v>
      </c>
      <c r="AB647">
        <v>80</v>
      </c>
      <c r="AC647">
        <v>3</v>
      </c>
      <c r="AD647">
        <v>5</v>
      </c>
      <c r="AE647">
        <v>3</v>
      </c>
      <c r="AF647">
        <v>3</v>
      </c>
      <c r="AG647">
        <v>3</v>
      </c>
      <c r="AH647">
        <v>2</v>
      </c>
      <c r="AI647">
        <v>0</v>
      </c>
      <c r="AJ647">
        <v>2</v>
      </c>
    </row>
    <row r="648" spans="1:36" x14ac:dyDescent="0.3">
      <c r="A648">
        <v>53</v>
      </c>
      <c r="B648" t="s">
        <v>43</v>
      </c>
      <c r="C648" s="6">
        <f t="shared" si="10"/>
        <v>0</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t="s">
        <v>43</v>
      </c>
      <c r="Y648">
        <v>14</v>
      </c>
      <c r="Z648">
        <v>3</v>
      </c>
      <c r="AA648">
        <v>3</v>
      </c>
      <c r="AB648">
        <v>80</v>
      </c>
      <c r="AC648">
        <v>1</v>
      </c>
      <c r="AD648">
        <v>28</v>
      </c>
      <c r="AE648">
        <v>3</v>
      </c>
      <c r="AF648">
        <v>3</v>
      </c>
      <c r="AG648">
        <v>2</v>
      </c>
      <c r="AH648">
        <v>0</v>
      </c>
      <c r="AI648">
        <v>2</v>
      </c>
      <c r="AJ648">
        <v>2</v>
      </c>
    </row>
    <row r="649" spans="1:36" x14ac:dyDescent="0.3">
      <c r="A649">
        <v>35</v>
      </c>
      <c r="B649" t="s">
        <v>43</v>
      </c>
      <c r="C649" s="6">
        <f t="shared" si="10"/>
        <v>0</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t="s">
        <v>43</v>
      </c>
      <c r="Y649">
        <v>16</v>
      </c>
      <c r="Z649">
        <v>3</v>
      </c>
      <c r="AA649">
        <v>1</v>
      </c>
      <c r="AB649">
        <v>80</v>
      </c>
      <c r="AC649">
        <v>0</v>
      </c>
      <c r="AD649">
        <v>16</v>
      </c>
      <c r="AE649">
        <v>2</v>
      </c>
      <c r="AF649">
        <v>3</v>
      </c>
      <c r="AG649">
        <v>13</v>
      </c>
      <c r="AH649">
        <v>10</v>
      </c>
      <c r="AI649">
        <v>4</v>
      </c>
      <c r="AJ649">
        <v>8</v>
      </c>
    </row>
    <row r="650" spans="1:36" x14ac:dyDescent="0.3">
      <c r="A650">
        <v>37</v>
      </c>
      <c r="B650" t="s">
        <v>43</v>
      </c>
      <c r="C650" s="6">
        <f t="shared" si="10"/>
        <v>0</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t="s">
        <v>43</v>
      </c>
      <c r="Y650">
        <v>15</v>
      </c>
      <c r="Z650">
        <v>3</v>
      </c>
      <c r="AA650">
        <v>2</v>
      </c>
      <c r="AB650">
        <v>80</v>
      </c>
      <c r="AC650">
        <v>1</v>
      </c>
      <c r="AD650">
        <v>10</v>
      </c>
      <c r="AE650">
        <v>3</v>
      </c>
      <c r="AF650">
        <v>3</v>
      </c>
      <c r="AG650">
        <v>5</v>
      </c>
      <c r="AH650">
        <v>4</v>
      </c>
      <c r="AI650">
        <v>0</v>
      </c>
      <c r="AJ650">
        <v>0</v>
      </c>
    </row>
    <row r="651" spans="1:36" x14ac:dyDescent="0.3">
      <c r="A651">
        <v>53</v>
      </c>
      <c r="B651" t="s">
        <v>43</v>
      </c>
      <c r="C651" s="6">
        <f t="shared" si="10"/>
        <v>0</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t="s">
        <v>43</v>
      </c>
      <c r="Y651">
        <v>18</v>
      </c>
      <c r="Z651">
        <v>3</v>
      </c>
      <c r="AA651">
        <v>3</v>
      </c>
      <c r="AB651">
        <v>80</v>
      </c>
      <c r="AC651">
        <v>0</v>
      </c>
      <c r="AD651">
        <v>33</v>
      </c>
      <c r="AE651">
        <v>0</v>
      </c>
      <c r="AF651">
        <v>3</v>
      </c>
      <c r="AG651">
        <v>12</v>
      </c>
      <c r="AH651">
        <v>9</v>
      </c>
      <c r="AI651">
        <v>3</v>
      </c>
      <c r="AJ651">
        <v>8</v>
      </c>
    </row>
    <row r="652" spans="1:36" x14ac:dyDescent="0.3">
      <c r="A652">
        <v>43</v>
      </c>
      <c r="B652" t="s">
        <v>43</v>
      </c>
      <c r="C652" s="6">
        <f t="shared" si="10"/>
        <v>0</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t="s">
        <v>43</v>
      </c>
      <c r="Y652">
        <v>13</v>
      </c>
      <c r="Z652">
        <v>3</v>
      </c>
      <c r="AA652">
        <v>2</v>
      </c>
      <c r="AB652">
        <v>80</v>
      </c>
      <c r="AC652">
        <v>1</v>
      </c>
      <c r="AD652">
        <v>12</v>
      </c>
      <c r="AE652">
        <v>2</v>
      </c>
      <c r="AF652">
        <v>2</v>
      </c>
      <c r="AG652">
        <v>5</v>
      </c>
      <c r="AH652">
        <v>2</v>
      </c>
      <c r="AI652">
        <v>2</v>
      </c>
      <c r="AJ652">
        <v>2</v>
      </c>
    </row>
    <row r="653" spans="1:36" x14ac:dyDescent="0.3">
      <c r="A653">
        <v>47</v>
      </c>
      <c r="B653" t="s">
        <v>43</v>
      </c>
      <c r="C653" s="6">
        <f t="shared" si="10"/>
        <v>0</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t="s">
        <v>35</v>
      </c>
      <c r="Y653">
        <v>22</v>
      </c>
      <c r="Z653">
        <v>4</v>
      </c>
      <c r="AA653">
        <v>1</v>
      </c>
      <c r="AB653">
        <v>80</v>
      </c>
      <c r="AC653">
        <v>1</v>
      </c>
      <c r="AD653">
        <v>8</v>
      </c>
      <c r="AE653">
        <v>2</v>
      </c>
      <c r="AF653">
        <v>3</v>
      </c>
      <c r="AG653">
        <v>7</v>
      </c>
      <c r="AH653">
        <v>6</v>
      </c>
      <c r="AI653">
        <v>7</v>
      </c>
      <c r="AJ653">
        <v>7</v>
      </c>
    </row>
    <row r="654" spans="1:36" x14ac:dyDescent="0.3">
      <c r="A654">
        <v>37</v>
      </c>
      <c r="B654" t="s">
        <v>43</v>
      </c>
      <c r="C654" s="6">
        <f t="shared" si="10"/>
        <v>0</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t="s">
        <v>35</v>
      </c>
      <c r="Y654">
        <v>13</v>
      </c>
      <c r="Z654">
        <v>3</v>
      </c>
      <c r="AA654">
        <v>4</v>
      </c>
      <c r="AB654">
        <v>80</v>
      </c>
      <c r="AC654">
        <v>0</v>
      </c>
      <c r="AD654">
        <v>10</v>
      </c>
      <c r="AE654">
        <v>2</v>
      </c>
      <c r="AF654">
        <v>3</v>
      </c>
      <c r="AG654">
        <v>10</v>
      </c>
      <c r="AH654">
        <v>0</v>
      </c>
      <c r="AI654">
        <v>0</v>
      </c>
      <c r="AJ654">
        <v>9</v>
      </c>
    </row>
    <row r="655" spans="1:36" x14ac:dyDescent="0.3">
      <c r="A655">
        <v>50</v>
      </c>
      <c r="B655" t="s">
        <v>43</v>
      </c>
      <c r="C655" s="6">
        <f t="shared" si="10"/>
        <v>0</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t="s">
        <v>43</v>
      </c>
      <c r="Y655">
        <v>11</v>
      </c>
      <c r="Z655">
        <v>3</v>
      </c>
      <c r="AA655">
        <v>4</v>
      </c>
      <c r="AB655">
        <v>80</v>
      </c>
      <c r="AC655">
        <v>1</v>
      </c>
      <c r="AD655">
        <v>31</v>
      </c>
      <c r="AE655">
        <v>3</v>
      </c>
      <c r="AF655">
        <v>3</v>
      </c>
      <c r="AG655">
        <v>31</v>
      </c>
      <c r="AH655">
        <v>6</v>
      </c>
      <c r="AI655">
        <v>14</v>
      </c>
      <c r="AJ655">
        <v>7</v>
      </c>
    </row>
    <row r="656" spans="1:36" x14ac:dyDescent="0.3">
      <c r="A656">
        <v>39</v>
      </c>
      <c r="B656" t="s">
        <v>43</v>
      </c>
      <c r="C656" s="6">
        <f t="shared" si="10"/>
        <v>0</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t="s">
        <v>43</v>
      </c>
      <c r="Y656">
        <v>11</v>
      </c>
      <c r="Z656">
        <v>3</v>
      </c>
      <c r="AA656">
        <v>3</v>
      </c>
      <c r="AB656">
        <v>80</v>
      </c>
      <c r="AC656">
        <v>2</v>
      </c>
      <c r="AD656">
        <v>13</v>
      </c>
      <c r="AE656">
        <v>2</v>
      </c>
      <c r="AF656">
        <v>3</v>
      </c>
      <c r="AG656">
        <v>5</v>
      </c>
      <c r="AH656">
        <v>4</v>
      </c>
      <c r="AI656">
        <v>0</v>
      </c>
      <c r="AJ656">
        <v>4</v>
      </c>
    </row>
    <row r="657" spans="1:36" x14ac:dyDescent="0.3">
      <c r="A657">
        <v>33</v>
      </c>
      <c r="B657" t="s">
        <v>43</v>
      </c>
      <c r="C657" s="6">
        <f t="shared" si="10"/>
        <v>0</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t="s">
        <v>35</v>
      </c>
      <c r="Y657">
        <v>11</v>
      </c>
      <c r="Z657">
        <v>3</v>
      </c>
      <c r="AA657">
        <v>3</v>
      </c>
      <c r="AB657">
        <v>80</v>
      </c>
      <c r="AC657">
        <v>1</v>
      </c>
      <c r="AD657">
        <v>7</v>
      </c>
      <c r="AE657">
        <v>4</v>
      </c>
      <c r="AF657">
        <v>4</v>
      </c>
      <c r="AG657">
        <v>4</v>
      </c>
      <c r="AH657">
        <v>3</v>
      </c>
      <c r="AI657">
        <v>0</v>
      </c>
      <c r="AJ657">
        <v>3</v>
      </c>
    </row>
    <row r="658" spans="1:36" x14ac:dyDescent="0.3">
      <c r="A658">
        <v>32</v>
      </c>
      <c r="B658" t="s">
        <v>35</v>
      </c>
      <c r="C658" s="6">
        <f t="shared" si="10"/>
        <v>1</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t="s">
        <v>35</v>
      </c>
      <c r="Y658">
        <v>24</v>
      </c>
      <c r="Z658">
        <v>4</v>
      </c>
      <c r="AA658">
        <v>3</v>
      </c>
      <c r="AB658">
        <v>80</v>
      </c>
      <c r="AC658">
        <v>0</v>
      </c>
      <c r="AD658">
        <v>1</v>
      </c>
      <c r="AE658">
        <v>2</v>
      </c>
      <c r="AF658">
        <v>1</v>
      </c>
      <c r="AG658">
        <v>1</v>
      </c>
      <c r="AH658">
        <v>0</v>
      </c>
      <c r="AI658">
        <v>0</v>
      </c>
      <c r="AJ658">
        <v>1</v>
      </c>
    </row>
    <row r="659" spans="1:36" x14ac:dyDescent="0.3">
      <c r="A659">
        <v>29</v>
      </c>
      <c r="B659" t="s">
        <v>43</v>
      </c>
      <c r="C659" s="6">
        <f t="shared" si="10"/>
        <v>0</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t="s">
        <v>43</v>
      </c>
      <c r="Y659">
        <v>14</v>
      </c>
      <c r="Z659">
        <v>3</v>
      </c>
      <c r="AA659">
        <v>3</v>
      </c>
      <c r="AB659">
        <v>80</v>
      </c>
      <c r="AC659">
        <v>3</v>
      </c>
      <c r="AD659">
        <v>8</v>
      </c>
      <c r="AE659">
        <v>5</v>
      </c>
      <c r="AF659">
        <v>3</v>
      </c>
      <c r="AG659">
        <v>4</v>
      </c>
      <c r="AH659">
        <v>3</v>
      </c>
      <c r="AI659">
        <v>0</v>
      </c>
      <c r="AJ659">
        <v>3</v>
      </c>
    </row>
    <row r="660" spans="1:36" x14ac:dyDescent="0.3">
      <c r="A660">
        <v>44</v>
      </c>
      <c r="B660" t="s">
        <v>43</v>
      </c>
      <c r="C660" s="6">
        <f t="shared" si="10"/>
        <v>0</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t="s">
        <v>35</v>
      </c>
      <c r="Y660">
        <v>13</v>
      </c>
      <c r="Z660">
        <v>3</v>
      </c>
      <c r="AA660">
        <v>4</v>
      </c>
      <c r="AB660">
        <v>80</v>
      </c>
      <c r="AC660">
        <v>0</v>
      </c>
      <c r="AD660">
        <v>8</v>
      </c>
      <c r="AE660">
        <v>0</v>
      </c>
      <c r="AF660">
        <v>3</v>
      </c>
      <c r="AG660">
        <v>8</v>
      </c>
      <c r="AH660">
        <v>7</v>
      </c>
      <c r="AI660">
        <v>7</v>
      </c>
      <c r="AJ660">
        <v>1</v>
      </c>
    </row>
    <row r="661" spans="1:36" x14ac:dyDescent="0.3">
      <c r="A661">
        <v>28</v>
      </c>
      <c r="B661" t="s">
        <v>43</v>
      </c>
      <c r="C661" s="6">
        <f t="shared" si="10"/>
        <v>0</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t="s">
        <v>43</v>
      </c>
      <c r="Y661">
        <v>14</v>
      </c>
      <c r="Z661">
        <v>3</v>
      </c>
      <c r="AA661">
        <v>2</v>
      </c>
      <c r="AB661">
        <v>80</v>
      </c>
      <c r="AC661">
        <v>0</v>
      </c>
      <c r="AD661">
        <v>4</v>
      </c>
      <c r="AE661">
        <v>3</v>
      </c>
      <c r="AF661">
        <v>3</v>
      </c>
      <c r="AG661">
        <v>4</v>
      </c>
      <c r="AH661">
        <v>2</v>
      </c>
      <c r="AI661">
        <v>0</v>
      </c>
      <c r="AJ661">
        <v>2</v>
      </c>
    </row>
    <row r="662" spans="1:36" x14ac:dyDescent="0.3">
      <c r="A662">
        <v>58</v>
      </c>
      <c r="B662" t="s">
        <v>35</v>
      </c>
      <c r="C662" s="6">
        <f t="shared" si="10"/>
        <v>1</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t="s">
        <v>35</v>
      </c>
      <c r="Y662">
        <v>14</v>
      </c>
      <c r="Z662">
        <v>3</v>
      </c>
      <c r="AA662">
        <v>4</v>
      </c>
      <c r="AB662">
        <v>80</v>
      </c>
      <c r="AC662">
        <v>1</v>
      </c>
      <c r="AD662">
        <v>3</v>
      </c>
      <c r="AE662">
        <v>3</v>
      </c>
      <c r="AF662">
        <v>2</v>
      </c>
      <c r="AG662">
        <v>1</v>
      </c>
      <c r="AH662">
        <v>0</v>
      </c>
      <c r="AI662">
        <v>0</v>
      </c>
      <c r="AJ662">
        <v>0</v>
      </c>
    </row>
    <row r="663" spans="1:36" x14ac:dyDescent="0.3">
      <c r="A663">
        <v>43</v>
      </c>
      <c r="B663" t="s">
        <v>43</v>
      </c>
      <c r="C663" s="6">
        <f t="shared" si="10"/>
        <v>0</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t="s">
        <v>43</v>
      </c>
      <c r="Y663">
        <v>21</v>
      </c>
      <c r="Z663">
        <v>4</v>
      </c>
      <c r="AA663">
        <v>3</v>
      </c>
      <c r="AB663">
        <v>80</v>
      </c>
      <c r="AC663">
        <v>1</v>
      </c>
      <c r="AD663">
        <v>4</v>
      </c>
      <c r="AE663">
        <v>2</v>
      </c>
      <c r="AF663">
        <v>4</v>
      </c>
      <c r="AG663">
        <v>1</v>
      </c>
      <c r="AH663">
        <v>0</v>
      </c>
      <c r="AI663">
        <v>0</v>
      </c>
      <c r="AJ663">
        <v>0</v>
      </c>
    </row>
    <row r="664" spans="1:36" x14ac:dyDescent="0.3">
      <c r="A664">
        <v>20</v>
      </c>
      <c r="B664" t="s">
        <v>35</v>
      </c>
      <c r="C664" s="6">
        <f t="shared" si="10"/>
        <v>1</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t="s">
        <v>43</v>
      </c>
      <c r="Y664">
        <v>13</v>
      </c>
      <c r="Z664">
        <v>3</v>
      </c>
      <c r="AA664">
        <v>4</v>
      </c>
      <c r="AB664">
        <v>80</v>
      </c>
      <c r="AC664">
        <v>0</v>
      </c>
      <c r="AD664">
        <v>2</v>
      </c>
      <c r="AE664">
        <v>3</v>
      </c>
      <c r="AF664">
        <v>2</v>
      </c>
      <c r="AG664">
        <v>2</v>
      </c>
      <c r="AH664">
        <v>2</v>
      </c>
      <c r="AI664">
        <v>0</v>
      </c>
      <c r="AJ664">
        <v>2</v>
      </c>
    </row>
    <row r="665" spans="1:36" x14ac:dyDescent="0.3">
      <c r="A665">
        <v>21</v>
      </c>
      <c r="B665" t="s">
        <v>35</v>
      </c>
      <c r="C665" s="6">
        <f t="shared" si="10"/>
        <v>1</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t="s">
        <v>43</v>
      </c>
      <c r="Y665">
        <v>19</v>
      </c>
      <c r="Z665">
        <v>3</v>
      </c>
      <c r="AA665">
        <v>1</v>
      </c>
      <c r="AB665">
        <v>80</v>
      </c>
      <c r="AC665">
        <v>0</v>
      </c>
      <c r="AD665">
        <v>1</v>
      </c>
      <c r="AE665">
        <v>3</v>
      </c>
      <c r="AF665">
        <v>2</v>
      </c>
      <c r="AG665">
        <v>1</v>
      </c>
      <c r="AH665">
        <v>0</v>
      </c>
      <c r="AI665">
        <v>0</v>
      </c>
      <c r="AJ665">
        <v>0</v>
      </c>
    </row>
    <row r="666" spans="1:36" x14ac:dyDescent="0.3">
      <c r="A666">
        <v>36</v>
      </c>
      <c r="B666" t="s">
        <v>43</v>
      </c>
      <c r="C666" s="6">
        <f t="shared" si="10"/>
        <v>0</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t="s">
        <v>35</v>
      </c>
      <c r="Y666">
        <v>17</v>
      </c>
      <c r="Z666">
        <v>3</v>
      </c>
      <c r="AA666">
        <v>1</v>
      </c>
      <c r="AB666">
        <v>80</v>
      </c>
      <c r="AC666">
        <v>1</v>
      </c>
      <c r="AD666">
        <v>17</v>
      </c>
      <c r="AE666">
        <v>2</v>
      </c>
      <c r="AF666">
        <v>2</v>
      </c>
      <c r="AG666">
        <v>16</v>
      </c>
      <c r="AH666">
        <v>8</v>
      </c>
      <c r="AI666">
        <v>4</v>
      </c>
      <c r="AJ666">
        <v>11</v>
      </c>
    </row>
    <row r="667" spans="1:36" x14ac:dyDescent="0.3">
      <c r="A667">
        <v>47</v>
      </c>
      <c r="B667" t="s">
        <v>43</v>
      </c>
      <c r="C667" s="6">
        <f t="shared" si="10"/>
        <v>0</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t="s">
        <v>35</v>
      </c>
      <c r="Y667">
        <v>18</v>
      </c>
      <c r="Z667">
        <v>3</v>
      </c>
      <c r="AA667">
        <v>1</v>
      </c>
      <c r="AB667">
        <v>80</v>
      </c>
      <c r="AC667">
        <v>0</v>
      </c>
      <c r="AD667">
        <v>3</v>
      </c>
      <c r="AE667">
        <v>3</v>
      </c>
      <c r="AF667">
        <v>2</v>
      </c>
      <c r="AG667">
        <v>3</v>
      </c>
      <c r="AH667">
        <v>2</v>
      </c>
      <c r="AI667">
        <v>1</v>
      </c>
      <c r="AJ667">
        <v>2</v>
      </c>
    </row>
    <row r="668" spans="1:36" x14ac:dyDescent="0.3">
      <c r="A668">
        <v>22</v>
      </c>
      <c r="B668" t="s">
        <v>35</v>
      </c>
      <c r="C668" s="6">
        <f t="shared" si="10"/>
        <v>1</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t="s">
        <v>35</v>
      </c>
      <c r="Y668">
        <v>19</v>
      </c>
      <c r="Z668">
        <v>3</v>
      </c>
      <c r="AA668">
        <v>1</v>
      </c>
      <c r="AB668">
        <v>80</v>
      </c>
      <c r="AC668">
        <v>1</v>
      </c>
      <c r="AD668">
        <v>4</v>
      </c>
      <c r="AE668">
        <v>3</v>
      </c>
      <c r="AF668">
        <v>4</v>
      </c>
      <c r="AG668">
        <v>3</v>
      </c>
      <c r="AH668">
        <v>2</v>
      </c>
      <c r="AI668">
        <v>0</v>
      </c>
      <c r="AJ668">
        <v>2</v>
      </c>
    </row>
    <row r="669" spans="1:36" x14ac:dyDescent="0.3">
      <c r="A669">
        <v>41</v>
      </c>
      <c r="B669" t="s">
        <v>35</v>
      </c>
      <c r="C669" s="6">
        <f t="shared" si="10"/>
        <v>1</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t="s">
        <v>35</v>
      </c>
      <c r="Y669">
        <v>13</v>
      </c>
      <c r="Z669">
        <v>3</v>
      </c>
      <c r="AA669">
        <v>3</v>
      </c>
      <c r="AB669">
        <v>80</v>
      </c>
      <c r="AC669">
        <v>1</v>
      </c>
      <c r="AD669">
        <v>10</v>
      </c>
      <c r="AE669">
        <v>1</v>
      </c>
      <c r="AF669">
        <v>2</v>
      </c>
      <c r="AG669">
        <v>7</v>
      </c>
      <c r="AH669">
        <v>7</v>
      </c>
      <c r="AI669">
        <v>1</v>
      </c>
      <c r="AJ669">
        <v>0</v>
      </c>
    </row>
    <row r="670" spans="1:36" x14ac:dyDescent="0.3">
      <c r="A670">
        <v>28</v>
      </c>
      <c r="B670" t="s">
        <v>43</v>
      </c>
      <c r="C670" s="6">
        <f t="shared" si="10"/>
        <v>0</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t="s">
        <v>43</v>
      </c>
      <c r="Y670">
        <v>18</v>
      </c>
      <c r="Z670">
        <v>3</v>
      </c>
      <c r="AA670">
        <v>2</v>
      </c>
      <c r="AB670">
        <v>80</v>
      </c>
      <c r="AC670">
        <v>1</v>
      </c>
      <c r="AD670">
        <v>6</v>
      </c>
      <c r="AE670">
        <v>2</v>
      </c>
      <c r="AF670">
        <v>3</v>
      </c>
      <c r="AG670">
        <v>2</v>
      </c>
      <c r="AH670">
        <v>2</v>
      </c>
      <c r="AI670">
        <v>2</v>
      </c>
      <c r="AJ670">
        <v>2</v>
      </c>
    </row>
    <row r="671" spans="1:36" x14ac:dyDescent="0.3">
      <c r="A671">
        <v>39</v>
      </c>
      <c r="B671" t="s">
        <v>35</v>
      </c>
      <c r="C671" s="6">
        <f t="shared" si="10"/>
        <v>1</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t="s">
        <v>35</v>
      </c>
      <c r="Y671">
        <v>21</v>
      </c>
      <c r="Z671">
        <v>4</v>
      </c>
      <c r="AA671">
        <v>4</v>
      </c>
      <c r="AB671">
        <v>80</v>
      </c>
      <c r="AC671">
        <v>0</v>
      </c>
      <c r="AD671">
        <v>8</v>
      </c>
      <c r="AE671">
        <v>2</v>
      </c>
      <c r="AF671">
        <v>1</v>
      </c>
      <c r="AG671">
        <v>2</v>
      </c>
      <c r="AH671">
        <v>2</v>
      </c>
      <c r="AI671">
        <v>2</v>
      </c>
      <c r="AJ671">
        <v>2</v>
      </c>
    </row>
    <row r="672" spans="1:36" x14ac:dyDescent="0.3">
      <c r="A672">
        <v>27</v>
      </c>
      <c r="B672" t="s">
        <v>43</v>
      </c>
      <c r="C672" s="6">
        <f t="shared" si="10"/>
        <v>0</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t="s">
        <v>43</v>
      </c>
      <c r="Y672">
        <v>19</v>
      </c>
      <c r="Z672">
        <v>3</v>
      </c>
      <c r="AA672">
        <v>3</v>
      </c>
      <c r="AB672">
        <v>80</v>
      </c>
      <c r="AC672">
        <v>0</v>
      </c>
      <c r="AD672">
        <v>1</v>
      </c>
      <c r="AE672">
        <v>2</v>
      </c>
      <c r="AF672">
        <v>3</v>
      </c>
      <c r="AG672">
        <v>1</v>
      </c>
      <c r="AH672">
        <v>1</v>
      </c>
      <c r="AI672">
        <v>0</v>
      </c>
      <c r="AJ672">
        <v>0</v>
      </c>
    </row>
    <row r="673" spans="1:36" x14ac:dyDescent="0.3">
      <c r="A673">
        <v>34</v>
      </c>
      <c r="B673" t="s">
        <v>43</v>
      </c>
      <c r="C673" s="6">
        <f t="shared" si="10"/>
        <v>0</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t="s">
        <v>43</v>
      </c>
      <c r="Y673">
        <v>14</v>
      </c>
      <c r="Z673">
        <v>3</v>
      </c>
      <c r="AA673">
        <v>2</v>
      </c>
      <c r="AB673">
        <v>80</v>
      </c>
      <c r="AC673">
        <v>2</v>
      </c>
      <c r="AD673">
        <v>1</v>
      </c>
      <c r="AE673">
        <v>3</v>
      </c>
      <c r="AF673">
        <v>3</v>
      </c>
      <c r="AG673">
        <v>1</v>
      </c>
      <c r="AH673">
        <v>0</v>
      </c>
      <c r="AI673">
        <v>1</v>
      </c>
      <c r="AJ673">
        <v>0</v>
      </c>
    </row>
    <row r="674" spans="1:36" x14ac:dyDescent="0.3">
      <c r="A674">
        <v>42</v>
      </c>
      <c r="B674" t="s">
        <v>43</v>
      </c>
      <c r="C674" s="6">
        <f t="shared" si="10"/>
        <v>0</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t="s">
        <v>43</v>
      </c>
      <c r="Y674">
        <v>17</v>
      </c>
      <c r="Z674">
        <v>3</v>
      </c>
      <c r="AA674">
        <v>1</v>
      </c>
      <c r="AB674">
        <v>80</v>
      </c>
      <c r="AC674">
        <v>0</v>
      </c>
      <c r="AD674">
        <v>10</v>
      </c>
      <c r="AE674">
        <v>6</v>
      </c>
      <c r="AF674">
        <v>3</v>
      </c>
      <c r="AG674">
        <v>5</v>
      </c>
      <c r="AH674">
        <v>4</v>
      </c>
      <c r="AI674">
        <v>0</v>
      </c>
      <c r="AJ674">
        <v>3</v>
      </c>
    </row>
    <row r="675" spans="1:36" x14ac:dyDescent="0.3">
      <c r="A675">
        <v>33</v>
      </c>
      <c r="B675" t="s">
        <v>43</v>
      </c>
      <c r="C675" s="6">
        <f t="shared" si="10"/>
        <v>0</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t="s">
        <v>35</v>
      </c>
      <c r="Y675">
        <v>11</v>
      </c>
      <c r="Z675">
        <v>3</v>
      </c>
      <c r="AA675">
        <v>2</v>
      </c>
      <c r="AB675">
        <v>80</v>
      </c>
      <c r="AC675">
        <v>0</v>
      </c>
      <c r="AD675">
        <v>6</v>
      </c>
      <c r="AE675">
        <v>1</v>
      </c>
      <c r="AF675">
        <v>3</v>
      </c>
      <c r="AG675">
        <v>3</v>
      </c>
      <c r="AH675">
        <v>2</v>
      </c>
      <c r="AI675">
        <v>0</v>
      </c>
      <c r="AJ675">
        <v>2</v>
      </c>
    </row>
    <row r="676" spans="1:36" x14ac:dyDescent="0.3">
      <c r="A676">
        <v>58</v>
      </c>
      <c r="B676" t="s">
        <v>43</v>
      </c>
      <c r="C676" s="6">
        <f t="shared" si="10"/>
        <v>0</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t="s">
        <v>35</v>
      </c>
      <c r="Y676">
        <v>13</v>
      </c>
      <c r="Z676">
        <v>3</v>
      </c>
      <c r="AA676">
        <v>4</v>
      </c>
      <c r="AB676">
        <v>80</v>
      </c>
      <c r="AC676">
        <v>1</v>
      </c>
      <c r="AD676">
        <v>24</v>
      </c>
      <c r="AE676">
        <v>3</v>
      </c>
      <c r="AF676">
        <v>3</v>
      </c>
      <c r="AG676">
        <v>6</v>
      </c>
      <c r="AH676">
        <v>0</v>
      </c>
      <c r="AI676">
        <v>0</v>
      </c>
      <c r="AJ676">
        <v>4</v>
      </c>
    </row>
    <row r="677" spans="1:36" x14ac:dyDescent="0.3">
      <c r="A677">
        <v>31</v>
      </c>
      <c r="B677" t="s">
        <v>43</v>
      </c>
      <c r="C677" s="6">
        <f t="shared" si="10"/>
        <v>0</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t="s">
        <v>43</v>
      </c>
      <c r="Y677">
        <v>15</v>
      </c>
      <c r="Z677">
        <v>3</v>
      </c>
      <c r="AA677">
        <v>2</v>
      </c>
      <c r="AB677">
        <v>80</v>
      </c>
      <c r="AC677">
        <v>0</v>
      </c>
      <c r="AD677">
        <v>13</v>
      </c>
      <c r="AE677">
        <v>2</v>
      </c>
      <c r="AF677">
        <v>4</v>
      </c>
      <c r="AG677">
        <v>7</v>
      </c>
      <c r="AH677">
        <v>7</v>
      </c>
      <c r="AI677">
        <v>5</v>
      </c>
      <c r="AJ677">
        <v>2</v>
      </c>
    </row>
    <row r="678" spans="1:36" x14ac:dyDescent="0.3">
      <c r="A678">
        <v>35</v>
      </c>
      <c r="B678" t="s">
        <v>43</v>
      </c>
      <c r="C678" s="6">
        <f t="shared" si="10"/>
        <v>0</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t="s">
        <v>35</v>
      </c>
      <c r="Y678">
        <v>25</v>
      </c>
      <c r="Z678">
        <v>4</v>
      </c>
      <c r="AA678">
        <v>4</v>
      </c>
      <c r="AB678">
        <v>80</v>
      </c>
      <c r="AC678">
        <v>1</v>
      </c>
      <c r="AD678">
        <v>10</v>
      </c>
      <c r="AE678">
        <v>2</v>
      </c>
      <c r="AF678">
        <v>1</v>
      </c>
      <c r="AG678">
        <v>10</v>
      </c>
      <c r="AH678">
        <v>6</v>
      </c>
      <c r="AI678">
        <v>0</v>
      </c>
      <c r="AJ678">
        <v>7</v>
      </c>
    </row>
    <row r="679" spans="1:36" x14ac:dyDescent="0.3">
      <c r="A679">
        <v>49</v>
      </c>
      <c r="B679" t="s">
        <v>43</v>
      </c>
      <c r="C679" s="6">
        <f t="shared" si="10"/>
        <v>0</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t="s">
        <v>43</v>
      </c>
      <c r="Y679">
        <v>11</v>
      </c>
      <c r="Z679">
        <v>3</v>
      </c>
      <c r="AA679">
        <v>3</v>
      </c>
      <c r="AB679">
        <v>80</v>
      </c>
      <c r="AC679">
        <v>1</v>
      </c>
      <c r="AD679">
        <v>29</v>
      </c>
      <c r="AE679">
        <v>3</v>
      </c>
      <c r="AF679">
        <v>2</v>
      </c>
      <c r="AG679">
        <v>26</v>
      </c>
      <c r="AH679">
        <v>9</v>
      </c>
      <c r="AI679">
        <v>1</v>
      </c>
      <c r="AJ679">
        <v>7</v>
      </c>
    </row>
    <row r="680" spans="1:36" x14ac:dyDescent="0.3">
      <c r="A680">
        <v>48</v>
      </c>
      <c r="B680" t="s">
        <v>43</v>
      </c>
      <c r="C680" s="6">
        <f t="shared" si="10"/>
        <v>0</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t="s">
        <v>43</v>
      </c>
      <c r="Y680">
        <v>17</v>
      </c>
      <c r="Z680">
        <v>3</v>
      </c>
      <c r="AA680">
        <v>1</v>
      </c>
      <c r="AB680">
        <v>80</v>
      </c>
      <c r="AC680">
        <v>2</v>
      </c>
      <c r="AD680">
        <v>13</v>
      </c>
      <c r="AE680">
        <v>2</v>
      </c>
      <c r="AF680">
        <v>2</v>
      </c>
      <c r="AG680">
        <v>0</v>
      </c>
      <c r="AH680">
        <v>0</v>
      </c>
      <c r="AI680">
        <v>0</v>
      </c>
      <c r="AJ680">
        <v>0</v>
      </c>
    </row>
    <row r="681" spans="1:36" x14ac:dyDescent="0.3">
      <c r="A681">
        <v>31</v>
      </c>
      <c r="B681" t="s">
        <v>43</v>
      </c>
      <c r="C681" s="6">
        <f t="shared" si="10"/>
        <v>0</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t="s">
        <v>43</v>
      </c>
      <c r="Y681">
        <v>13</v>
      </c>
      <c r="Z681">
        <v>3</v>
      </c>
      <c r="AA681">
        <v>4</v>
      </c>
      <c r="AB681">
        <v>80</v>
      </c>
      <c r="AC681">
        <v>1</v>
      </c>
      <c r="AD681">
        <v>9</v>
      </c>
      <c r="AE681">
        <v>2</v>
      </c>
      <c r="AF681">
        <v>2</v>
      </c>
      <c r="AG681">
        <v>9</v>
      </c>
      <c r="AH681">
        <v>8</v>
      </c>
      <c r="AI681">
        <v>0</v>
      </c>
      <c r="AJ681">
        <v>0</v>
      </c>
    </row>
    <row r="682" spans="1:36" x14ac:dyDescent="0.3">
      <c r="A682">
        <v>36</v>
      </c>
      <c r="B682" t="s">
        <v>43</v>
      </c>
      <c r="C682" s="6">
        <f t="shared" si="10"/>
        <v>0</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t="s">
        <v>43</v>
      </c>
      <c r="Y682">
        <v>18</v>
      </c>
      <c r="Z682">
        <v>3</v>
      </c>
      <c r="AA682">
        <v>3</v>
      </c>
      <c r="AB682">
        <v>80</v>
      </c>
      <c r="AC682">
        <v>0</v>
      </c>
      <c r="AD682">
        <v>8</v>
      </c>
      <c r="AE682">
        <v>6</v>
      </c>
      <c r="AF682">
        <v>3</v>
      </c>
      <c r="AG682">
        <v>6</v>
      </c>
      <c r="AH682">
        <v>2</v>
      </c>
      <c r="AI682">
        <v>0</v>
      </c>
      <c r="AJ682">
        <v>1</v>
      </c>
    </row>
    <row r="683" spans="1:36" x14ac:dyDescent="0.3">
      <c r="A683">
        <v>38</v>
      </c>
      <c r="B683" t="s">
        <v>43</v>
      </c>
      <c r="C683" s="6">
        <f t="shared" si="10"/>
        <v>0</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t="s">
        <v>43</v>
      </c>
      <c r="Y683">
        <v>13</v>
      </c>
      <c r="Z683">
        <v>3</v>
      </c>
      <c r="AA683">
        <v>2</v>
      </c>
      <c r="AB683">
        <v>80</v>
      </c>
      <c r="AC683">
        <v>1</v>
      </c>
      <c r="AD683">
        <v>15</v>
      </c>
      <c r="AE683">
        <v>3</v>
      </c>
      <c r="AF683">
        <v>3</v>
      </c>
      <c r="AG683">
        <v>15</v>
      </c>
      <c r="AH683">
        <v>12</v>
      </c>
      <c r="AI683">
        <v>5</v>
      </c>
      <c r="AJ683">
        <v>11</v>
      </c>
    </row>
    <row r="684" spans="1:36" x14ac:dyDescent="0.3">
      <c r="A684">
        <v>32</v>
      </c>
      <c r="B684" t="s">
        <v>43</v>
      </c>
      <c r="C684" s="6">
        <f t="shared" si="10"/>
        <v>0</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t="s">
        <v>43</v>
      </c>
      <c r="Y684">
        <v>20</v>
      </c>
      <c r="Z684">
        <v>4</v>
      </c>
      <c r="AA684">
        <v>3</v>
      </c>
      <c r="AB684">
        <v>80</v>
      </c>
      <c r="AC684">
        <v>0</v>
      </c>
      <c r="AD684">
        <v>5</v>
      </c>
      <c r="AE684">
        <v>3</v>
      </c>
      <c r="AF684">
        <v>3</v>
      </c>
      <c r="AG684">
        <v>3</v>
      </c>
      <c r="AH684">
        <v>0</v>
      </c>
      <c r="AI684">
        <v>0</v>
      </c>
      <c r="AJ684">
        <v>2</v>
      </c>
    </row>
    <row r="685" spans="1:36" x14ac:dyDescent="0.3">
      <c r="A685">
        <v>25</v>
      </c>
      <c r="B685" t="s">
        <v>35</v>
      </c>
      <c r="C685" s="6">
        <f t="shared" si="10"/>
        <v>1</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t="s">
        <v>35</v>
      </c>
      <c r="Y685">
        <v>18</v>
      </c>
      <c r="Z685">
        <v>3</v>
      </c>
      <c r="AA685">
        <v>3</v>
      </c>
      <c r="AB685">
        <v>80</v>
      </c>
      <c r="AC685">
        <v>3</v>
      </c>
      <c r="AD685">
        <v>1</v>
      </c>
      <c r="AE685">
        <v>2</v>
      </c>
      <c r="AF685">
        <v>3</v>
      </c>
      <c r="AG685">
        <v>1</v>
      </c>
      <c r="AH685">
        <v>0</v>
      </c>
      <c r="AI685">
        <v>0</v>
      </c>
      <c r="AJ685">
        <v>0</v>
      </c>
    </row>
    <row r="686" spans="1:36" x14ac:dyDescent="0.3">
      <c r="A686">
        <v>40</v>
      </c>
      <c r="B686" t="s">
        <v>43</v>
      </c>
      <c r="C686" s="6">
        <f t="shared" si="10"/>
        <v>0</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t="s">
        <v>43</v>
      </c>
      <c r="Y686">
        <v>12</v>
      </c>
      <c r="Z686">
        <v>3</v>
      </c>
      <c r="AA686">
        <v>2</v>
      </c>
      <c r="AB686">
        <v>80</v>
      </c>
      <c r="AC686">
        <v>1</v>
      </c>
      <c r="AD686">
        <v>11</v>
      </c>
      <c r="AE686">
        <v>2</v>
      </c>
      <c r="AF686">
        <v>2</v>
      </c>
      <c r="AG686">
        <v>1</v>
      </c>
      <c r="AH686">
        <v>0</v>
      </c>
      <c r="AI686">
        <v>0</v>
      </c>
      <c r="AJ686">
        <v>0</v>
      </c>
    </row>
    <row r="687" spans="1:36" x14ac:dyDescent="0.3">
      <c r="A687">
        <v>26</v>
      </c>
      <c r="B687" t="s">
        <v>43</v>
      </c>
      <c r="C687" s="6">
        <f t="shared" si="10"/>
        <v>0</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t="s">
        <v>43</v>
      </c>
      <c r="Y687">
        <v>12</v>
      </c>
      <c r="Z687">
        <v>3</v>
      </c>
      <c r="AA687">
        <v>2</v>
      </c>
      <c r="AB687">
        <v>80</v>
      </c>
      <c r="AC687">
        <v>0</v>
      </c>
      <c r="AD687">
        <v>7</v>
      </c>
      <c r="AE687">
        <v>2</v>
      </c>
      <c r="AF687">
        <v>3</v>
      </c>
      <c r="AG687">
        <v>7</v>
      </c>
      <c r="AH687">
        <v>7</v>
      </c>
      <c r="AI687">
        <v>0</v>
      </c>
      <c r="AJ687">
        <v>7</v>
      </c>
    </row>
    <row r="688" spans="1:36" x14ac:dyDescent="0.3">
      <c r="A688">
        <v>41</v>
      </c>
      <c r="B688" t="s">
        <v>43</v>
      </c>
      <c r="C688" s="6">
        <f t="shared" si="10"/>
        <v>0</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t="s">
        <v>35</v>
      </c>
      <c r="Y688">
        <v>13</v>
      </c>
      <c r="Z688">
        <v>3</v>
      </c>
      <c r="AA688">
        <v>3</v>
      </c>
      <c r="AB688">
        <v>80</v>
      </c>
      <c r="AC688">
        <v>0</v>
      </c>
      <c r="AD688">
        <v>20</v>
      </c>
      <c r="AE688">
        <v>3</v>
      </c>
      <c r="AF688">
        <v>3</v>
      </c>
      <c r="AG688">
        <v>18</v>
      </c>
      <c r="AH688">
        <v>13</v>
      </c>
      <c r="AI688">
        <v>2</v>
      </c>
      <c r="AJ688">
        <v>17</v>
      </c>
    </row>
    <row r="689" spans="1:36" x14ac:dyDescent="0.3">
      <c r="A689">
        <v>36</v>
      </c>
      <c r="B689" t="s">
        <v>43</v>
      </c>
      <c r="C689" s="6">
        <f t="shared" si="10"/>
        <v>0</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t="s">
        <v>43</v>
      </c>
      <c r="Y689">
        <v>21</v>
      </c>
      <c r="Z689">
        <v>4</v>
      </c>
      <c r="AA689">
        <v>3</v>
      </c>
      <c r="AB689">
        <v>80</v>
      </c>
      <c r="AC689">
        <v>0</v>
      </c>
      <c r="AD689">
        <v>16</v>
      </c>
      <c r="AE689">
        <v>6</v>
      </c>
      <c r="AF689">
        <v>3</v>
      </c>
      <c r="AG689">
        <v>11</v>
      </c>
      <c r="AH689">
        <v>8</v>
      </c>
      <c r="AI689">
        <v>3</v>
      </c>
      <c r="AJ689">
        <v>9</v>
      </c>
    </row>
    <row r="690" spans="1:36" x14ac:dyDescent="0.3">
      <c r="A690">
        <v>19</v>
      </c>
      <c r="B690" t="s">
        <v>35</v>
      </c>
      <c r="C690" s="6">
        <f t="shared" si="10"/>
        <v>1</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t="s">
        <v>35</v>
      </c>
      <c r="Y690">
        <v>13</v>
      </c>
      <c r="Z690">
        <v>3</v>
      </c>
      <c r="AA690">
        <v>2</v>
      </c>
      <c r="AB690">
        <v>80</v>
      </c>
      <c r="AC690">
        <v>0</v>
      </c>
      <c r="AD690">
        <v>1</v>
      </c>
      <c r="AE690">
        <v>3</v>
      </c>
      <c r="AF690">
        <v>4</v>
      </c>
      <c r="AG690">
        <v>1</v>
      </c>
      <c r="AH690">
        <v>0</v>
      </c>
      <c r="AI690">
        <v>0</v>
      </c>
      <c r="AJ690">
        <v>0</v>
      </c>
    </row>
    <row r="691" spans="1:36" x14ac:dyDescent="0.3">
      <c r="A691">
        <v>20</v>
      </c>
      <c r="B691" t="s">
        <v>35</v>
      </c>
      <c r="C691" s="6">
        <f t="shared" si="10"/>
        <v>1</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t="s">
        <v>43</v>
      </c>
      <c r="Y691">
        <v>19</v>
      </c>
      <c r="Z691">
        <v>3</v>
      </c>
      <c r="AA691">
        <v>2</v>
      </c>
      <c r="AB691">
        <v>80</v>
      </c>
      <c r="AC691">
        <v>0</v>
      </c>
      <c r="AD691">
        <v>1</v>
      </c>
      <c r="AE691">
        <v>2</v>
      </c>
      <c r="AF691">
        <v>3</v>
      </c>
      <c r="AG691">
        <v>1</v>
      </c>
      <c r="AH691">
        <v>0</v>
      </c>
      <c r="AI691">
        <v>0</v>
      </c>
      <c r="AJ691">
        <v>0</v>
      </c>
    </row>
    <row r="692" spans="1:36" x14ac:dyDescent="0.3">
      <c r="A692">
        <v>31</v>
      </c>
      <c r="B692" t="s">
        <v>43</v>
      </c>
      <c r="C692" s="6">
        <f t="shared" si="10"/>
        <v>0</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t="s">
        <v>35</v>
      </c>
      <c r="Y692">
        <v>11</v>
      </c>
      <c r="Z692">
        <v>3</v>
      </c>
      <c r="AA692">
        <v>3</v>
      </c>
      <c r="AB692">
        <v>80</v>
      </c>
      <c r="AC692">
        <v>2</v>
      </c>
      <c r="AD692">
        <v>10</v>
      </c>
      <c r="AE692">
        <v>2</v>
      </c>
      <c r="AF692">
        <v>1</v>
      </c>
      <c r="AG692">
        <v>9</v>
      </c>
      <c r="AH692">
        <v>7</v>
      </c>
      <c r="AI692">
        <v>8</v>
      </c>
      <c r="AJ692">
        <v>5</v>
      </c>
    </row>
    <row r="693" spans="1:36" x14ac:dyDescent="0.3">
      <c r="A693">
        <v>40</v>
      </c>
      <c r="B693" t="s">
        <v>43</v>
      </c>
      <c r="C693" s="6">
        <f t="shared" si="10"/>
        <v>0</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t="s">
        <v>35</v>
      </c>
      <c r="Y693">
        <v>14</v>
      </c>
      <c r="Z693">
        <v>3</v>
      </c>
      <c r="AA693">
        <v>4</v>
      </c>
      <c r="AB693">
        <v>80</v>
      </c>
      <c r="AC693">
        <v>1</v>
      </c>
      <c r="AD693">
        <v>3</v>
      </c>
      <c r="AE693">
        <v>2</v>
      </c>
      <c r="AF693">
        <v>3</v>
      </c>
      <c r="AG693">
        <v>1</v>
      </c>
      <c r="AH693">
        <v>1</v>
      </c>
      <c r="AI693">
        <v>0</v>
      </c>
      <c r="AJ693">
        <v>0</v>
      </c>
    </row>
    <row r="694" spans="1:36" x14ac:dyDescent="0.3">
      <c r="A694">
        <v>32</v>
      </c>
      <c r="B694" t="s">
        <v>43</v>
      </c>
      <c r="C694" s="6">
        <f t="shared" si="10"/>
        <v>0</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t="s">
        <v>43</v>
      </c>
      <c r="Y694">
        <v>12</v>
      </c>
      <c r="Z694">
        <v>3</v>
      </c>
      <c r="AA694">
        <v>3</v>
      </c>
      <c r="AB694">
        <v>80</v>
      </c>
      <c r="AC694">
        <v>1</v>
      </c>
      <c r="AD694">
        <v>8</v>
      </c>
      <c r="AE694">
        <v>2</v>
      </c>
      <c r="AF694">
        <v>4</v>
      </c>
      <c r="AG694">
        <v>8</v>
      </c>
      <c r="AH694">
        <v>7</v>
      </c>
      <c r="AI694">
        <v>6</v>
      </c>
      <c r="AJ694">
        <v>3</v>
      </c>
    </row>
    <row r="695" spans="1:36" x14ac:dyDescent="0.3">
      <c r="A695">
        <v>36</v>
      </c>
      <c r="B695" t="s">
        <v>35</v>
      </c>
      <c r="C695" s="6">
        <f t="shared" si="10"/>
        <v>1</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t="s">
        <v>35</v>
      </c>
      <c r="Y695">
        <v>11</v>
      </c>
      <c r="Z695">
        <v>3</v>
      </c>
      <c r="AA695">
        <v>1</v>
      </c>
      <c r="AB695">
        <v>80</v>
      </c>
      <c r="AC695">
        <v>1</v>
      </c>
      <c r="AD695">
        <v>16</v>
      </c>
      <c r="AE695">
        <v>6</v>
      </c>
      <c r="AF695">
        <v>3</v>
      </c>
      <c r="AG695">
        <v>16</v>
      </c>
      <c r="AH695">
        <v>7</v>
      </c>
      <c r="AI695">
        <v>3</v>
      </c>
      <c r="AJ695">
        <v>7</v>
      </c>
    </row>
    <row r="696" spans="1:36" x14ac:dyDescent="0.3">
      <c r="A696">
        <v>33</v>
      </c>
      <c r="B696" t="s">
        <v>43</v>
      </c>
      <c r="C696" s="6">
        <f t="shared" si="10"/>
        <v>0</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t="s">
        <v>43</v>
      </c>
      <c r="Y696">
        <v>14</v>
      </c>
      <c r="Z696">
        <v>3</v>
      </c>
      <c r="AA696">
        <v>1</v>
      </c>
      <c r="AB696">
        <v>80</v>
      </c>
      <c r="AC696">
        <v>0</v>
      </c>
      <c r="AD696">
        <v>6</v>
      </c>
      <c r="AE696">
        <v>3</v>
      </c>
      <c r="AF696">
        <v>3</v>
      </c>
      <c r="AG696">
        <v>5</v>
      </c>
      <c r="AH696">
        <v>0</v>
      </c>
      <c r="AI696">
        <v>1</v>
      </c>
      <c r="AJ696">
        <v>4</v>
      </c>
    </row>
    <row r="697" spans="1:36" x14ac:dyDescent="0.3">
      <c r="A697">
        <v>37</v>
      </c>
      <c r="B697" t="s">
        <v>35</v>
      </c>
      <c r="C697" s="6">
        <f t="shared" si="10"/>
        <v>1</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t="s">
        <v>43</v>
      </c>
      <c r="Y697">
        <v>11</v>
      </c>
      <c r="Z697">
        <v>3</v>
      </c>
      <c r="AA697">
        <v>3</v>
      </c>
      <c r="AB697">
        <v>80</v>
      </c>
      <c r="AC697">
        <v>0</v>
      </c>
      <c r="AD697">
        <v>17</v>
      </c>
      <c r="AE697">
        <v>2</v>
      </c>
      <c r="AF697">
        <v>1</v>
      </c>
      <c r="AG697">
        <v>14</v>
      </c>
      <c r="AH697">
        <v>1</v>
      </c>
      <c r="AI697">
        <v>11</v>
      </c>
      <c r="AJ697">
        <v>7</v>
      </c>
    </row>
    <row r="698" spans="1:36" x14ac:dyDescent="0.3">
      <c r="A698">
        <v>45</v>
      </c>
      <c r="B698" t="s">
        <v>43</v>
      </c>
      <c r="C698" s="6">
        <f t="shared" si="10"/>
        <v>0</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t="s">
        <v>43</v>
      </c>
      <c r="Y698">
        <v>12</v>
      </c>
      <c r="Z698">
        <v>3</v>
      </c>
      <c r="AA698">
        <v>2</v>
      </c>
      <c r="AB698">
        <v>80</v>
      </c>
      <c r="AC698">
        <v>0</v>
      </c>
      <c r="AD698">
        <v>9</v>
      </c>
      <c r="AE698">
        <v>5</v>
      </c>
      <c r="AF698">
        <v>2</v>
      </c>
      <c r="AG698">
        <v>9</v>
      </c>
      <c r="AH698">
        <v>7</v>
      </c>
      <c r="AI698">
        <v>0</v>
      </c>
      <c r="AJ698">
        <v>8</v>
      </c>
    </row>
    <row r="699" spans="1:36" x14ac:dyDescent="0.3">
      <c r="A699">
        <v>29</v>
      </c>
      <c r="B699" t="s">
        <v>43</v>
      </c>
      <c r="C699" s="6">
        <f t="shared" si="10"/>
        <v>0</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t="s">
        <v>43</v>
      </c>
      <c r="Y699">
        <v>15</v>
      </c>
      <c r="Z699">
        <v>3</v>
      </c>
      <c r="AA699">
        <v>2</v>
      </c>
      <c r="AB699">
        <v>80</v>
      </c>
      <c r="AC699">
        <v>1</v>
      </c>
      <c r="AD699">
        <v>3</v>
      </c>
      <c r="AE699">
        <v>5</v>
      </c>
      <c r="AF699">
        <v>3</v>
      </c>
      <c r="AG699">
        <v>3</v>
      </c>
      <c r="AH699">
        <v>1</v>
      </c>
      <c r="AI699">
        <v>0</v>
      </c>
      <c r="AJ699">
        <v>2</v>
      </c>
    </row>
    <row r="700" spans="1:36" x14ac:dyDescent="0.3">
      <c r="A700">
        <v>35</v>
      </c>
      <c r="B700" t="s">
        <v>43</v>
      </c>
      <c r="C700" s="6">
        <f t="shared" si="10"/>
        <v>0</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t="s">
        <v>43</v>
      </c>
      <c r="Y700">
        <v>16</v>
      </c>
      <c r="Z700">
        <v>3</v>
      </c>
      <c r="AA700">
        <v>2</v>
      </c>
      <c r="AB700">
        <v>80</v>
      </c>
      <c r="AC700">
        <v>0</v>
      </c>
      <c r="AD700">
        <v>5</v>
      </c>
      <c r="AE700">
        <v>3</v>
      </c>
      <c r="AF700">
        <v>3</v>
      </c>
      <c r="AG700">
        <v>5</v>
      </c>
      <c r="AH700">
        <v>2</v>
      </c>
      <c r="AI700">
        <v>1</v>
      </c>
      <c r="AJ700">
        <v>0</v>
      </c>
    </row>
    <row r="701" spans="1:36" x14ac:dyDescent="0.3">
      <c r="A701">
        <v>52</v>
      </c>
      <c r="B701" t="s">
        <v>43</v>
      </c>
      <c r="C701" s="6">
        <f t="shared" si="10"/>
        <v>0</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t="s">
        <v>43</v>
      </c>
      <c r="Y701">
        <v>15</v>
      </c>
      <c r="Z701">
        <v>3</v>
      </c>
      <c r="AA701">
        <v>2</v>
      </c>
      <c r="AB701">
        <v>80</v>
      </c>
      <c r="AC701">
        <v>1</v>
      </c>
      <c r="AD701">
        <v>26</v>
      </c>
      <c r="AE701">
        <v>2</v>
      </c>
      <c r="AF701">
        <v>2</v>
      </c>
      <c r="AG701">
        <v>9</v>
      </c>
      <c r="AH701">
        <v>8</v>
      </c>
      <c r="AI701">
        <v>7</v>
      </c>
      <c r="AJ701">
        <v>8</v>
      </c>
    </row>
    <row r="702" spans="1:36" x14ac:dyDescent="0.3">
      <c r="A702">
        <v>58</v>
      </c>
      <c r="B702" t="s">
        <v>35</v>
      </c>
      <c r="C702" s="6">
        <f t="shared" si="10"/>
        <v>1</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t="s">
        <v>43</v>
      </c>
      <c r="Y702">
        <v>24</v>
      </c>
      <c r="Z702">
        <v>4</v>
      </c>
      <c r="AA702">
        <v>1</v>
      </c>
      <c r="AB702">
        <v>80</v>
      </c>
      <c r="AC702">
        <v>0</v>
      </c>
      <c r="AD702">
        <v>7</v>
      </c>
      <c r="AE702">
        <v>4</v>
      </c>
      <c r="AF702">
        <v>3</v>
      </c>
      <c r="AG702">
        <v>1</v>
      </c>
      <c r="AH702">
        <v>0</v>
      </c>
      <c r="AI702">
        <v>0</v>
      </c>
      <c r="AJ702">
        <v>0</v>
      </c>
    </row>
    <row r="703" spans="1:36" x14ac:dyDescent="0.3">
      <c r="A703">
        <v>53</v>
      </c>
      <c r="B703" t="s">
        <v>43</v>
      </c>
      <c r="C703" s="6">
        <f t="shared" si="10"/>
        <v>0</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t="s">
        <v>43</v>
      </c>
      <c r="Y703">
        <v>13</v>
      </c>
      <c r="Z703">
        <v>3</v>
      </c>
      <c r="AA703">
        <v>3</v>
      </c>
      <c r="AB703">
        <v>80</v>
      </c>
      <c r="AC703">
        <v>1</v>
      </c>
      <c r="AD703">
        <v>22</v>
      </c>
      <c r="AE703">
        <v>3</v>
      </c>
      <c r="AF703">
        <v>4</v>
      </c>
      <c r="AG703">
        <v>17</v>
      </c>
      <c r="AH703">
        <v>13</v>
      </c>
      <c r="AI703">
        <v>15</v>
      </c>
      <c r="AJ703">
        <v>2</v>
      </c>
    </row>
    <row r="704" spans="1:36" x14ac:dyDescent="0.3">
      <c r="A704">
        <v>30</v>
      </c>
      <c r="B704" t="s">
        <v>43</v>
      </c>
      <c r="C704" s="6">
        <f t="shared" si="10"/>
        <v>0</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t="s">
        <v>43</v>
      </c>
      <c r="Y704">
        <v>11</v>
      </c>
      <c r="Z704">
        <v>3</v>
      </c>
      <c r="AA704">
        <v>1</v>
      </c>
      <c r="AB704">
        <v>80</v>
      </c>
      <c r="AC704">
        <v>1</v>
      </c>
      <c r="AD704">
        <v>10</v>
      </c>
      <c r="AE704">
        <v>2</v>
      </c>
      <c r="AF704">
        <v>4</v>
      </c>
      <c r="AG704">
        <v>8</v>
      </c>
      <c r="AH704">
        <v>4</v>
      </c>
      <c r="AI704">
        <v>7</v>
      </c>
      <c r="AJ704">
        <v>7</v>
      </c>
    </row>
    <row r="705" spans="1:36" x14ac:dyDescent="0.3">
      <c r="A705">
        <v>38</v>
      </c>
      <c r="B705" t="s">
        <v>43</v>
      </c>
      <c r="C705" s="6">
        <f t="shared" si="10"/>
        <v>0</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t="s">
        <v>35</v>
      </c>
      <c r="Y705">
        <v>13</v>
      </c>
      <c r="Z705">
        <v>3</v>
      </c>
      <c r="AA705">
        <v>2</v>
      </c>
      <c r="AB705">
        <v>80</v>
      </c>
      <c r="AC705">
        <v>0</v>
      </c>
      <c r="AD705">
        <v>6</v>
      </c>
      <c r="AE705">
        <v>1</v>
      </c>
      <c r="AF705">
        <v>3</v>
      </c>
      <c r="AG705">
        <v>5</v>
      </c>
      <c r="AH705">
        <v>3</v>
      </c>
      <c r="AI705">
        <v>1</v>
      </c>
      <c r="AJ705">
        <v>3</v>
      </c>
    </row>
    <row r="706" spans="1:36" x14ac:dyDescent="0.3">
      <c r="A706">
        <v>35</v>
      </c>
      <c r="B706" t="s">
        <v>43</v>
      </c>
      <c r="C706" s="6">
        <f t="shared" si="10"/>
        <v>0</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t="s">
        <v>43</v>
      </c>
      <c r="Y706">
        <v>13</v>
      </c>
      <c r="Z706">
        <v>3</v>
      </c>
      <c r="AA706">
        <v>2</v>
      </c>
      <c r="AB706">
        <v>80</v>
      </c>
      <c r="AC706">
        <v>1</v>
      </c>
      <c r="AD706">
        <v>12</v>
      </c>
      <c r="AE706">
        <v>2</v>
      </c>
      <c r="AF706">
        <v>3</v>
      </c>
      <c r="AG706">
        <v>10</v>
      </c>
      <c r="AH706">
        <v>9</v>
      </c>
      <c r="AI706">
        <v>0</v>
      </c>
      <c r="AJ706">
        <v>8</v>
      </c>
    </row>
    <row r="707" spans="1:36" x14ac:dyDescent="0.3">
      <c r="A707">
        <v>39</v>
      </c>
      <c r="B707" t="s">
        <v>43</v>
      </c>
      <c r="C707" s="6">
        <f t="shared" ref="C707:C770" si="11">IF(B707="Yes",1,0)</f>
        <v>0</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t="s">
        <v>43</v>
      </c>
      <c r="Y707">
        <v>18</v>
      </c>
      <c r="Z707">
        <v>3</v>
      </c>
      <c r="AA707">
        <v>4</v>
      </c>
      <c r="AB707">
        <v>80</v>
      </c>
      <c r="AC707">
        <v>0</v>
      </c>
      <c r="AD707">
        <v>9</v>
      </c>
      <c r="AE707">
        <v>3</v>
      </c>
      <c r="AF707">
        <v>3</v>
      </c>
      <c r="AG707">
        <v>8</v>
      </c>
      <c r="AH707">
        <v>7</v>
      </c>
      <c r="AI707">
        <v>0</v>
      </c>
      <c r="AJ707">
        <v>7</v>
      </c>
    </row>
    <row r="708" spans="1:36" x14ac:dyDescent="0.3">
      <c r="A708">
        <v>40</v>
      </c>
      <c r="B708" t="s">
        <v>35</v>
      </c>
      <c r="C708" s="6">
        <f t="shared" si="11"/>
        <v>1</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t="s">
        <v>35</v>
      </c>
      <c r="Y708">
        <v>16</v>
      </c>
      <c r="Z708">
        <v>3</v>
      </c>
      <c r="AA708">
        <v>4</v>
      </c>
      <c r="AB708">
        <v>80</v>
      </c>
      <c r="AC708">
        <v>0</v>
      </c>
      <c r="AD708">
        <v>22</v>
      </c>
      <c r="AE708">
        <v>2</v>
      </c>
      <c r="AF708">
        <v>2</v>
      </c>
      <c r="AG708">
        <v>1</v>
      </c>
      <c r="AH708">
        <v>0</v>
      </c>
      <c r="AI708">
        <v>0</v>
      </c>
      <c r="AJ708">
        <v>0</v>
      </c>
    </row>
    <row r="709" spans="1:36" x14ac:dyDescent="0.3">
      <c r="A709">
        <v>47</v>
      </c>
      <c r="B709" t="s">
        <v>43</v>
      </c>
      <c r="C709" s="6">
        <f t="shared" si="11"/>
        <v>0</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t="s">
        <v>35</v>
      </c>
      <c r="Y709">
        <v>19</v>
      </c>
      <c r="Z709">
        <v>3</v>
      </c>
      <c r="AA709">
        <v>3</v>
      </c>
      <c r="AB709">
        <v>80</v>
      </c>
      <c r="AC709">
        <v>0</v>
      </c>
      <c r="AD709">
        <v>20</v>
      </c>
      <c r="AE709">
        <v>3</v>
      </c>
      <c r="AF709">
        <v>4</v>
      </c>
      <c r="AG709">
        <v>19</v>
      </c>
      <c r="AH709">
        <v>10</v>
      </c>
      <c r="AI709">
        <v>2</v>
      </c>
      <c r="AJ709">
        <v>7</v>
      </c>
    </row>
    <row r="710" spans="1:36" x14ac:dyDescent="0.3">
      <c r="A710">
        <v>36</v>
      </c>
      <c r="B710" t="s">
        <v>43</v>
      </c>
      <c r="C710" s="6">
        <f t="shared" si="11"/>
        <v>0</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t="s">
        <v>43</v>
      </c>
      <c r="Y710">
        <v>13</v>
      </c>
      <c r="Z710">
        <v>3</v>
      </c>
      <c r="AA710">
        <v>4</v>
      </c>
      <c r="AB710">
        <v>80</v>
      </c>
      <c r="AC710">
        <v>2</v>
      </c>
      <c r="AD710">
        <v>12</v>
      </c>
      <c r="AE710">
        <v>3</v>
      </c>
      <c r="AF710">
        <v>3</v>
      </c>
      <c r="AG710">
        <v>7</v>
      </c>
      <c r="AH710">
        <v>7</v>
      </c>
      <c r="AI710">
        <v>0</v>
      </c>
      <c r="AJ710">
        <v>7</v>
      </c>
    </row>
    <row r="711" spans="1:36" x14ac:dyDescent="0.3">
      <c r="A711">
        <v>31</v>
      </c>
      <c r="B711" t="s">
        <v>35</v>
      </c>
      <c r="C711" s="6">
        <f t="shared" si="11"/>
        <v>1</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t="s">
        <v>35</v>
      </c>
      <c r="Y711">
        <v>22</v>
      </c>
      <c r="Z711">
        <v>4</v>
      </c>
      <c r="AA711">
        <v>1</v>
      </c>
      <c r="AB711">
        <v>80</v>
      </c>
      <c r="AC711">
        <v>0</v>
      </c>
      <c r="AD711">
        <v>4</v>
      </c>
      <c r="AE711">
        <v>0</v>
      </c>
      <c r="AF711">
        <v>3</v>
      </c>
      <c r="AG711">
        <v>3</v>
      </c>
      <c r="AH711">
        <v>2</v>
      </c>
      <c r="AI711">
        <v>1</v>
      </c>
      <c r="AJ711">
        <v>2</v>
      </c>
    </row>
    <row r="712" spans="1:36" x14ac:dyDescent="0.3">
      <c r="A712">
        <v>33</v>
      </c>
      <c r="B712" t="s">
        <v>43</v>
      </c>
      <c r="C712" s="6">
        <f t="shared" si="11"/>
        <v>0</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t="s">
        <v>43</v>
      </c>
      <c r="Y712">
        <v>11</v>
      </c>
      <c r="Z712">
        <v>3</v>
      </c>
      <c r="AA712">
        <v>4</v>
      </c>
      <c r="AB712">
        <v>80</v>
      </c>
      <c r="AC712">
        <v>0</v>
      </c>
      <c r="AD712">
        <v>10</v>
      </c>
      <c r="AE712">
        <v>2</v>
      </c>
      <c r="AF712">
        <v>3</v>
      </c>
      <c r="AG712">
        <v>10</v>
      </c>
      <c r="AH712">
        <v>8</v>
      </c>
      <c r="AI712">
        <v>6</v>
      </c>
      <c r="AJ712">
        <v>0</v>
      </c>
    </row>
    <row r="713" spans="1:36" x14ac:dyDescent="0.3">
      <c r="A713">
        <v>29</v>
      </c>
      <c r="B713" t="s">
        <v>35</v>
      </c>
      <c r="C713" s="6">
        <f t="shared" si="11"/>
        <v>1</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t="s">
        <v>35</v>
      </c>
      <c r="Y713">
        <v>20</v>
      </c>
      <c r="Z713">
        <v>4</v>
      </c>
      <c r="AA713">
        <v>3</v>
      </c>
      <c r="AB713">
        <v>80</v>
      </c>
      <c r="AC713">
        <v>0</v>
      </c>
      <c r="AD713">
        <v>3</v>
      </c>
      <c r="AE713">
        <v>5</v>
      </c>
      <c r="AF713">
        <v>3</v>
      </c>
      <c r="AG713">
        <v>0</v>
      </c>
      <c r="AH713">
        <v>0</v>
      </c>
      <c r="AI713">
        <v>0</v>
      </c>
      <c r="AJ713">
        <v>0</v>
      </c>
    </row>
    <row r="714" spans="1:36" x14ac:dyDescent="0.3">
      <c r="A714">
        <v>33</v>
      </c>
      <c r="B714" t="s">
        <v>43</v>
      </c>
      <c r="C714" s="6">
        <f t="shared" si="11"/>
        <v>0</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t="s">
        <v>43</v>
      </c>
      <c r="Y714">
        <v>18</v>
      </c>
      <c r="Z714">
        <v>3</v>
      </c>
      <c r="AA714">
        <v>1</v>
      </c>
      <c r="AB714">
        <v>80</v>
      </c>
      <c r="AC714">
        <v>0</v>
      </c>
      <c r="AD714">
        <v>5</v>
      </c>
      <c r="AE714">
        <v>4</v>
      </c>
      <c r="AF714">
        <v>3</v>
      </c>
      <c r="AG714">
        <v>3</v>
      </c>
      <c r="AH714">
        <v>2</v>
      </c>
      <c r="AI714">
        <v>0</v>
      </c>
      <c r="AJ714">
        <v>2</v>
      </c>
    </row>
    <row r="715" spans="1:36" x14ac:dyDescent="0.3">
      <c r="A715">
        <v>45</v>
      </c>
      <c r="B715" t="s">
        <v>43</v>
      </c>
      <c r="C715" s="6">
        <f t="shared" si="11"/>
        <v>0</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t="s">
        <v>43</v>
      </c>
      <c r="Y715">
        <v>14</v>
      </c>
      <c r="Z715">
        <v>3</v>
      </c>
      <c r="AA715">
        <v>4</v>
      </c>
      <c r="AB715">
        <v>80</v>
      </c>
      <c r="AC715">
        <v>2</v>
      </c>
      <c r="AD715">
        <v>8</v>
      </c>
      <c r="AE715">
        <v>2</v>
      </c>
      <c r="AF715">
        <v>3</v>
      </c>
      <c r="AG715">
        <v>5</v>
      </c>
      <c r="AH715">
        <v>3</v>
      </c>
      <c r="AI715">
        <v>0</v>
      </c>
      <c r="AJ715">
        <v>2</v>
      </c>
    </row>
    <row r="716" spans="1:36" x14ac:dyDescent="0.3">
      <c r="A716">
        <v>50</v>
      </c>
      <c r="B716" t="s">
        <v>43</v>
      </c>
      <c r="C716" s="6">
        <f t="shared" si="11"/>
        <v>0</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t="s">
        <v>43</v>
      </c>
      <c r="Y716">
        <v>22</v>
      </c>
      <c r="Z716">
        <v>4</v>
      </c>
      <c r="AA716">
        <v>3</v>
      </c>
      <c r="AB716">
        <v>80</v>
      </c>
      <c r="AC716">
        <v>1</v>
      </c>
      <c r="AD716">
        <v>32</v>
      </c>
      <c r="AE716">
        <v>1</v>
      </c>
      <c r="AF716">
        <v>2</v>
      </c>
      <c r="AG716">
        <v>5</v>
      </c>
      <c r="AH716">
        <v>4</v>
      </c>
      <c r="AI716">
        <v>1</v>
      </c>
      <c r="AJ716">
        <v>3</v>
      </c>
    </row>
    <row r="717" spans="1:36" x14ac:dyDescent="0.3">
      <c r="A717">
        <v>33</v>
      </c>
      <c r="B717" t="s">
        <v>43</v>
      </c>
      <c r="C717" s="6">
        <f t="shared" si="11"/>
        <v>0</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t="s">
        <v>35</v>
      </c>
      <c r="Y717">
        <v>13</v>
      </c>
      <c r="Z717">
        <v>3</v>
      </c>
      <c r="AA717">
        <v>1</v>
      </c>
      <c r="AB717">
        <v>80</v>
      </c>
      <c r="AC717">
        <v>1</v>
      </c>
      <c r="AD717">
        <v>6</v>
      </c>
      <c r="AE717">
        <v>2</v>
      </c>
      <c r="AF717">
        <v>3</v>
      </c>
      <c r="AG717">
        <v>6</v>
      </c>
      <c r="AH717">
        <v>5</v>
      </c>
      <c r="AI717">
        <v>1</v>
      </c>
      <c r="AJ717">
        <v>2</v>
      </c>
    </row>
    <row r="718" spans="1:36" x14ac:dyDescent="0.3">
      <c r="A718">
        <v>41</v>
      </c>
      <c r="B718" t="s">
        <v>43</v>
      </c>
      <c r="C718" s="6">
        <f t="shared" si="11"/>
        <v>0</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t="s">
        <v>43</v>
      </c>
      <c r="Y718">
        <v>17</v>
      </c>
      <c r="Z718">
        <v>3</v>
      </c>
      <c r="AA718">
        <v>2</v>
      </c>
      <c r="AB718">
        <v>80</v>
      </c>
      <c r="AC718">
        <v>1</v>
      </c>
      <c r="AD718">
        <v>21</v>
      </c>
      <c r="AE718">
        <v>2</v>
      </c>
      <c r="AF718">
        <v>4</v>
      </c>
      <c r="AG718">
        <v>18</v>
      </c>
      <c r="AH718">
        <v>16</v>
      </c>
      <c r="AI718">
        <v>0</v>
      </c>
      <c r="AJ718">
        <v>11</v>
      </c>
    </row>
    <row r="719" spans="1:36" x14ac:dyDescent="0.3">
      <c r="A719">
        <v>27</v>
      </c>
      <c r="B719" t="s">
        <v>43</v>
      </c>
      <c r="C719" s="6">
        <f t="shared" si="11"/>
        <v>0</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t="s">
        <v>43</v>
      </c>
      <c r="Y719">
        <v>14</v>
      </c>
      <c r="Z719">
        <v>3</v>
      </c>
      <c r="AA719">
        <v>2</v>
      </c>
      <c r="AB719">
        <v>80</v>
      </c>
      <c r="AC719">
        <v>1</v>
      </c>
      <c r="AD719">
        <v>4</v>
      </c>
      <c r="AE719">
        <v>2</v>
      </c>
      <c r="AF719">
        <v>3</v>
      </c>
      <c r="AG719">
        <v>2</v>
      </c>
      <c r="AH719">
        <v>2</v>
      </c>
      <c r="AI719">
        <v>2</v>
      </c>
      <c r="AJ719">
        <v>2</v>
      </c>
    </row>
    <row r="720" spans="1:36" x14ac:dyDescent="0.3">
      <c r="A720">
        <v>45</v>
      </c>
      <c r="B720" t="s">
        <v>43</v>
      </c>
      <c r="C720" s="6">
        <f t="shared" si="11"/>
        <v>0</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t="s">
        <v>35</v>
      </c>
      <c r="Y720">
        <v>15</v>
      </c>
      <c r="Z720">
        <v>3</v>
      </c>
      <c r="AA720">
        <v>3</v>
      </c>
      <c r="AB720">
        <v>80</v>
      </c>
      <c r="AC720">
        <v>1</v>
      </c>
      <c r="AD720">
        <v>9</v>
      </c>
      <c r="AE720">
        <v>2</v>
      </c>
      <c r="AF720">
        <v>3</v>
      </c>
      <c r="AG720">
        <v>9</v>
      </c>
      <c r="AH720">
        <v>8</v>
      </c>
      <c r="AI720">
        <v>0</v>
      </c>
      <c r="AJ720">
        <v>8</v>
      </c>
    </row>
    <row r="721" spans="1:36" x14ac:dyDescent="0.3">
      <c r="A721">
        <v>47</v>
      </c>
      <c r="B721" t="s">
        <v>43</v>
      </c>
      <c r="C721" s="6">
        <f t="shared" si="11"/>
        <v>0</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t="s">
        <v>35</v>
      </c>
      <c r="Y721">
        <v>17</v>
      </c>
      <c r="Z721">
        <v>3</v>
      </c>
      <c r="AA721">
        <v>3</v>
      </c>
      <c r="AB721">
        <v>80</v>
      </c>
      <c r="AC721">
        <v>0</v>
      </c>
      <c r="AD721">
        <v>9</v>
      </c>
      <c r="AE721">
        <v>0</v>
      </c>
      <c r="AF721">
        <v>3</v>
      </c>
      <c r="AG721">
        <v>9</v>
      </c>
      <c r="AH721">
        <v>0</v>
      </c>
      <c r="AI721">
        <v>0</v>
      </c>
      <c r="AJ721">
        <v>7</v>
      </c>
    </row>
    <row r="722" spans="1:36" x14ac:dyDescent="0.3">
      <c r="A722">
        <v>30</v>
      </c>
      <c r="B722" t="s">
        <v>35</v>
      </c>
      <c r="C722" s="6">
        <f t="shared" si="11"/>
        <v>1</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t="s">
        <v>35</v>
      </c>
      <c r="Y722">
        <v>11</v>
      </c>
      <c r="Z722">
        <v>3</v>
      </c>
      <c r="AA722">
        <v>2</v>
      </c>
      <c r="AB722">
        <v>80</v>
      </c>
      <c r="AC722">
        <v>0</v>
      </c>
      <c r="AD722">
        <v>7</v>
      </c>
      <c r="AE722">
        <v>2</v>
      </c>
      <c r="AF722">
        <v>3</v>
      </c>
      <c r="AG722">
        <v>5</v>
      </c>
      <c r="AH722">
        <v>2</v>
      </c>
      <c r="AI722">
        <v>0</v>
      </c>
      <c r="AJ722">
        <v>1</v>
      </c>
    </row>
    <row r="723" spans="1:36" x14ac:dyDescent="0.3">
      <c r="A723">
        <v>50</v>
      </c>
      <c r="B723" t="s">
        <v>43</v>
      </c>
      <c r="C723" s="6">
        <f t="shared" si="11"/>
        <v>0</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t="s">
        <v>35</v>
      </c>
      <c r="Y723">
        <v>18</v>
      </c>
      <c r="Z723">
        <v>3</v>
      </c>
      <c r="AA723">
        <v>4</v>
      </c>
      <c r="AB723">
        <v>80</v>
      </c>
      <c r="AC723">
        <v>1</v>
      </c>
      <c r="AD723">
        <v>22</v>
      </c>
      <c r="AE723">
        <v>2</v>
      </c>
      <c r="AF723">
        <v>3</v>
      </c>
      <c r="AG723">
        <v>12</v>
      </c>
      <c r="AH723">
        <v>11</v>
      </c>
      <c r="AI723">
        <v>1</v>
      </c>
      <c r="AJ723">
        <v>5</v>
      </c>
    </row>
    <row r="724" spans="1:36" x14ac:dyDescent="0.3">
      <c r="A724">
        <v>38</v>
      </c>
      <c r="B724" t="s">
        <v>43</v>
      </c>
      <c r="C724" s="6">
        <f t="shared" si="11"/>
        <v>0</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t="s">
        <v>43</v>
      </c>
      <c r="Y724">
        <v>17</v>
      </c>
      <c r="Z724">
        <v>3</v>
      </c>
      <c r="AA724">
        <v>2</v>
      </c>
      <c r="AB724">
        <v>80</v>
      </c>
      <c r="AC724">
        <v>1</v>
      </c>
      <c r="AD724">
        <v>3</v>
      </c>
      <c r="AE724">
        <v>0</v>
      </c>
      <c r="AF724">
        <v>2</v>
      </c>
      <c r="AG724">
        <v>2</v>
      </c>
      <c r="AH724">
        <v>1</v>
      </c>
      <c r="AI724">
        <v>0</v>
      </c>
      <c r="AJ724">
        <v>2</v>
      </c>
    </row>
    <row r="725" spans="1:36" x14ac:dyDescent="0.3">
      <c r="A725">
        <v>46</v>
      </c>
      <c r="B725" t="s">
        <v>43</v>
      </c>
      <c r="C725" s="6">
        <f t="shared" si="11"/>
        <v>0</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t="s">
        <v>43</v>
      </c>
      <c r="Y725">
        <v>13</v>
      </c>
      <c r="Z725">
        <v>3</v>
      </c>
      <c r="AA725">
        <v>2</v>
      </c>
      <c r="AB725">
        <v>80</v>
      </c>
      <c r="AC725">
        <v>1</v>
      </c>
      <c r="AD725">
        <v>13</v>
      </c>
      <c r="AE725">
        <v>3</v>
      </c>
      <c r="AF725">
        <v>3</v>
      </c>
      <c r="AG725">
        <v>8</v>
      </c>
      <c r="AH725">
        <v>7</v>
      </c>
      <c r="AI725">
        <v>0</v>
      </c>
      <c r="AJ725">
        <v>7</v>
      </c>
    </row>
    <row r="726" spans="1:36" x14ac:dyDescent="0.3">
      <c r="A726">
        <v>24</v>
      </c>
      <c r="B726" t="s">
        <v>43</v>
      </c>
      <c r="C726" s="6">
        <f t="shared" si="11"/>
        <v>0</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t="s">
        <v>43</v>
      </c>
      <c r="Y726">
        <v>15</v>
      </c>
      <c r="Z726">
        <v>3</v>
      </c>
      <c r="AA726">
        <v>2</v>
      </c>
      <c r="AB726">
        <v>80</v>
      </c>
      <c r="AC726">
        <v>2</v>
      </c>
      <c r="AD726">
        <v>5</v>
      </c>
      <c r="AE726">
        <v>6</v>
      </c>
      <c r="AF726">
        <v>3</v>
      </c>
      <c r="AG726">
        <v>4</v>
      </c>
      <c r="AH726">
        <v>2</v>
      </c>
      <c r="AI726">
        <v>3</v>
      </c>
      <c r="AJ726">
        <v>2</v>
      </c>
    </row>
    <row r="727" spans="1:36" x14ac:dyDescent="0.3">
      <c r="A727">
        <v>35</v>
      </c>
      <c r="B727" t="s">
        <v>35</v>
      </c>
      <c r="C727" s="6">
        <f t="shared" si="11"/>
        <v>1</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t="s">
        <v>35</v>
      </c>
      <c r="Y727">
        <v>24</v>
      </c>
      <c r="Z727">
        <v>4</v>
      </c>
      <c r="AA727">
        <v>4</v>
      </c>
      <c r="AB727">
        <v>80</v>
      </c>
      <c r="AC727">
        <v>1</v>
      </c>
      <c r="AD727">
        <v>5</v>
      </c>
      <c r="AE727">
        <v>2</v>
      </c>
      <c r="AF727">
        <v>1</v>
      </c>
      <c r="AG727">
        <v>4</v>
      </c>
      <c r="AH727">
        <v>2</v>
      </c>
      <c r="AI727">
        <v>0</v>
      </c>
      <c r="AJ727">
        <v>2</v>
      </c>
    </row>
    <row r="728" spans="1:36" x14ac:dyDescent="0.3">
      <c r="A728">
        <v>31</v>
      </c>
      <c r="B728" t="s">
        <v>43</v>
      </c>
      <c r="C728" s="6">
        <f t="shared" si="11"/>
        <v>0</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t="s">
        <v>43</v>
      </c>
      <c r="Y728">
        <v>12</v>
      </c>
      <c r="Z728">
        <v>3</v>
      </c>
      <c r="AA728">
        <v>3</v>
      </c>
      <c r="AB728">
        <v>80</v>
      </c>
      <c r="AC728">
        <v>1</v>
      </c>
      <c r="AD728">
        <v>4</v>
      </c>
      <c r="AE728">
        <v>1</v>
      </c>
      <c r="AF728">
        <v>3</v>
      </c>
      <c r="AG728">
        <v>4</v>
      </c>
      <c r="AH728">
        <v>3</v>
      </c>
      <c r="AI728">
        <v>0</v>
      </c>
      <c r="AJ728">
        <v>3</v>
      </c>
    </row>
    <row r="729" spans="1:36" x14ac:dyDescent="0.3">
      <c r="A729">
        <v>18</v>
      </c>
      <c r="B729" t="s">
        <v>43</v>
      </c>
      <c r="C729" s="6">
        <f t="shared" si="11"/>
        <v>0</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t="s">
        <v>43</v>
      </c>
      <c r="Y729">
        <v>15</v>
      </c>
      <c r="Z729">
        <v>3</v>
      </c>
      <c r="AA729">
        <v>4</v>
      </c>
      <c r="AB729">
        <v>80</v>
      </c>
      <c r="AC729">
        <v>0</v>
      </c>
      <c r="AD729">
        <v>0</v>
      </c>
      <c r="AE729">
        <v>2</v>
      </c>
      <c r="AF729">
        <v>3</v>
      </c>
      <c r="AG729">
        <v>0</v>
      </c>
      <c r="AH729">
        <v>0</v>
      </c>
      <c r="AI729">
        <v>0</v>
      </c>
      <c r="AJ729">
        <v>0</v>
      </c>
    </row>
    <row r="730" spans="1:36" x14ac:dyDescent="0.3">
      <c r="A730">
        <v>54</v>
      </c>
      <c r="B730" t="s">
        <v>43</v>
      </c>
      <c r="C730" s="6">
        <f t="shared" si="11"/>
        <v>0</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t="s">
        <v>43</v>
      </c>
      <c r="Y730">
        <v>11</v>
      </c>
      <c r="Z730">
        <v>3</v>
      </c>
      <c r="AA730">
        <v>3</v>
      </c>
      <c r="AB730">
        <v>80</v>
      </c>
      <c r="AC730">
        <v>1</v>
      </c>
      <c r="AD730">
        <v>22</v>
      </c>
      <c r="AE730">
        <v>2</v>
      </c>
      <c r="AF730">
        <v>3</v>
      </c>
      <c r="AG730">
        <v>10</v>
      </c>
      <c r="AH730">
        <v>7</v>
      </c>
      <c r="AI730">
        <v>0</v>
      </c>
      <c r="AJ730">
        <v>8</v>
      </c>
    </row>
    <row r="731" spans="1:36" x14ac:dyDescent="0.3">
      <c r="A731">
        <v>35</v>
      </c>
      <c r="B731" t="s">
        <v>43</v>
      </c>
      <c r="C731" s="6">
        <f t="shared" si="11"/>
        <v>0</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t="s">
        <v>35</v>
      </c>
      <c r="Y731">
        <v>11</v>
      </c>
      <c r="Z731">
        <v>3</v>
      </c>
      <c r="AA731">
        <v>3</v>
      </c>
      <c r="AB731">
        <v>80</v>
      </c>
      <c r="AC731">
        <v>1</v>
      </c>
      <c r="AD731">
        <v>16</v>
      </c>
      <c r="AE731">
        <v>3</v>
      </c>
      <c r="AF731">
        <v>2</v>
      </c>
      <c r="AG731">
        <v>16</v>
      </c>
      <c r="AH731">
        <v>10</v>
      </c>
      <c r="AI731">
        <v>10</v>
      </c>
      <c r="AJ731">
        <v>1</v>
      </c>
    </row>
    <row r="732" spans="1:36" x14ac:dyDescent="0.3">
      <c r="A732">
        <v>30</v>
      </c>
      <c r="B732" t="s">
        <v>43</v>
      </c>
      <c r="C732" s="6">
        <f t="shared" si="11"/>
        <v>0</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t="s">
        <v>35</v>
      </c>
      <c r="Y732">
        <v>12</v>
      </c>
      <c r="Z732">
        <v>3</v>
      </c>
      <c r="AA732">
        <v>3</v>
      </c>
      <c r="AB732">
        <v>80</v>
      </c>
      <c r="AC732">
        <v>3</v>
      </c>
      <c r="AD732">
        <v>9</v>
      </c>
      <c r="AE732">
        <v>4</v>
      </c>
      <c r="AF732">
        <v>2</v>
      </c>
      <c r="AG732">
        <v>8</v>
      </c>
      <c r="AH732">
        <v>7</v>
      </c>
      <c r="AI732">
        <v>1</v>
      </c>
      <c r="AJ732">
        <v>7</v>
      </c>
    </row>
    <row r="733" spans="1:36" x14ac:dyDescent="0.3">
      <c r="A733">
        <v>20</v>
      </c>
      <c r="B733" t="s">
        <v>35</v>
      </c>
      <c r="C733" s="6">
        <f t="shared" si="11"/>
        <v>1</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t="s">
        <v>35</v>
      </c>
      <c r="Y733">
        <v>15</v>
      </c>
      <c r="Z733">
        <v>3</v>
      </c>
      <c r="AA733">
        <v>1</v>
      </c>
      <c r="AB733">
        <v>80</v>
      </c>
      <c r="AC733">
        <v>0</v>
      </c>
      <c r="AD733">
        <v>1</v>
      </c>
      <c r="AE733">
        <v>2</v>
      </c>
      <c r="AF733">
        <v>3</v>
      </c>
      <c r="AG733">
        <v>1</v>
      </c>
      <c r="AH733">
        <v>0</v>
      </c>
      <c r="AI733">
        <v>0</v>
      </c>
      <c r="AJ733">
        <v>0</v>
      </c>
    </row>
    <row r="734" spans="1:36" x14ac:dyDescent="0.3">
      <c r="A734">
        <v>30</v>
      </c>
      <c r="B734" t="s">
        <v>35</v>
      </c>
      <c r="C734" s="6">
        <f t="shared" si="11"/>
        <v>1</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t="s">
        <v>43</v>
      </c>
      <c r="Y734">
        <v>17</v>
      </c>
      <c r="Z734">
        <v>3</v>
      </c>
      <c r="AA734">
        <v>1</v>
      </c>
      <c r="AB734">
        <v>80</v>
      </c>
      <c r="AC734">
        <v>0</v>
      </c>
      <c r="AD734">
        <v>4</v>
      </c>
      <c r="AE734">
        <v>3</v>
      </c>
      <c r="AF734">
        <v>3</v>
      </c>
      <c r="AG734">
        <v>3</v>
      </c>
      <c r="AH734">
        <v>2</v>
      </c>
      <c r="AI734">
        <v>1</v>
      </c>
      <c r="AJ734">
        <v>2</v>
      </c>
    </row>
    <row r="735" spans="1:36" x14ac:dyDescent="0.3">
      <c r="A735">
        <v>26</v>
      </c>
      <c r="B735" t="s">
        <v>43</v>
      </c>
      <c r="C735" s="6">
        <f t="shared" si="11"/>
        <v>0</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t="s">
        <v>43</v>
      </c>
      <c r="Y735">
        <v>12</v>
      </c>
      <c r="Z735">
        <v>3</v>
      </c>
      <c r="AA735">
        <v>2</v>
      </c>
      <c r="AB735">
        <v>80</v>
      </c>
      <c r="AC735">
        <v>0</v>
      </c>
      <c r="AD735">
        <v>8</v>
      </c>
      <c r="AE735">
        <v>2</v>
      </c>
      <c r="AF735">
        <v>3</v>
      </c>
      <c r="AG735">
        <v>8</v>
      </c>
      <c r="AH735">
        <v>7</v>
      </c>
      <c r="AI735">
        <v>1</v>
      </c>
      <c r="AJ735">
        <v>3</v>
      </c>
    </row>
    <row r="736" spans="1:36" x14ac:dyDescent="0.3">
      <c r="A736">
        <v>22</v>
      </c>
      <c r="B736" t="s">
        <v>43</v>
      </c>
      <c r="C736" s="6">
        <f t="shared" si="11"/>
        <v>0</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t="s">
        <v>43</v>
      </c>
      <c r="Y736">
        <v>15</v>
      </c>
      <c r="Z736">
        <v>3</v>
      </c>
      <c r="AA736">
        <v>1</v>
      </c>
      <c r="AB736">
        <v>80</v>
      </c>
      <c r="AC736">
        <v>1</v>
      </c>
      <c r="AD736">
        <v>4</v>
      </c>
      <c r="AE736">
        <v>3</v>
      </c>
      <c r="AF736">
        <v>2</v>
      </c>
      <c r="AG736">
        <v>4</v>
      </c>
      <c r="AH736">
        <v>3</v>
      </c>
      <c r="AI736">
        <v>1</v>
      </c>
      <c r="AJ736">
        <v>1</v>
      </c>
    </row>
    <row r="737" spans="1:36" x14ac:dyDescent="0.3">
      <c r="A737">
        <v>48</v>
      </c>
      <c r="B737" t="s">
        <v>43</v>
      </c>
      <c r="C737" s="6">
        <f t="shared" si="11"/>
        <v>0</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t="s">
        <v>43</v>
      </c>
      <c r="Y737">
        <v>13</v>
      </c>
      <c r="Z737">
        <v>3</v>
      </c>
      <c r="AA737">
        <v>4</v>
      </c>
      <c r="AB737">
        <v>80</v>
      </c>
      <c r="AC737">
        <v>0</v>
      </c>
      <c r="AD737">
        <v>19</v>
      </c>
      <c r="AE737">
        <v>0</v>
      </c>
      <c r="AF737">
        <v>3</v>
      </c>
      <c r="AG737">
        <v>2</v>
      </c>
      <c r="AH737">
        <v>2</v>
      </c>
      <c r="AI737">
        <v>2</v>
      </c>
      <c r="AJ737">
        <v>2</v>
      </c>
    </row>
    <row r="738" spans="1:36" x14ac:dyDescent="0.3">
      <c r="A738">
        <v>48</v>
      </c>
      <c r="B738" t="s">
        <v>43</v>
      </c>
      <c r="C738" s="6">
        <f t="shared" si="11"/>
        <v>0</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t="s">
        <v>43</v>
      </c>
      <c r="Y738">
        <v>14</v>
      </c>
      <c r="Z738">
        <v>3</v>
      </c>
      <c r="AA738">
        <v>2</v>
      </c>
      <c r="AB738">
        <v>80</v>
      </c>
      <c r="AC738">
        <v>0</v>
      </c>
      <c r="AD738">
        <v>27</v>
      </c>
      <c r="AE738">
        <v>3</v>
      </c>
      <c r="AF738">
        <v>3</v>
      </c>
      <c r="AG738">
        <v>15</v>
      </c>
      <c r="AH738">
        <v>11</v>
      </c>
      <c r="AI738">
        <v>4</v>
      </c>
      <c r="AJ738">
        <v>8</v>
      </c>
    </row>
    <row r="739" spans="1:36" x14ac:dyDescent="0.3">
      <c r="A739">
        <v>41</v>
      </c>
      <c r="B739" t="s">
        <v>43</v>
      </c>
      <c r="C739" s="6">
        <f t="shared" si="11"/>
        <v>0</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t="s">
        <v>43</v>
      </c>
      <c r="Y739">
        <v>14</v>
      </c>
      <c r="Z739">
        <v>3</v>
      </c>
      <c r="AA739">
        <v>2</v>
      </c>
      <c r="AB739">
        <v>80</v>
      </c>
      <c r="AC739">
        <v>0</v>
      </c>
      <c r="AD739">
        <v>8</v>
      </c>
      <c r="AE739">
        <v>6</v>
      </c>
      <c r="AF739">
        <v>3</v>
      </c>
      <c r="AG739">
        <v>2</v>
      </c>
      <c r="AH739">
        <v>2</v>
      </c>
      <c r="AI739">
        <v>2</v>
      </c>
      <c r="AJ739">
        <v>1</v>
      </c>
    </row>
    <row r="740" spans="1:36" x14ac:dyDescent="0.3">
      <c r="A740">
        <v>39</v>
      </c>
      <c r="B740" t="s">
        <v>43</v>
      </c>
      <c r="C740" s="6">
        <f t="shared" si="11"/>
        <v>0</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t="s">
        <v>43</v>
      </c>
      <c r="Y740">
        <v>16</v>
      </c>
      <c r="Z740">
        <v>3</v>
      </c>
      <c r="AA740">
        <v>3</v>
      </c>
      <c r="AB740">
        <v>80</v>
      </c>
      <c r="AC740">
        <v>1</v>
      </c>
      <c r="AD740">
        <v>21</v>
      </c>
      <c r="AE740">
        <v>3</v>
      </c>
      <c r="AF740">
        <v>3</v>
      </c>
      <c r="AG740">
        <v>21</v>
      </c>
      <c r="AH740">
        <v>6</v>
      </c>
      <c r="AI740">
        <v>11</v>
      </c>
      <c r="AJ740">
        <v>8</v>
      </c>
    </row>
    <row r="741" spans="1:36" x14ac:dyDescent="0.3">
      <c r="A741">
        <v>27</v>
      </c>
      <c r="B741" t="s">
        <v>43</v>
      </c>
      <c r="C741" s="6">
        <f t="shared" si="11"/>
        <v>0</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t="s">
        <v>43</v>
      </c>
      <c r="Y741">
        <v>18</v>
      </c>
      <c r="Z741">
        <v>3</v>
      </c>
      <c r="AA741">
        <v>2</v>
      </c>
      <c r="AB741">
        <v>80</v>
      </c>
      <c r="AC741">
        <v>1</v>
      </c>
      <c r="AD741">
        <v>4</v>
      </c>
      <c r="AE741">
        <v>2</v>
      </c>
      <c r="AF741">
        <v>3</v>
      </c>
      <c r="AG741">
        <v>3</v>
      </c>
      <c r="AH741">
        <v>2</v>
      </c>
      <c r="AI741">
        <v>2</v>
      </c>
      <c r="AJ741">
        <v>2</v>
      </c>
    </row>
    <row r="742" spans="1:36" x14ac:dyDescent="0.3">
      <c r="A742">
        <v>35</v>
      </c>
      <c r="B742" t="s">
        <v>43</v>
      </c>
      <c r="C742" s="6">
        <f t="shared" si="11"/>
        <v>0</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t="s">
        <v>43</v>
      </c>
      <c r="Y742">
        <v>20</v>
      </c>
      <c r="Z742">
        <v>4</v>
      </c>
      <c r="AA742">
        <v>1</v>
      </c>
      <c r="AB742">
        <v>80</v>
      </c>
      <c r="AC742">
        <v>1</v>
      </c>
      <c r="AD742">
        <v>3</v>
      </c>
      <c r="AE742">
        <v>4</v>
      </c>
      <c r="AF742">
        <v>2</v>
      </c>
      <c r="AG742">
        <v>3</v>
      </c>
      <c r="AH742">
        <v>2</v>
      </c>
      <c r="AI742">
        <v>1</v>
      </c>
      <c r="AJ742">
        <v>2</v>
      </c>
    </row>
    <row r="743" spans="1:36" x14ac:dyDescent="0.3">
      <c r="A743">
        <v>42</v>
      </c>
      <c r="B743" t="s">
        <v>43</v>
      </c>
      <c r="C743" s="6">
        <f t="shared" si="11"/>
        <v>0</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t="s">
        <v>43</v>
      </c>
      <c r="Y743">
        <v>13</v>
      </c>
      <c r="Z743">
        <v>3</v>
      </c>
      <c r="AA743">
        <v>2</v>
      </c>
      <c r="AB743">
        <v>80</v>
      </c>
      <c r="AC743">
        <v>0</v>
      </c>
      <c r="AD743">
        <v>21</v>
      </c>
      <c r="AE743">
        <v>3</v>
      </c>
      <c r="AF743">
        <v>4</v>
      </c>
      <c r="AG743">
        <v>1</v>
      </c>
      <c r="AH743">
        <v>0</v>
      </c>
      <c r="AI743">
        <v>0</v>
      </c>
      <c r="AJ743">
        <v>0</v>
      </c>
    </row>
    <row r="744" spans="1:36" x14ac:dyDescent="0.3">
      <c r="A744">
        <v>50</v>
      </c>
      <c r="B744" t="s">
        <v>43</v>
      </c>
      <c r="C744" s="6">
        <f t="shared" si="11"/>
        <v>0</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t="s">
        <v>43</v>
      </c>
      <c r="Y744">
        <v>18</v>
      </c>
      <c r="Z744">
        <v>3</v>
      </c>
      <c r="AA744">
        <v>2</v>
      </c>
      <c r="AB744">
        <v>80</v>
      </c>
      <c r="AC744">
        <v>0</v>
      </c>
      <c r="AD744">
        <v>8</v>
      </c>
      <c r="AE744">
        <v>5</v>
      </c>
      <c r="AF744">
        <v>3</v>
      </c>
      <c r="AG744">
        <v>1</v>
      </c>
      <c r="AH744">
        <v>0</v>
      </c>
      <c r="AI744">
        <v>0</v>
      </c>
      <c r="AJ744">
        <v>0</v>
      </c>
    </row>
    <row r="745" spans="1:36" x14ac:dyDescent="0.3">
      <c r="A745">
        <v>59</v>
      </c>
      <c r="B745" t="s">
        <v>43</v>
      </c>
      <c r="C745" s="6">
        <f t="shared" si="11"/>
        <v>0</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t="s">
        <v>35</v>
      </c>
      <c r="Y745">
        <v>13</v>
      </c>
      <c r="Z745">
        <v>3</v>
      </c>
      <c r="AA745">
        <v>1</v>
      </c>
      <c r="AB745">
        <v>80</v>
      </c>
      <c r="AC745">
        <v>0</v>
      </c>
      <c r="AD745">
        <v>30</v>
      </c>
      <c r="AE745">
        <v>4</v>
      </c>
      <c r="AF745">
        <v>3</v>
      </c>
      <c r="AG745">
        <v>5</v>
      </c>
      <c r="AH745">
        <v>3</v>
      </c>
      <c r="AI745">
        <v>4</v>
      </c>
      <c r="AJ745">
        <v>3</v>
      </c>
    </row>
    <row r="746" spans="1:36" x14ac:dyDescent="0.3">
      <c r="A746">
        <v>37</v>
      </c>
      <c r="B746" t="s">
        <v>35</v>
      </c>
      <c r="C746" s="6">
        <f t="shared" si="11"/>
        <v>1</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t="s">
        <v>43</v>
      </c>
      <c r="Y746">
        <v>15</v>
      </c>
      <c r="Z746">
        <v>3</v>
      </c>
      <c r="AA746">
        <v>1</v>
      </c>
      <c r="AB746">
        <v>80</v>
      </c>
      <c r="AC746">
        <v>0</v>
      </c>
      <c r="AD746">
        <v>15</v>
      </c>
      <c r="AE746">
        <v>2</v>
      </c>
      <c r="AF746">
        <v>1</v>
      </c>
      <c r="AG746">
        <v>1</v>
      </c>
      <c r="AH746">
        <v>0</v>
      </c>
      <c r="AI746">
        <v>0</v>
      </c>
      <c r="AJ746">
        <v>0</v>
      </c>
    </row>
    <row r="747" spans="1:36" x14ac:dyDescent="0.3">
      <c r="A747">
        <v>55</v>
      </c>
      <c r="B747" t="s">
        <v>43</v>
      </c>
      <c r="C747" s="6">
        <f t="shared" si="11"/>
        <v>0</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t="s">
        <v>35</v>
      </c>
      <c r="Y747">
        <v>14</v>
      </c>
      <c r="Z747">
        <v>3</v>
      </c>
      <c r="AA747">
        <v>4</v>
      </c>
      <c r="AB747">
        <v>80</v>
      </c>
      <c r="AC747">
        <v>2</v>
      </c>
      <c r="AD747">
        <v>17</v>
      </c>
      <c r="AE747">
        <v>3</v>
      </c>
      <c r="AF747">
        <v>3</v>
      </c>
      <c r="AG747">
        <v>8</v>
      </c>
      <c r="AH747">
        <v>7</v>
      </c>
      <c r="AI747">
        <v>6</v>
      </c>
      <c r="AJ747">
        <v>7</v>
      </c>
    </row>
    <row r="748" spans="1:36" x14ac:dyDescent="0.3">
      <c r="A748">
        <v>41</v>
      </c>
      <c r="B748" t="s">
        <v>43</v>
      </c>
      <c r="C748" s="6">
        <f t="shared" si="11"/>
        <v>0</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t="s">
        <v>43</v>
      </c>
      <c r="Y748">
        <v>22</v>
      </c>
      <c r="Z748">
        <v>4</v>
      </c>
      <c r="AA748">
        <v>2</v>
      </c>
      <c r="AB748">
        <v>80</v>
      </c>
      <c r="AC748">
        <v>2</v>
      </c>
      <c r="AD748">
        <v>21</v>
      </c>
      <c r="AE748">
        <v>3</v>
      </c>
      <c r="AF748">
        <v>3</v>
      </c>
      <c r="AG748">
        <v>21</v>
      </c>
      <c r="AH748">
        <v>16</v>
      </c>
      <c r="AI748">
        <v>5</v>
      </c>
      <c r="AJ748">
        <v>10</v>
      </c>
    </row>
    <row r="749" spans="1:36" x14ac:dyDescent="0.3">
      <c r="A749">
        <v>38</v>
      </c>
      <c r="B749" t="s">
        <v>43</v>
      </c>
      <c r="C749" s="6">
        <f t="shared" si="11"/>
        <v>0</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t="s">
        <v>35</v>
      </c>
      <c r="Y749">
        <v>12</v>
      </c>
      <c r="Z749">
        <v>3</v>
      </c>
      <c r="AA749">
        <v>3</v>
      </c>
      <c r="AB749">
        <v>80</v>
      </c>
      <c r="AC749">
        <v>0</v>
      </c>
      <c r="AD749">
        <v>19</v>
      </c>
      <c r="AE749">
        <v>1</v>
      </c>
      <c r="AF749">
        <v>3</v>
      </c>
      <c r="AG749">
        <v>1</v>
      </c>
      <c r="AH749">
        <v>0</v>
      </c>
      <c r="AI749">
        <v>0</v>
      </c>
      <c r="AJ749">
        <v>0</v>
      </c>
    </row>
    <row r="750" spans="1:36" x14ac:dyDescent="0.3">
      <c r="A750">
        <v>26</v>
      </c>
      <c r="B750" t="s">
        <v>35</v>
      </c>
      <c r="C750" s="6">
        <f t="shared" si="11"/>
        <v>1</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t="s">
        <v>43</v>
      </c>
      <c r="Y750">
        <v>18</v>
      </c>
      <c r="Z750">
        <v>3</v>
      </c>
      <c r="AA750">
        <v>4</v>
      </c>
      <c r="AB750">
        <v>80</v>
      </c>
      <c r="AC750">
        <v>0</v>
      </c>
      <c r="AD750">
        <v>7</v>
      </c>
      <c r="AE750">
        <v>6</v>
      </c>
      <c r="AF750">
        <v>3</v>
      </c>
      <c r="AG750">
        <v>2</v>
      </c>
      <c r="AH750">
        <v>2</v>
      </c>
      <c r="AI750">
        <v>2</v>
      </c>
      <c r="AJ750">
        <v>2</v>
      </c>
    </row>
    <row r="751" spans="1:36" x14ac:dyDescent="0.3">
      <c r="A751">
        <v>52</v>
      </c>
      <c r="B751" t="s">
        <v>35</v>
      </c>
      <c r="C751" s="6">
        <f t="shared" si="11"/>
        <v>1</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t="s">
        <v>43</v>
      </c>
      <c r="Y751">
        <v>15</v>
      </c>
      <c r="Z751">
        <v>3</v>
      </c>
      <c r="AA751">
        <v>4</v>
      </c>
      <c r="AB751">
        <v>80</v>
      </c>
      <c r="AC751">
        <v>1</v>
      </c>
      <c r="AD751">
        <v>33</v>
      </c>
      <c r="AE751">
        <v>3</v>
      </c>
      <c r="AF751">
        <v>3</v>
      </c>
      <c r="AG751">
        <v>32</v>
      </c>
      <c r="AH751">
        <v>14</v>
      </c>
      <c r="AI751">
        <v>6</v>
      </c>
      <c r="AJ751">
        <v>9</v>
      </c>
    </row>
    <row r="752" spans="1:36" x14ac:dyDescent="0.3">
      <c r="A752">
        <v>44</v>
      </c>
      <c r="B752" t="s">
        <v>43</v>
      </c>
      <c r="C752" s="6">
        <f t="shared" si="11"/>
        <v>0</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t="s">
        <v>35</v>
      </c>
      <c r="Y752">
        <v>18</v>
      </c>
      <c r="Z752">
        <v>3</v>
      </c>
      <c r="AA752">
        <v>3</v>
      </c>
      <c r="AB752">
        <v>80</v>
      </c>
      <c r="AC752">
        <v>1</v>
      </c>
      <c r="AD752">
        <v>23</v>
      </c>
      <c r="AE752">
        <v>2</v>
      </c>
      <c r="AF752">
        <v>3</v>
      </c>
      <c r="AG752">
        <v>12</v>
      </c>
      <c r="AH752">
        <v>11</v>
      </c>
      <c r="AI752">
        <v>11</v>
      </c>
      <c r="AJ752">
        <v>11</v>
      </c>
    </row>
    <row r="753" spans="1:36" x14ac:dyDescent="0.3">
      <c r="A753">
        <v>50</v>
      </c>
      <c r="B753" t="s">
        <v>43</v>
      </c>
      <c r="C753" s="6">
        <f t="shared" si="11"/>
        <v>0</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t="s">
        <v>43</v>
      </c>
      <c r="Y753">
        <v>12</v>
      </c>
      <c r="Z753">
        <v>3</v>
      </c>
      <c r="AA753">
        <v>1</v>
      </c>
      <c r="AB753">
        <v>80</v>
      </c>
      <c r="AC753">
        <v>1</v>
      </c>
      <c r="AD753">
        <v>19</v>
      </c>
      <c r="AE753">
        <v>3</v>
      </c>
      <c r="AF753">
        <v>3</v>
      </c>
      <c r="AG753">
        <v>18</v>
      </c>
      <c r="AH753">
        <v>7</v>
      </c>
      <c r="AI753">
        <v>0</v>
      </c>
      <c r="AJ753">
        <v>13</v>
      </c>
    </row>
    <row r="754" spans="1:36" x14ac:dyDescent="0.3">
      <c r="A754">
        <v>36</v>
      </c>
      <c r="B754" t="s">
        <v>35</v>
      </c>
      <c r="C754" s="6">
        <f t="shared" si="11"/>
        <v>1</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t="s">
        <v>43</v>
      </c>
      <c r="Y754">
        <v>16</v>
      </c>
      <c r="Z754">
        <v>3</v>
      </c>
      <c r="AA754">
        <v>3</v>
      </c>
      <c r="AB754">
        <v>80</v>
      </c>
      <c r="AC754">
        <v>0</v>
      </c>
      <c r="AD754">
        <v>18</v>
      </c>
      <c r="AE754">
        <v>1</v>
      </c>
      <c r="AF754">
        <v>3</v>
      </c>
      <c r="AG754">
        <v>17</v>
      </c>
      <c r="AH754">
        <v>13</v>
      </c>
      <c r="AI754">
        <v>15</v>
      </c>
      <c r="AJ754">
        <v>14</v>
      </c>
    </row>
    <row r="755" spans="1:36" x14ac:dyDescent="0.3">
      <c r="A755">
        <v>39</v>
      </c>
      <c r="B755" t="s">
        <v>43</v>
      </c>
      <c r="C755" s="6">
        <f t="shared" si="11"/>
        <v>0</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t="s">
        <v>35</v>
      </c>
      <c r="Y755">
        <v>13</v>
      </c>
      <c r="Z755">
        <v>3</v>
      </c>
      <c r="AA755">
        <v>3</v>
      </c>
      <c r="AB755">
        <v>80</v>
      </c>
      <c r="AC755">
        <v>0</v>
      </c>
      <c r="AD755">
        <v>21</v>
      </c>
      <c r="AE755">
        <v>2</v>
      </c>
      <c r="AF755">
        <v>3</v>
      </c>
      <c r="AG755">
        <v>21</v>
      </c>
      <c r="AH755">
        <v>6</v>
      </c>
      <c r="AI755">
        <v>2</v>
      </c>
      <c r="AJ755">
        <v>8</v>
      </c>
    </row>
    <row r="756" spans="1:36" x14ac:dyDescent="0.3">
      <c r="A756">
        <v>33</v>
      </c>
      <c r="B756" t="s">
        <v>43</v>
      </c>
      <c r="C756" s="6">
        <f t="shared" si="11"/>
        <v>0</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t="s">
        <v>43</v>
      </c>
      <c r="Y756">
        <v>19</v>
      </c>
      <c r="Z756">
        <v>3</v>
      </c>
      <c r="AA756">
        <v>4</v>
      </c>
      <c r="AB756">
        <v>80</v>
      </c>
      <c r="AC756">
        <v>0</v>
      </c>
      <c r="AD756">
        <v>3</v>
      </c>
      <c r="AE756">
        <v>2</v>
      </c>
      <c r="AF756">
        <v>2</v>
      </c>
      <c r="AG756">
        <v>2</v>
      </c>
      <c r="AH756">
        <v>2</v>
      </c>
      <c r="AI756">
        <v>2</v>
      </c>
      <c r="AJ756">
        <v>2</v>
      </c>
    </row>
    <row r="757" spans="1:36" x14ac:dyDescent="0.3">
      <c r="A757">
        <v>45</v>
      </c>
      <c r="B757" t="s">
        <v>43</v>
      </c>
      <c r="C757" s="6">
        <f t="shared" si="11"/>
        <v>0</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t="s">
        <v>43</v>
      </c>
      <c r="Y757">
        <v>13</v>
      </c>
      <c r="Z757">
        <v>3</v>
      </c>
      <c r="AA757">
        <v>2</v>
      </c>
      <c r="AB757">
        <v>80</v>
      </c>
      <c r="AC757">
        <v>1</v>
      </c>
      <c r="AD757">
        <v>26</v>
      </c>
      <c r="AE757">
        <v>4</v>
      </c>
      <c r="AF757">
        <v>4</v>
      </c>
      <c r="AG757">
        <v>9</v>
      </c>
      <c r="AH757">
        <v>3</v>
      </c>
      <c r="AI757">
        <v>1</v>
      </c>
      <c r="AJ757">
        <v>1</v>
      </c>
    </row>
    <row r="758" spans="1:36" x14ac:dyDescent="0.3">
      <c r="A758">
        <v>32</v>
      </c>
      <c r="B758" t="s">
        <v>43</v>
      </c>
      <c r="C758" s="6">
        <f t="shared" si="11"/>
        <v>0</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t="s">
        <v>43</v>
      </c>
      <c r="Y758">
        <v>12</v>
      </c>
      <c r="Z758">
        <v>3</v>
      </c>
      <c r="AA758">
        <v>2</v>
      </c>
      <c r="AB758">
        <v>80</v>
      </c>
      <c r="AC758">
        <v>0</v>
      </c>
      <c r="AD758">
        <v>10</v>
      </c>
      <c r="AE758">
        <v>2</v>
      </c>
      <c r="AF758">
        <v>3</v>
      </c>
      <c r="AG758">
        <v>8</v>
      </c>
      <c r="AH758">
        <v>7</v>
      </c>
      <c r="AI758">
        <v>7</v>
      </c>
      <c r="AJ758">
        <v>7</v>
      </c>
    </row>
    <row r="759" spans="1:36" x14ac:dyDescent="0.3">
      <c r="A759">
        <v>34</v>
      </c>
      <c r="B759" t="s">
        <v>43</v>
      </c>
      <c r="C759" s="6">
        <f t="shared" si="11"/>
        <v>0</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t="s">
        <v>43</v>
      </c>
      <c r="Y759">
        <v>11</v>
      </c>
      <c r="Z759">
        <v>3</v>
      </c>
      <c r="AA759">
        <v>4</v>
      </c>
      <c r="AB759">
        <v>80</v>
      </c>
      <c r="AC759">
        <v>1</v>
      </c>
      <c r="AD759">
        <v>16</v>
      </c>
      <c r="AE759">
        <v>2</v>
      </c>
      <c r="AF759">
        <v>2</v>
      </c>
      <c r="AG759">
        <v>15</v>
      </c>
      <c r="AH759">
        <v>1</v>
      </c>
      <c r="AI759">
        <v>0</v>
      </c>
      <c r="AJ759">
        <v>9</v>
      </c>
    </row>
    <row r="760" spans="1:36" x14ac:dyDescent="0.3">
      <c r="A760">
        <v>59</v>
      </c>
      <c r="B760" t="s">
        <v>43</v>
      </c>
      <c r="C760" s="6">
        <f t="shared" si="11"/>
        <v>0</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t="s">
        <v>35</v>
      </c>
      <c r="Y760">
        <v>14</v>
      </c>
      <c r="Z760">
        <v>3</v>
      </c>
      <c r="AA760">
        <v>3</v>
      </c>
      <c r="AB760">
        <v>80</v>
      </c>
      <c r="AC760">
        <v>1</v>
      </c>
      <c r="AD760">
        <v>14</v>
      </c>
      <c r="AE760">
        <v>1</v>
      </c>
      <c r="AF760">
        <v>1</v>
      </c>
      <c r="AG760">
        <v>6</v>
      </c>
      <c r="AH760">
        <v>4</v>
      </c>
      <c r="AI760">
        <v>0</v>
      </c>
      <c r="AJ760">
        <v>4</v>
      </c>
    </row>
    <row r="761" spans="1:36" x14ac:dyDescent="0.3">
      <c r="A761">
        <v>45</v>
      </c>
      <c r="B761" t="s">
        <v>43</v>
      </c>
      <c r="C761" s="6">
        <f t="shared" si="11"/>
        <v>0</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t="s">
        <v>43</v>
      </c>
      <c r="Y761">
        <v>16</v>
      </c>
      <c r="Z761">
        <v>3</v>
      </c>
      <c r="AA761">
        <v>1</v>
      </c>
      <c r="AB761">
        <v>80</v>
      </c>
      <c r="AC761">
        <v>0</v>
      </c>
      <c r="AD761">
        <v>6</v>
      </c>
      <c r="AE761">
        <v>3</v>
      </c>
      <c r="AF761">
        <v>3</v>
      </c>
      <c r="AG761">
        <v>6</v>
      </c>
      <c r="AH761">
        <v>3</v>
      </c>
      <c r="AI761">
        <v>0</v>
      </c>
      <c r="AJ761">
        <v>4</v>
      </c>
    </row>
    <row r="762" spans="1:36" x14ac:dyDescent="0.3">
      <c r="A762">
        <v>53</v>
      </c>
      <c r="B762" t="s">
        <v>43</v>
      </c>
      <c r="C762" s="6">
        <f t="shared" si="11"/>
        <v>0</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t="s">
        <v>43</v>
      </c>
      <c r="Y762">
        <v>12</v>
      </c>
      <c r="Z762">
        <v>3</v>
      </c>
      <c r="AA762">
        <v>1</v>
      </c>
      <c r="AB762">
        <v>80</v>
      </c>
      <c r="AC762">
        <v>1</v>
      </c>
      <c r="AD762">
        <v>30</v>
      </c>
      <c r="AE762">
        <v>2</v>
      </c>
      <c r="AF762">
        <v>3</v>
      </c>
      <c r="AG762">
        <v>15</v>
      </c>
      <c r="AH762">
        <v>7</v>
      </c>
      <c r="AI762">
        <v>6</v>
      </c>
      <c r="AJ762">
        <v>12</v>
      </c>
    </row>
    <row r="763" spans="1:36" x14ac:dyDescent="0.3">
      <c r="A763">
        <v>36</v>
      </c>
      <c r="B763" t="s">
        <v>35</v>
      </c>
      <c r="C763" s="6">
        <f t="shared" si="11"/>
        <v>1</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t="s">
        <v>43</v>
      </c>
      <c r="Y763">
        <v>14</v>
      </c>
      <c r="Z763">
        <v>3</v>
      </c>
      <c r="AA763">
        <v>2</v>
      </c>
      <c r="AB763">
        <v>80</v>
      </c>
      <c r="AC763">
        <v>1</v>
      </c>
      <c r="AD763">
        <v>9</v>
      </c>
      <c r="AE763">
        <v>3</v>
      </c>
      <c r="AF763">
        <v>2</v>
      </c>
      <c r="AG763">
        <v>1</v>
      </c>
      <c r="AH763">
        <v>0</v>
      </c>
      <c r="AI763">
        <v>0</v>
      </c>
      <c r="AJ763">
        <v>0</v>
      </c>
    </row>
    <row r="764" spans="1:36" x14ac:dyDescent="0.3">
      <c r="A764">
        <v>26</v>
      </c>
      <c r="B764" t="s">
        <v>35</v>
      </c>
      <c r="C764" s="6">
        <f t="shared" si="11"/>
        <v>1</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t="s">
        <v>35</v>
      </c>
      <c r="Y764">
        <v>14</v>
      </c>
      <c r="Z764">
        <v>3</v>
      </c>
      <c r="AA764">
        <v>2</v>
      </c>
      <c r="AB764">
        <v>80</v>
      </c>
      <c r="AC764">
        <v>1</v>
      </c>
      <c r="AD764">
        <v>6</v>
      </c>
      <c r="AE764">
        <v>2</v>
      </c>
      <c r="AF764">
        <v>3</v>
      </c>
      <c r="AG764">
        <v>3</v>
      </c>
      <c r="AH764">
        <v>2</v>
      </c>
      <c r="AI764">
        <v>1</v>
      </c>
      <c r="AJ764">
        <v>2</v>
      </c>
    </row>
    <row r="765" spans="1:36" x14ac:dyDescent="0.3">
      <c r="A765">
        <v>34</v>
      </c>
      <c r="B765" t="s">
        <v>43</v>
      </c>
      <c r="C765" s="6">
        <f t="shared" si="11"/>
        <v>0</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t="s">
        <v>35</v>
      </c>
      <c r="Y765">
        <v>19</v>
      </c>
      <c r="Z765">
        <v>3</v>
      </c>
      <c r="AA765">
        <v>4</v>
      </c>
      <c r="AB765">
        <v>80</v>
      </c>
      <c r="AC765">
        <v>1</v>
      </c>
      <c r="AD765">
        <v>1</v>
      </c>
      <c r="AE765">
        <v>2</v>
      </c>
      <c r="AF765">
        <v>3</v>
      </c>
      <c r="AG765">
        <v>1</v>
      </c>
      <c r="AH765">
        <v>1</v>
      </c>
      <c r="AI765">
        <v>0</v>
      </c>
      <c r="AJ765">
        <v>0</v>
      </c>
    </row>
    <row r="766" spans="1:36" x14ac:dyDescent="0.3">
      <c r="A766">
        <v>28</v>
      </c>
      <c r="B766" t="s">
        <v>43</v>
      </c>
      <c r="C766" s="6">
        <f t="shared" si="11"/>
        <v>0</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t="s">
        <v>43</v>
      </c>
      <c r="Y766">
        <v>22</v>
      </c>
      <c r="Z766">
        <v>4</v>
      </c>
      <c r="AA766">
        <v>2</v>
      </c>
      <c r="AB766">
        <v>80</v>
      </c>
      <c r="AC766">
        <v>0</v>
      </c>
      <c r="AD766">
        <v>1</v>
      </c>
      <c r="AE766">
        <v>5</v>
      </c>
      <c r="AF766">
        <v>3</v>
      </c>
      <c r="AG766">
        <v>1</v>
      </c>
      <c r="AH766">
        <v>0</v>
      </c>
      <c r="AI766">
        <v>0</v>
      </c>
      <c r="AJ766">
        <v>0</v>
      </c>
    </row>
    <row r="767" spans="1:36" x14ac:dyDescent="0.3">
      <c r="A767">
        <v>38</v>
      </c>
      <c r="B767" t="s">
        <v>43</v>
      </c>
      <c r="C767" s="6">
        <f t="shared" si="11"/>
        <v>0</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t="s">
        <v>43</v>
      </c>
      <c r="Y767">
        <v>16</v>
      </c>
      <c r="Z767">
        <v>3</v>
      </c>
      <c r="AA767">
        <v>1</v>
      </c>
      <c r="AB767">
        <v>80</v>
      </c>
      <c r="AC767">
        <v>1</v>
      </c>
      <c r="AD767">
        <v>8</v>
      </c>
      <c r="AE767">
        <v>2</v>
      </c>
      <c r="AF767">
        <v>3</v>
      </c>
      <c r="AG767">
        <v>2</v>
      </c>
      <c r="AH767">
        <v>2</v>
      </c>
      <c r="AI767">
        <v>2</v>
      </c>
      <c r="AJ767">
        <v>2</v>
      </c>
    </row>
    <row r="768" spans="1:36" x14ac:dyDescent="0.3">
      <c r="A768">
        <v>50</v>
      </c>
      <c r="B768" t="s">
        <v>43</v>
      </c>
      <c r="C768" s="6">
        <f t="shared" si="11"/>
        <v>0</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t="s">
        <v>35</v>
      </c>
      <c r="Y768">
        <v>11</v>
      </c>
      <c r="Z768">
        <v>3</v>
      </c>
      <c r="AA768">
        <v>4</v>
      </c>
      <c r="AB768">
        <v>80</v>
      </c>
      <c r="AC768">
        <v>1</v>
      </c>
      <c r="AD768">
        <v>29</v>
      </c>
      <c r="AE768">
        <v>2</v>
      </c>
      <c r="AF768">
        <v>2</v>
      </c>
      <c r="AG768">
        <v>8</v>
      </c>
      <c r="AH768">
        <v>1</v>
      </c>
      <c r="AI768">
        <v>7</v>
      </c>
      <c r="AJ768">
        <v>7</v>
      </c>
    </row>
    <row r="769" spans="1:36" x14ac:dyDescent="0.3">
      <c r="A769">
        <v>37</v>
      </c>
      <c r="B769" t="s">
        <v>43</v>
      </c>
      <c r="C769" s="6">
        <f t="shared" si="11"/>
        <v>0</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t="s">
        <v>43</v>
      </c>
      <c r="Y769">
        <v>15</v>
      </c>
      <c r="Z769">
        <v>3</v>
      </c>
      <c r="AA769">
        <v>1</v>
      </c>
      <c r="AB769">
        <v>80</v>
      </c>
      <c r="AC769">
        <v>0</v>
      </c>
      <c r="AD769">
        <v>8</v>
      </c>
      <c r="AE769">
        <v>3</v>
      </c>
      <c r="AF769">
        <v>2</v>
      </c>
      <c r="AG769">
        <v>4</v>
      </c>
      <c r="AH769">
        <v>3</v>
      </c>
      <c r="AI769">
        <v>0</v>
      </c>
      <c r="AJ769">
        <v>1</v>
      </c>
    </row>
    <row r="770" spans="1:36" x14ac:dyDescent="0.3">
      <c r="A770">
        <v>40</v>
      </c>
      <c r="B770" t="s">
        <v>43</v>
      </c>
      <c r="C770" s="6">
        <f t="shared" si="11"/>
        <v>0</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t="s">
        <v>43</v>
      </c>
      <c r="Y770">
        <v>14</v>
      </c>
      <c r="Z770">
        <v>3</v>
      </c>
      <c r="AA770">
        <v>2</v>
      </c>
      <c r="AB770">
        <v>80</v>
      </c>
      <c r="AC770">
        <v>1</v>
      </c>
      <c r="AD770">
        <v>8</v>
      </c>
      <c r="AE770">
        <v>3</v>
      </c>
      <c r="AF770">
        <v>2</v>
      </c>
      <c r="AG770">
        <v>7</v>
      </c>
      <c r="AH770">
        <v>7</v>
      </c>
      <c r="AI770">
        <v>7</v>
      </c>
      <c r="AJ770">
        <v>5</v>
      </c>
    </row>
    <row r="771" spans="1:36" x14ac:dyDescent="0.3">
      <c r="A771">
        <v>26</v>
      </c>
      <c r="B771" t="s">
        <v>43</v>
      </c>
      <c r="C771" s="6">
        <f t="shared" ref="C771:C834" si="12">IF(B771="Yes",1,0)</f>
        <v>0</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t="s">
        <v>43</v>
      </c>
      <c r="Y771">
        <v>13</v>
      </c>
      <c r="Z771">
        <v>3</v>
      </c>
      <c r="AA771">
        <v>3</v>
      </c>
      <c r="AB771">
        <v>80</v>
      </c>
      <c r="AC771">
        <v>2</v>
      </c>
      <c r="AD771">
        <v>5</v>
      </c>
      <c r="AE771">
        <v>5</v>
      </c>
      <c r="AF771">
        <v>3</v>
      </c>
      <c r="AG771">
        <v>5</v>
      </c>
      <c r="AH771">
        <v>3</v>
      </c>
      <c r="AI771">
        <v>1</v>
      </c>
      <c r="AJ771">
        <v>3</v>
      </c>
    </row>
    <row r="772" spans="1:36" x14ac:dyDescent="0.3">
      <c r="A772">
        <v>46</v>
      </c>
      <c r="B772" t="s">
        <v>43</v>
      </c>
      <c r="C772" s="6">
        <f t="shared" si="12"/>
        <v>0</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t="s">
        <v>43</v>
      </c>
      <c r="Y772">
        <v>17</v>
      </c>
      <c r="Z772">
        <v>3</v>
      </c>
      <c r="AA772">
        <v>4</v>
      </c>
      <c r="AB772">
        <v>80</v>
      </c>
      <c r="AC772">
        <v>2</v>
      </c>
      <c r="AD772">
        <v>23</v>
      </c>
      <c r="AE772">
        <v>0</v>
      </c>
      <c r="AF772">
        <v>3</v>
      </c>
      <c r="AG772">
        <v>2</v>
      </c>
      <c r="AH772">
        <v>2</v>
      </c>
      <c r="AI772">
        <v>2</v>
      </c>
      <c r="AJ772">
        <v>2</v>
      </c>
    </row>
    <row r="773" spans="1:36" x14ac:dyDescent="0.3">
      <c r="A773">
        <v>54</v>
      </c>
      <c r="B773" t="s">
        <v>43</v>
      </c>
      <c r="C773" s="6">
        <f t="shared" si="12"/>
        <v>0</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t="s">
        <v>43</v>
      </c>
      <c r="Y773">
        <v>11</v>
      </c>
      <c r="Z773">
        <v>3</v>
      </c>
      <c r="AA773">
        <v>2</v>
      </c>
      <c r="AB773">
        <v>80</v>
      </c>
      <c r="AC773">
        <v>1</v>
      </c>
      <c r="AD773">
        <v>13</v>
      </c>
      <c r="AE773">
        <v>4</v>
      </c>
      <c r="AF773">
        <v>3</v>
      </c>
      <c r="AG773">
        <v>9</v>
      </c>
      <c r="AH773">
        <v>4</v>
      </c>
      <c r="AI773">
        <v>7</v>
      </c>
      <c r="AJ773">
        <v>0</v>
      </c>
    </row>
    <row r="774" spans="1:36" x14ac:dyDescent="0.3">
      <c r="A774">
        <v>56</v>
      </c>
      <c r="B774" t="s">
        <v>43</v>
      </c>
      <c r="C774" s="6">
        <f t="shared" si="12"/>
        <v>0</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t="s">
        <v>43</v>
      </c>
      <c r="Y774">
        <v>19</v>
      </c>
      <c r="Z774">
        <v>3</v>
      </c>
      <c r="AA774">
        <v>2</v>
      </c>
      <c r="AB774">
        <v>80</v>
      </c>
      <c r="AC774">
        <v>1</v>
      </c>
      <c r="AD774">
        <v>18</v>
      </c>
      <c r="AE774">
        <v>4</v>
      </c>
      <c r="AF774">
        <v>3</v>
      </c>
      <c r="AG774">
        <v>5</v>
      </c>
      <c r="AH774">
        <v>4</v>
      </c>
      <c r="AI774">
        <v>0</v>
      </c>
      <c r="AJ774">
        <v>3</v>
      </c>
    </row>
    <row r="775" spans="1:36" x14ac:dyDescent="0.3">
      <c r="A775">
        <v>36</v>
      </c>
      <c r="B775" t="s">
        <v>43</v>
      </c>
      <c r="C775" s="6">
        <f t="shared" si="12"/>
        <v>0</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t="s">
        <v>43</v>
      </c>
      <c r="Y775">
        <v>11</v>
      </c>
      <c r="Z775">
        <v>3</v>
      </c>
      <c r="AA775">
        <v>2</v>
      </c>
      <c r="AB775">
        <v>80</v>
      </c>
      <c r="AC775">
        <v>0</v>
      </c>
      <c r="AD775">
        <v>15</v>
      </c>
      <c r="AE775">
        <v>2</v>
      </c>
      <c r="AF775">
        <v>2</v>
      </c>
      <c r="AG775">
        <v>14</v>
      </c>
      <c r="AH775">
        <v>8</v>
      </c>
      <c r="AI775">
        <v>7</v>
      </c>
      <c r="AJ775">
        <v>8</v>
      </c>
    </row>
    <row r="776" spans="1:36" x14ac:dyDescent="0.3">
      <c r="A776">
        <v>55</v>
      </c>
      <c r="B776" t="s">
        <v>43</v>
      </c>
      <c r="C776" s="6">
        <f t="shared" si="12"/>
        <v>0</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t="s">
        <v>43</v>
      </c>
      <c r="Y776">
        <v>15</v>
      </c>
      <c r="Z776">
        <v>3</v>
      </c>
      <c r="AA776">
        <v>2</v>
      </c>
      <c r="AB776">
        <v>80</v>
      </c>
      <c r="AC776">
        <v>0</v>
      </c>
      <c r="AD776">
        <v>31</v>
      </c>
      <c r="AE776">
        <v>3</v>
      </c>
      <c r="AF776">
        <v>4</v>
      </c>
      <c r="AG776">
        <v>9</v>
      </c>
      <c r="AH776">
        <v>7</v>
      </c>
      <c r="AI776">
        <v>6</v>
      </c>
      <c r="AJ776">
        <v>2</v>
      </c>
    </row>
    <row r="777" spans="1:36" x14ac:dyDescent="0.3">
      <c r="A777">
        <v>43</v>
      </c>
      <c r="B777" t="s">
        <v>43</v>
      </c>
      <c r="C777" s="6">
        <f t="shared" si="12"/>
        <v>0</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t="s">
        <v>43</v>
      </c>
      <c r="Y777">
        <v>13</v>
      </c>
      <c r="Z777">
        <v>3</v>
      </c>
      <c r="AA777">
        <v>3</v>
      </c>
      <c r="AB777">
        <v>80</v>
      </c>
      <c r="AC777">
        <v>1</v>
      </c>
      <c r="AD777">
        <v>18</v>
      </c>
      <c r="AE777">
        <v>5</v>
      </c>
      <c r="AF777">
        <v>3</v>
      </c>
      <c r="AG777">
        <v>1</v>
      </c>
      <c r="AH777">
        <v>0</v>
      </c>
      <c r="AI777">
        <v>0</v>
      </c>
      <c r="AJ777">
        <v>0</v>
      </c>
    </row>
    <row r="778" spans="1:36" x14ac:dyDescent="0.3">
      <c r="A778">
        <v>20</v>
      </c>
      <c r="B778" t="s">
        <v>35</v>
      </c>
      <c r="C778" s="6">
        <f t="shared" si="12"/>
        <v>1</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t="s">
        <v>35</v>
      </c>
      <c r="Y778">
        <v>14</v>
      </c>
      <c r="Z778">
        <v>3</v>
      </c>
      <c r="AA778">
        <v>2</v>
      </c>
      <c r="AB778">
        <v>80</v>
      </c>
      <c r="AC778">
        <v>0</v>
      </c>
      <c r="AD778">
        <v>2</v>
      </c>
      <c r="AE778">
        <v>3</v>
      </c>
      <c r="AF778">
        <v>3</v>
      </c>
      <c r="AG778">
        <v>2</v>
      </c>
      <c r="AH778">
        <v>2</v>
      </c>
      <c r="AI778">
        <v>0</v>
      </c>
      <c r="AJ778">
        <v>2</v>
      </c>
    </row>
    <row r="779" spans="1:36" x14ac:dyDescent="0.3">
      <c r="A779">
        <v>21</v>
      </c>
      <c r="B779" t="s">
        <v>35</v>
      </c>
      <c r="C779" s="6">
        <f t="shared" si="12"/>
        <v>1</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t="s">
        <v>43</v>
      </c>
      <c r="Y779">
        <v>13</v>
      </c>
      <c r="Z779">
        <v>3</v>
      </c>
      <c r="AA779">
        <v>1</v>
      </c>
      <c r="AB779">
        <v>80</v>
      </c>
      <c r="AC779">
        <v>0</v>
      </c>
      <c r="AD779">
        <v>1</v>
      </c>
      <c r="AE779">
        <v>6</v>
      </c>
      <c r="AF779">
        <v>2</v>
      </c>
      <c r="AG779">
        <v>1</v>
      </c>
      <c r="AH779">
        <v>0</v>
      </c>
      <c r="AI779">
        <v>1</v>
      </c>
      <c r="AJ779">
        <v>0</v>
      </c>
    </row>
    <row r="780" spans="1:36" x14ac:dyDescent="0.3">
      <c r="A780">
        <v>46</v>
      </c>
      <c r="B780" t="s">
        <v>43</v>
      </c>
      <c r="C780" s="6">
        <f t="shared" si="12"/>
        <v>0</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t="s">
        <v>35</v>
      </c>
      <c r="Y780">
        <v>23</v>
      </c>
      <c r="Z780">
        <v>4</v>
      </c>
      <c r="AA780">
        <v>1</v>
      </c>
      <c r="AB780">
        <v>80</v>
      </c>
      <c r="AC780">
        <v>3</v>
      </c>
      <c r="AD780">
        <v>19</v>
      </c>
      <c r="AE780">
        <v>2</v>
      </c>
      <c r="AF780">
        <v>3</v>
      </c>
      <c r="AG780">
        <v>16</v>
      </c>
      <c r="AH780">
        <v>13</v>
      </c>
      <c r="AI780">
        <v>1</v>
      </c>
      <c r="AJ780">
        <v>7</v>
      </c>
    </row>
    <row r="781" spans="1:36" x14ac:dyDescent="0.3">
      <c r="A781">
        <v>51</v>
      </c>
      <c r="B781" t="s">
        <v>35</v>
      </c>
      <c r="C781" s="6">
        <f t="shared" si="12"/>
        <v>1</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t="s">
        <v>35</v>
      </c>
      <c r="Y781">
        <v>12</v>
      </c>
      <c r="Z781">
        <v>3</v>
      </c>
      <c r="AA781">
        <v>3</v>
      </c>
      <c r="AB781">
        <v>80</v>
      </c>
      <c r="AC781">
        <v>3</v>
      </c>
      <c r="AD781">
        <v>18</v>
      </c>
      <c r="AE781">
        <v>2</v>
      </c>
      <c r="AF781">
        <v>4</v>
      </c>
      <c r="AG781">
        <v>10</v>
      </c>
      <c r="AH781">
        <v>0</v>
      </c>
      <c r="AI781">
        <v>2</v>
      </c>
      <c r="AJ781">
        <v>7</v>
      </c>
    </row>
    <row r="782" spans="1:36" x14ac:dyDescent="0.3">
      <c r="A782">
        <v>28</v>
      </c>
      <c r="B782" t="s">
        <v>35</v>
      </c>
      <c r="C782" s="6">
        <f t="shared" si="12"/>
        <v>1</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t="s">
        <v>43</v>
      </c>
      <c r="Y782">
        <v>12</v>
      </c>
      <c r="Z782">
        <v>3</v>
      </c>
      <c r="AA782">
        <v>1</v>
      </c>
      <c r="AB782">
        <v>80</v>
      </c>
      <c r="AC782">
        <v>0</v>
      </c>
      <c r="AD782">
        <v>10</v>
      </c>
      <c r="AE782">
        <v>2</v>
      </c>
      <c r="AF782">
        <v>2</v>
      </c>
      <c r="AG782">
        <v>10</v>
      </c>
      <c r="AH782">
        <v>7</v>
      </c>
      <c r="AI782">
        <v>1</v>
      </c>
      <c r="AJ782">
        <v>9</v>
      </c>
    </row>
    <row r="783" spans="1:36" x14ac:dyDescent="0.3">
      <c r="A783">
        <v>26</v>
      </c>
      <c r="B783" t="s">
        <v>43</v>
      </c>
      <c r="C783" s="6">
        <f t="shared" si="12"/>
        <v>0</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t="s">
        <v>43</v>
      </c>
      <c r="Y783">
        <v>16</v>
      </c>
      <c r="Z783">
        <v>3</v>
      </c>
      <c r="AA783">
        <v>1</v>
      </c>
      <c r="AB783">
        <v>80</v>
      </c>
      <c r="AC783">
        <v>2</v>
      </c>
      <c r="AD783">
        <v>6</v>
      </c>
      <c r="AE783">
        <v>2</v>
      </c>
      <c r="AF783">
        <v>3</v>
      </c>
      <c r="AG783">
        <v>5</v>
      </c>
      <c r="AH783">
        <v>3</v>
      </c>
      <c r="AI783">
        <v>1</v>
      </c>
      <c r="AJ783">
        <v>3</v>
      </c>
    </row>
    <row r="784" spans="1:36" x14ac:dyDescent="0.3">
      <c r="A784">
        <v>30</v>
      </c>
      <c r="B784" t="s">
        <v>43</v>
      </c>
      <c r="C784" s="6">
        <f t="shared" si="12"/>
        <v>0</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t="s">
        <v>43</v>
      </c>
      <c r="Y784">
        <v>15</v>
      </c>
      <c r="Z784">
        <v>3</v>
      </c>
      <c r="AA784">
        <v>3</v>
      </c>
      <c r="AB784">
        <v>80</v>
      </c>
      <c r="AC784">
        <v>1</v>
      </c>
      <c r="AD784">
        <v>7</v>
      </c>
      <c r="AE784">
        <v>1</v>
      </c>
      <c r="AF784">
        <v>2</v>
      </c>
      <c r="AG784">
        <v>6</v>
      </c>
      <c r="AH784">
        <v>2</v>
      </c>
      <c r="AI784">
        <v>0</v>
      </c>
      <c r="AJ784">
        <v>2</v>
      </c>
    </row>
    <row r="785" spans="1:36" x14ac:dyDescent="0.3">
      <c r="A785">
        <v>41</v>
      </c>
      <c r="B785" t="s">
        <v>43</v>
      </c>
      <c r="C785" s="6">
        <f t="shared" si="12"/>
        <v>0</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t="s">
        <v>43</v>
      </c>
      <c r="Y785">
        <v>13</v>
      </c>
      <c r="Z785">
        <v>3</v>
      </c>
      <c r="AA785">
        <v>3</v>
      </c>
      <c r="AB785">
        <v>80</v>
      </c>
      <c r="AC785">
        <v>0</v>
      </c>
      <c r="AD785">
        <v>10</v>
      </c>
      <c r="AE785">
        <v>3</v>
      </c>
      <c r="AF785">
        <v>3</v>
      </c>
      <c r="AG785">
        <v>10</v>
      </c>
      <c r="AH785">
        <v>6</v>
      </c>
      <c r="AI785">
        <v>0</v>
      </c>
      <c r="AJ785">
        <v>8</v>
      </c>
    </row>
    <row r="786" spans="1:36" x14ac:dyDescent="0.3">
      <c r="A786">
        <v>38</v>
      </c>
      <c r="B786" t="s">
        <v>43</v>
      </c>
      <c r="C786" s="6">
        <f t="shared" si="12"/>
        <v>0</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t="s">
        <v>43</v>
      </c>
      <c r="Y786">
        <v>18</v>
      </c>
      <c r="Z786">
        <v>3</v>
      </c>
      <c r="AA786">
        <v>1</v>
      </c>
      <c r="AB786">
        <v>80</v>
      </c>
      <c r="AC786">
        <v>1</v>
      </c>
      <c r="AD786">
        <v>20</v>
      </c>
      <c r="AE786">
        <v>4</v>
      </c>
      <c r="AF786">
        <v>2</v>
      </c>
      <c r="AG786">
        <v>19</v>
      </c>
      <c r="AH786">
        <v>9</v>
      </c>
      <c r="AI786">
        <v>1</v>
      </c>
      <c r="AJ786">
        <v>9</v>
      </c>
    </row>
    <row r="787" spans="1:36" x14ac:dyDescent="0.3">
      <c r="A787">
        <v>40</v>
      </c>
      <c r="B787" t="s">
        <v>43</v>
      </c>
      <c r="C787" s="6">
        <f t="shared" si="12"/>
        <v>0</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t="s">
        <v>43</v>
      </c>
      <c r="Y787">
        <v>20</v>
      </c>
      <c r="Z787">
        <v>4</v>
      </c>
      <c r="AA787">
        <v>4</v>
      </c>
      <c r="AB787">
        <v>80</v>
      </c>
      <c r="AC787">
        <v>1</v>
      </c>
      <c r="AD787">
        <v>14</v>
      </c>
      <c r="AE787">
        <v>6</v>
      </c>
      <c r="AF787">
        <v>3</v>
      </c>
      <c r="AG787">
        <v>11</v>
      </c>
      <c r="AH787">
        <v>10</v>
      </c>
      <c r="AI787">
        <v>11</v>
      </c>
      <c r="AJ787">
        <v>1</v>
      </c>
    </row>
    <row r="788" spans="1:36" x14ac:dyDescent="0.3">
      <c r="A788">
        <v>27</v>
      </c>
      <c r="B788" t="s">
        <v>43</v>
      </c>
      <c r="C788" s="6">
        <f t="shared" si="12"/>
        <v>0</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t="s">
        <v>43</v>
      </c>
      <c r="Y788">
        <v>19</v>
      </c>
      <c r="Z788">
        <v>3</v>
      </c>
      <c r="AA788">
        <v>4</v>
      </c>
      <c r="AB788">
        <v>80</v>
      </c>
      <c r="AC788">
        <v>3</v>
      </c>
      <c r="AD788">
        <v>3</v>
      </c>
      <c r="AE788">
        <v>4</v>
      </c>
      <c r="AF788">
        <v>3</v>
      </c>
      <c r="AG788">
        <v>3</v>
      </c>
      <c r="AH788">
        <v>2</v>
      </c>
      <c r="AI788">
        <v>1</v>
      </c>
      <c r="AJ788">
        <v>2</v>
      </c>
    </row>
    <row r="789" spans="1:36" x14ac:dyDescent="0.3">
      <c r="A789">
        <v>55</v>
      </c>
      <c r="B789" t="s">
        <v>43</v>
      </c>
      <c r="C789" s="6">
        <f t="shared" si="12"/>
        <v>0</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t="s">
        <v>43</v>
      </c>
      <c r="Y789">
        <v>18</v>
      </c>
      <c r="Z789">
        <v>3</v>
      </c>
      <c r="AA789">
        <v>2</v>
      </c>
      <c r="AB789">
        <v>80</v>
      </c>
      <c r="AC789">
        <v>1</v>
      </c>
      <c r="AD789">
        <v>23</v>
      </c>
      <c r="AE789">
        <v>4</v>
      </c>
      <c r="AF789">
        <v>3</v>
      </c>
      <c r="AG789">
        <v>3</v>
      </c>
      <c r="AH789">
        <v>2</v>
      </c>
      <c r="AI789">
        <v>1</v>
      </c>
      <c r="AJ789">
        <v>2</v>
      </c>
    </row>
    <row r="790" spans="1:36" x14ac:dyDescent="0.3">
      <c r="A790">
        <v>28</v>
      </c>
      <c r="B790" t="s">
        <v>43</v>
      </c>
      <c r="C790" s="6">
        <f t="shared" si="12"/>
        <v>0</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t="s">
        <v>43</v>
      </c>
      <c r="Y790">
        <v>13</v>
      </c>
      <c r="Z790">
        <v>3</v>
      </c>
      <c r="AA790">
        <v>4</v>
      </c>
      <c r="AB790">
        <v>80</v>
      </c>
      <c r="AC790">
        <v>0</v>
      </c>
      <c r="AD790">
        <v>10</v>
      </c>
      <c r="AE790">
        <v>4</v>
      </c>
      <c r="AF790">
        <v>4</v>
      </c>
      <c r="AG790">
        <v>8</v>
      </c>
      <c r="AH790">
        <v>7</v>
      </c>
      <c r="AI790">
        <v>1</v>
      </c>
      <c r="AJ790">
        <v>7</v>
      </c>
    </row>
    <row r="791" spans="1:36" x14ac:dyDescent="0.3">
      <c r="A791">
        <v>44</v>
      </c>
      <c r="B791" t="s">
        <v>35</v>
      </c>
      <c r="C791" s="6">
        <f t="shared" si="12"/>
        <v>1</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t="s">
        <v>43</v>
      </c>
      <c r="Y791">
        <v>14</v>
      </c>
      <c r="Z791">
        <v>3</v>
      </c>
      <c r="AA791">
        <v>4</v>
      </c>
      <c r="AB791">
        <v>80</v>
      </c>
      <c r="AC791">
        <v>1</v>
      </c>
      <c r="AD791">
        <v>24</v>
      </c>
      <c r="AE791">
        <v>1</v>
      </c>
      <c r="AF791">
        <v>3</v>
      </c>
      <c r="AG791">
        <v>20</v>
      </c>
      <c r="AH791">
        <v>6</v>
      </c>
      <c r="AI791">
        <v>3</v>
      </c>
      <c r="AJ791">
        <v>6</v>
      </c>
    </row>
    <row r="792" spans="1:36" x14ac:dyDescent="0.3">
      <c r="A792">
        <v>33</v>
      </c>
      <c r="B792" t="s">
        <v>43</v>
      </c>
      <c r="C792" s="6">
        <f t="shared" si="12"/>
        <v>0</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t="s">
        <v>43</v>
      </c>
      <c r="Y792">
        <v>15</v>
      </c>
      <c r="Z792">
        <v>3</v>
      </c>
      <c r="AA792">
        <v>3</v>
      </c>
      <c r="AB792">
        <v>80</v>
      </c>
      <c r="AC792">
        <v>1</v>
      </c>
      <c r="AD792">
        <v>9</v>
      </c>
      <c r="AE792">
        <v>2</v>
      </c>
      <c r="AF792">
        <v>3</v>
      </c>
      <c r="AG792">
        <v>3</v>
      </c>
      <c r="AH792">
        <v>2</v>
      </c>
      <c r="AI792">
        <v>1</v>
      </c>
      <c r="AJ792">
        <v>2</v>
      </c>
    </row>
    <row r="793" spans="1:36" x14ac:dyDescent="0.3">
      <c r="A793">
        <v>35</v>
      </c>
      <c r="B793" t="s">
        <v>35</v>
      </c>
      <c r="C793" s="6">
        <f t="shared" si="12"/>
        <v>1</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t="s">
        <v>35</v>
      </c>
      <c r="Y793">
        <v>22</v>
      </c>
      <c r="Z793">
        <v>4</v>
      </c>
      <c r="AA793">
        <v>1</v>
      </c>
      <c r="AB793">
        <v>80</v>
      </c>
      <c r="AC793">
        <v>0</v>
      </c>
      <c r="AD793">
        <v>9</v>
      </c>
      <c r="AE793">
        <v>2</v>
      </c>
      <c r="AF793">
        <v>3</v>
      </c>
      <c r="AG793">
        <v>8</v>
      </c>
      <c r="AH793">
        <v>7</v>
      </c>
      <c r="AI793">
        <v>4</v>
      </c>
      <c r="AJ793">
        <v>7</v>
      </c>
    </row>
    <row r="794" spans="1:36" x14ac:dyDescent="0.3">
      <c r="A794">
        <v>33</v>
      </c>
      <c r="B794" t="s">
        <v>35</v>
      </c>
      <c r="C794" s="6">
        <f t="shared" si="12"/>
        <v>1</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t="s">
        <v>43</v>
      </c>
      <c r="Y794">
        <v>22</v>
      </c>
      <c r="Z794">
        <v>4</v>
      </c>
      <c r="AA794">
        <v>2</v>
      </c>
      <c r="AB794">
        <v>80</v>
      </c>
      <c r="AC794">
        <v>0</v>
      </c>
      <c r="AD794">
        <v>14</v>
      </c>
      <c r="AE794">
        <v>4</v>
      </c>
      <c r="AF794">
        <v>3</v>
      </c>
      <c r="AG794">
        <v>13</v>
      </c>
      <c r="AH794">
        <v>7</v>
      </c>
      <c r="AI794">
        <v>3</v>
      </c>
      <c r="AJ794">
        <v>8</v>
      </c>
    </row>
    <row r="795" spans="1:36" x14ac:dyDescent="0.3">
      <c r="A795">
        <v>28</v>
      </c>
      <c r="B795" t="s">
        <v>43</v>
      </c>
      <c r="C795" s="6">
        <f t="shared" si="12"/>
        <v>0</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t="s">
        <v>43</v>
      </c>
      <c r="Y795">
        <v>16</v>
      </c>
      <c r="Z795">
        <v>3</v>
      </c>
      <c r="AA795">
        <v>4</v>
      </c>
      <c r="AB795">
        <v>80</v>
      </c>
      <c r="AC795">
        <v>1</v>
      </c>
      <c r="AD795">
        <v>4</v>
      </c>
      <c r="AE795">
        <v>5</v>
      </c>
      <c r="AF795">
        <v>2</v>
      </c>
      <c r="AG795">
        <v>4</v>
      </c>
      <c r="AH795">
        <v>2</v>
      </c>
      <c r="AI795">
        <v>2</v>
      </c>
      <c r="AJ795">
        <v>2</v>
      </c>
    </row>
    <row r="796" spans="1:36" x14ac:dyDescent="0.3">
      <c r="A796">
        <v>34</v>
      </c>
      <c r="B796" t="s">
        <v>43</v>
      </c>
      <c r="C796" s="6">
        <f t="shared" si="12"/>
        <v>0</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t="s">
        <v>43</v>
      </c>
      <c r="Y796">
        <v>17</v>
      </c>
      <c r="Z796">
        <v>3</v>
      </c>
      <c r="AA796">
        <v>3</v>
      </c>
      <c r="AB796">
        <v>80</v>
      </c>
      <c r="AC796">
        <v>0</v>
      </c>
      <c r="AD796">
        <v>7</v>
      </c>
      <c r="AE796">
        <v>1</v>
      </c>
      <c r="AF796">
        <v>2</v>
      </c>
      <c r="AG796">
        <v>6</v>
      </c>
      <c r="AH796">
        <v>2</v>
      </c>
      <c r="AI796">
        <v>0</v>
      </c>
      <c r="AJ796">
        <v>4</v>
      </c>
    </row>
    <row r="797" spans="1:36" x14ac:dyDescent="0.3">
      <c r="A797">
        <v>37</v>
      </c>
      <c r="B797" t="s">
        <v>43</v>
      </c>
      <c r="C797" s="6">
        <f t="shared" si="12"/>
        <v>0</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t="s">
        <v>35</v>
      </c>
      <c r="Y797">
        <v>14</v>
      </c>
      <c r="Z797">
        <v>3</v>
      </c>
      <c r="AA797">
        <v>3</v>
      </c>
      <c r="AB797">
        <v>80</v>
      </c>
      <c r="AC797">
        <v>3</v>
      </c>
      <c r="AD797">
        <v>8</v>
      </c>
      <c r="AE797">
        <v>5</v>
      </c>
      <c r="AF797">
        <v>3</v>
      </c>
      <c r="AG797">
        <v>1</v>
      </c>
      <c r="AH797">
        <v>0</v>
      </c>
      <c r="AI797">
        <v>0</v>
      </c>
      <c r="AJ797">
        <v>0</v>
      </c>
    </row>
    <row r="798" spans="1:36" x14ac:dyDescent="0.3">
      <c r="A798">
        <v>25</v>
      </c>
      <c r="B798" t="s">
        <v>35</v>
      </c>
      <c r="C798" s="6">
        <f t="shared" si="12"/>
        <v>1</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t="s">
        <v>35</v>
      </c>
      <c r="Y798">
        <v>15</v>
      </c>
      <c r="Z798">
        <v>3</v>
      </c>
      <c r="AA798">
        <v>2</v>
      </c>
      <c r="AB798">
        <v>80</v>
      </c>
      <c r="AC798">
        <v>1</v>
      </c>
      <c r="AD798">
        <v>7</v>
      </c>
      <c r="AE798">
        <v>3</v>
      </c>
      <c r="AF798">
        <v>4</v>
      </c>
      <c r="AG798">
        <v>7</v>
      </c>
      <c r="AH798">
        <v>7</v>
      </c>
      <c r="AI798">
        <v>5</v>
      </c>
      <c r="AJ798">
        <v>6</v>
      </c>
    </row>
    <row r="799" spans="1:36" x14ac:dyDescent="0.3">
      <c r="A799">
        <v>26</v>
      </c>
      <c r="B799" t="s">
        <v>35</v>
      </c>
      <c r="C799" s="6">
        <f t="shared" si="12"/>
        <v>1</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t="s">
        <v>43</v>
      </c>
      <c r="Y799">
        <v>20</v>
      </c>
      <c r="Z799">
        <v>4</v>
      </c>
      <c r="AA799">
        <v>3</v>
      </c>
      <c r="AB799">
        <v>80</v>
      </c>
      <c r="AC799">
        <v>1</v>
      </c>
      <c r="AD799">
        <v>1</v>
      </c>
      <c r="AE799">
        <v>0</v>
      </c>
      <c r="AF799">
        <v>2</v>
      </c>
      <c r="AG799">
        <v>1</v>
      </c>
      <c r="AH799">
        <v>1</v>
      </c>
      <c r="AI799">
        <v>0</v>
      </c>
      <c r="AJ799">
        <v>0</v>
      </c>
    </row>
    <row r="800" spans="1:36" x14ac:dyDescent="0.3">
      <c r="A800">
        <v>33</v>
      </c>
      <c r="B800" t="s">
        <v>35</v>
      </c>
      <c r="C800" s="6">
        <f t="shared" si="12"/>
        <v>1</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t="s">
        <v>35</v>
      </c>
      <c r="Y800">
        <v>20</v>
      </c>
      <c r="Z800">
        <v>4</v>
      </c>
      <c r="AA800">
        <v>2</v>
      </c>
      <c r="AB800">
        <v>80</v>
      </c>
      <c r="AC800">
        <v>0</v>
      </c>
      <c r="AD800">
        <v>5</v>
      </c>
      <c r="AE800">
        <v>0</v>
      </c>
      <c r="AF800">
        <v>3</v>
      </c>
      <c r="AG800">
        <v>2</v>
      </c>
      <c r="AH800">
        <v>2</v>
      </c>
      <c r="AI800">
        <v>2</v>
      </c>
      <c r="AJ800">
        <v>2</v>
      </c>
    </row>
    <row r="801" spans="1:36" x14ac:dyDescent="0.3">
      <c r="A801">
        <v>42</v>
      </c>
      <c r="B801" t="s">
        <v>43</v>
      </c>
      <c r="C801" s="6">
        <f t="shared" si="12"/>
        <v>0</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t="s">
        <v>43</v>
      </c>
      <c r="Y801">
        <v>17</v>
      </c>
      <c r="Z801">
        <v>3</v>
      </c>
      <c r="AA801">
        <v>4</v>
      </c>
      <c r="AB801">
        <v>80</v>
      </c>
      <c r="AC801">
        <v>1</v>
      </c>
      <c r="AD801">
        <v>23</v>
      </c>
      <c r="AE801">
        <v>3</v>
      </c>
      <c r="AF801">
        <v>3</v>
      </c>
      <c r="AG801">
        <v>22</v>
      </c>
      <c r="AH801">
        <v>6</v>
      </c>
      <c r="AI801">
        <v>13</v>
      </c>
      <c r="AJ801">
        <v>7</v>
      </c>
    </row>
    <row r="802" spans="1:36" x14ac:dyDescent="0.3">
      <c r="A802">
        <v>28</v>
      </c>
      <c r="B802" t="s">
        <v>35</v>
      </c>
      <c r="C802" s="6">
        <f t="shared" si="12"/>
        <v>1</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t="s">
        <v>43</v>
      </c>
      <c r="Y802">
        <v>15</v>
      </c>
      <c r="Z802">
        <v>3</v>
      </c>
      <c r="AA802">
        <v>1</v>
      </c>
      <c r="AB802">
        <v>80</v>
      </c>
      <c r="AC802">
        <v>2</v>
      </c>
      <c r="AD802">
        <v>1</v>
      </c>
      <c r="AE802">
        <v>2</v>
      </c>
      <c r="AF802">
        <v>3</v>
      </c>
      <c r="AG802">
        <v>1</v>
      </c>
      <c r="AH802">
        <v>0</v>
      </c>
      <c r="AI802">
        <v>0</v>
      </c>
      <c r="AJ802">
        <v>0</v>
      </c>
    </row>
    <row r="803" spans="1:36" x14ac:dyDescent="0.3">
      <c r="A803">
        <v>50</v>
      </c>
      <c r="B803" t="s">
        <v>35</v>
      </c>
      <c r="C803" s="6">
        <f t="shared" si="12"/>
        <v>1</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t="s">
        <v>35</v>
      </c>
      <c r="Y803">
        <v>14</v>
      </c>
      <c r="Z803">
        <v>3</v>
      </c>
      <c r="AA803">
        <v>4</v>
      </c>
      <c r="AB803">
        <v>80</v>
      </c>
      <c r="AC803">
        <v>0</v>
      </c>
      <c r="AD803">
        <v>5</v>
      </c>
      <c r="AE803">
        <v>4</v>
      </c>
      <c r="AF803">
        <v>3</v>
      </c>
      <c r="AG803">
        <v>0</v>
      </c>
      <c r="AH803">
        <v>0</v>
      </c>
      <c r="AI803">
        <v>0</v>
      </c>
      <c r="AJ803">
        <v>0</v>
      </c>
    </row>
    <row r="804" spans="1:36" x14ac:dyDescent="0.3">
      <c r="A804">
        <v>33</v>
      </c>
      <c r="B804" t="s">
        <v>43</v>
      </c>
      <c r="C804" s="6">
        <f t="shared" si="12"/>
        <v>0</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t="s">
        <v>43</v>
      </c>
      <c r="Y804">
        <v>17</v>
      </c>
      <c r="Z804">
        <v>3</v>
      </c>
      <c r="AA804">
        <v>3</v>
      </c>
      <c r="AB804">
        <v>80</v>
      </c>
      <c r="AC804">
        <v>1</v>
      </c>
      <c r="AD804">
        <v>4</v>
      </c>
      <c r="AE804">
        <v>3</v>
      </c>
      <c r="AF804">
        <v>3</v>
      </c>
      <c r="AG804">
        <v>3</v>
      </c>
      <c r="AH804">
        <v>2</v>
      </c>
      <c r="AI804">
        <v>0</v>
      </c>
      <c r="AJ804">
        <v>2</v>
      </c>
    </row>
    <row r="805" spans="1:36" x14ac:dyDescent="0.3">
      <c r="A805">
        <v>34</v>
      </c>
      <c r="B805" t="s">
        <v>43</v>
      </c>
      <c r="C805" s="6">
        <f t="shared" si="12"/>
        <v>0</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t="s">
        <v>43</v>
      </c>
      <c r="Y805">
        <v>17</v>
      </c>
      <c r="Z805">
        <v>3</v>
      </c>
      <c r="AA805">
        <v>4</v>
      </c>
      <c r="AB805">
        <v>80</v>
      </c>
      <c r="AC805">
        <v>3</v>
      </c>
      <c r="AD805">
        <v>6</v>
      </c>
      <c r="AE805">
        <v>2</v>
      </c>
      <c r="AF805">
        <v>3</v>
      </c>
      <c r="AG805">
        <v>0</v>
      </c>
      <c r="AH805">
        <v>0</v>
      </c>
      <c r="AI805">
        <v>0</v>
      </c>
      <c r="AJ805">
        <v>0</v>
      </c>
    </row>
    <row r="806" spans="1:36" x14ac:dyDescent="0.3">
      <c r="A806">
        <v>48</v>
      </c>
      <c r="B806" t="s">
        <v>43</v>
      </c>
      <c r="C806" s="6">
        <f t="shared" si="12"/>
        <v>0</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t="s">
        <v>43</v>
      </c>
      <c r="Y806">
        <v>22</v>
      </c>
      <c r="Z806">
        <v>4</v>
      </c>
      <c r="AA806">
        <v>3</v>
      </c>
      <c r="AB806">
        <v>80</v>
      </c>
      <c r="AC806">
        <v>0</v>
      </c>
      <c r="AD806">
        <v>27</v>
      </c>
      <c r="AE806">
        <v>3</v>
      </c>
      <c r="AF806">
        <v>2</v>
      </c>
      <c r="AG806">
        <v>5</v>
      </c>
      <c r="AH806">
        <v>4</v>
      </c>
      <c r="AI806">
        <v>2</v>
      </c>
      <c r="AJ806">
        <v>1</v>
      </c>
    </row>
    <row r="807" spans="1:36" x14ac:dyDescent="0.3">
      <c r="A807">
        <v>45</v>
      </c>
      <c r="B807" t="s">
        <v>43</v>
      </c>
      <c r="C807" s="6">
        <f t="shared" si="12"/>
        <v>0</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t="s">
        <v>43</v>
      </c>
      <c r="Y807">
        <v>13</v>
      </c>
      <c r="Z807">
        <v>3</v>
      </c>
      <c r="AA807">
        <v>4</v>
      </c>
      <c r="AB807">
        <v>80</v>
      </c>
      <c r="AC807">
        <v>1</v>
      </c>
      <c r="AD807">
        <v>15</v>
      </c>
      <c r="AE807">
        <v>2</v>
      </c>
      <c r="AF807">
        <v>3</v>
      </c>
      <c r="AG807">
        <v>15</v>
      </c>
      <c r="AH807">
        <v>10</v>
      </c>
      <c r="AI807">
        <v>4</v>
      </c>
      <c r="AJ807">
        <v>12</v>
      </c>
    </row>
    <row r="808" spans="1:36" x14ac:dyDescent="0.3">
      <c r="A808">
        <v>52</v>
      </c>
      <c r="B808" t="s">
        <v>43</v>
      </c>
      <c r="C808" s="6">
        <f t="shared" si="12"/>
        <v>0</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t="s">
        <v>43</v>
      </c>
      <c r="Y808">
        <v>19</v>
      </c>
      <c r="Z808">
        <v>3</v>
      </c>
      <c r="AA808">
        <v>4</v>
      </c>
      <c r="AB808">
        <v>80</v>
      </c>
      <c r="AC808">
        <v>0</v>
      </c>
      <c r="AD808">
        <v>18</v>
      </c>
      <c r="AE808">
        <v>4</v>
      </c>
      <c r="AF808">
        <v>3</v>
      </c>
      <c r="AG808">
        <v>8</v>
      </c>
      <c r="AH808">
        <v>6</v>
      </c>
      <c r="AI808">
        <v>4</v>
      </c>
      <c r="AJ808">
        <v>0</v>
      </c>
    </row>
    <row r="809" spans="1:36" x14ac:dyDescent="0.3">
      <c r="A809">
        <v>38</v>
      </c>
      <c r="B809" t="s">
        <v>43</v>
      </c>
      <c r="C809" s="6">
        <f t="shared" si="12"/>
        <v>0</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t="s">
        <v>35</v>
      </c>
      <c r="Y809">
        <v>14</v>
      </c>
      <c r="Z809">
        <v>3</v>
      </c>
      <c r="AA809">
        <v>2</v>
      </c>
      <c r="AB809">
        <v>80</v>
      </c>
      <c r="AC809">
        <v>2</v>
      </c>
      <c r="AD809">
        <v>9</v>
      </c>
      <c r="AE809">
        <v>2</v>
      </c>
      <c r="AF809">
        <v>3</v>
      </c>
      <c r="AG809">
        <v>8</v>
      </c>
      <c r="AH809">
        <v>7</v>
      </c>
      <c r="AI809">
        <v>2</v>
      </c>
      <c r="AJ809">
        <v>7</v>
      </c>
    </row>
    <row r="810" spans="1:36" x14ac:dyDescent="0.3">
      <c r="A810">
        <v>29</v>
      </c>
      <c r="B810" t="s">
        <v>43</v>
      </c>
      <c r="C810" s="6">
        <f t="shared" si="12"/>
        <v>0</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t="s">
        <v>43</v>
      </c>
      <c r="Y810">
        <v>22</v>
      </c>
      <c r="Z810">
        <v>4</v>
      </c>
      <c r="AA810">
        <v>1</v>
      </c>
      <c r="AB810">
        <v>80</v>
      </c>
      <c r="AC810">
        <v>1</v>
      </c>
      <c r="AD810">
        <v>11</v>
      </c>
      <c r="AE810">
        <v>1</v>
      </c>
      <c r="AF810">
        <v>3</v>
      </c>
      <c r="AG810">
        <v>7</v>
      </c>
      <c r="AH810">
        <v>5</v>
      </c>
      <c r="AI810">
        <v>1</v>
      </c>
      <c r="AJ810">
        <v>7</v>
      </c>
    </row>
    <row r="811" spans="1:36" x14ac:dyDescent="0.3">
      <c r="A811">
        <v>28</v>
      </c>
      <c r="B811" t="s">
        <v>43</v>
      </c>
      <c r="C811" s="6">
        <f t="shared" si="12"/>
        <v>0</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t="s">
        <v>43</v>
      </c>
      <c r="Y811">
        <v>17</v>
      </c>
      <c r="Z811">
        <v>3</v>
      </c>
      <c r="AA811">
        <v>2</v>
      </c>
      <c r="AB811">
        <v>80</v>
      </c>
      <c r="AC811">
        <v>3</v>
      </c>
      <c r="AD811">
        <v>10</v>
      </c>
      <c r="AE811">
        <v>3</v>
      </c>
      <c r="AF811">
        <v>2</v>
      </c>
      <c r="AG811">
        <v>9</v>
      </c>
      <c r="AH811">
        <v>7</v>
      </c>
      <c r="AI811">
        <v>1</v>
      </c>
      <c r="AJ811">
        <v>7</v>
      </c>
    </row>
    <row r="812" spans="1:36" x14ac:dyDescent="0.3">
      <c r="A812">
        <v>46</v>
      </c>
      <c r="B812" t="s">
        <v>43</v>
      </c>
      <c r="C812" s="6">
        <f t="shared" si="12"/>
        <v>0</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t="s">
        <v>43</v>
      </c>
      <c r="Y812">
        <v>12</v>
      </c>
      <c r="Z812">
        <v>3</v>
      </c>
      <c r="AA812">
        <v>4</v>
      </c>
      <c r="AB812">
        <v>80</v>
      </c>
      <c r="AC812">
        <v>1</v>
      </c>
      <c r="AD812">
        <v>23</v>
      </c>
      <c r="AE812">
        <v>3</v>
      </c>
      <c r="AF812">
        <v>3</v>
      </c>
      <c r="AG812">
        <v>12</v>
      </c>
      <c r="AH812">
        <v>9</v>
      </c>
      <c r="AI812">
        <v>4</v>
      </c>
      <c r="AJ812">
        <v>9</v>
      </c>
    </row>
    <row r="813" spans="1:36" x14ac:dyDescent="0.3">
      <c r="A813">
        <v>38</v>
      </c>
      <c r="B813" t="s">
        <v>43</v>
      </c>
      <c r="C813" s="6">
        <f t="shared" si="12"/>
        <v>0</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t="s">
        <v>43</v>
      </c>
      <c r="Y813">
        <v>16</v>
      </c>
      <c r="Z813">
        <v>3</v>
      </c>
      <c r="AA813">
        <v>3</v>
      </c>
      <c r="AB813">
        <v>80</v>
      </c>
      <c r="AC813">
        <v>0</v>
      </c>
      <c r="AD813">
        <v>10</v>
      </c>
      <c r="AE813">
        <v>2</v>
      </c>
      <c r="AF813">
        <v>3</v>
      </c>
      <c r="AG813">
        <v>1</v>
      </c>
      <c r="AH813">
        <v>0</v>
      </c>
      <c r="AI813">
        <v>0</v>
      </c>
      <c r="AJ813">
        <v>0</v>
      </c>
    </row>
    <row r="814" spans="1:36" x14ac:dyDescent="0.3">
      <c r="A814">
        <v>43</v>
      </c>
      <c r="B814" t="s">
        <v>43</v>
      </c>
      <c r="C814" s="6">
        <f t="shared" si="12"/>
        <v>0</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t="s">
        <v>43</v>
      </c>
      <c r="Y814">
        <v>11</v>
      </c>
      <c r="Z814">
        <v>3</v>
      </c>
      <c r="AA814">
        <v>3</v>
      </c>
      <c r="AB814">
        <v>80</v>
      </c>
      <c r="AC814">
        <v>1</v>
      </c>
      <c r="AD814">
        <v>18</v>
      </c>
      <c r="AE814">
        <v>1</v>
      </c>
      <c r="AF814">
        <v>3</v>
      </c>
      <c r="AG814">
        <v>8</v>
      </c>
      <c r="AH814">
        <v>7</v>
      </c>
      <c r="AI814">
        <v>0</v>
      </c>
      <c r="AJ814">
        <v>1</v>
      </c>
    </row>
    <row r="815" spans="1:36" x14ac:dyDescent="0.3">
      <c r="A815">
        <v>39</v>
      </c>
      <c r="B815" t="s">
        <v>35</v>
      </c>
      <c r="C815" s="6">
        <f t="shared" si="12"/>
        <v>1</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t="s">
        <v>43</v>
      </c>
      <c r="Y815">
        <v>11</v>
      </c>
      <c r="Z815">
        <v>3</v>
      </c>
      <c r="AA815">
        <v>4</v>
      </c>
      <c r="AB815">
        <v>80</v>
      </c>
      <c r="AC815">
        <v>3</v>
      </c>
      <c r="AD815">
        <v>21</v>
      </c>
      <c r="AE815">
        <v>4</v>
      </c>
      <c r="AF815">
        <v>3</v>
      </c>
      <c r="AG815">
        <v>18</v>
      </c>
      <c r="AH815">
        <v>7</v>
      </c>
      <c r="AI815">
        <v>11</v>
      </c>
      <c r="AJ815">
        <v>5</v>
      </c>
    </row>
    <row r="816" spans="1:36" x14ac:dyDescent="0.3">
      <c r="A816">
        <v>40</v>
      </c>
      <c r="B816" t="s">
        <v>43</v>
      </c>
      <c r="C816" s="6">
        <f t="shared" si="12"/>
        <v>0</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t="s">
        <v>43</v>
      </c>
      <c r="Y816">
        <v>14</v>
      </c>
      <c r="Z816">
        <v>3</v>
      </c>
      <c r="AA816">
        <v>1</v>
      </c>
      <c r="AB816">
        <v>80</v>
      </c>
      <c r="AC816">
        <v>0</v>
      </c>
      <c r="AD816">
        <v>21</v>
      </c>
      <c r="AE816">
        <v>2</v>
      </c>
      <c r="AF816">
        <v>4</v>
      </c>
      <c r="AG816">
        <v>20</v>
      </c>
      <c r="AH816">
        <v>7</v>
      </c>
      <c r="AI816">
        <v>4</v>
      </c>
      <c r="AJ816">
        <v>9</v>
      </c>
    </row>
    <row r="817" spans="1:36" x14ac:dyDescent="0.3">
      <c r="A817">
        <v>21</v>
      </c>
      <c r="B817" t="s">
        <v>43</v>
      </c>
      <c r="C817" s="6">
        <f t="shared" si="12"/>
        <v>0</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t="s">
        <v>35</v>
      </c>
      <c r="Y817">
        <v>11</v>
      </c>
      <c r="Z817">
        <v>3</v>
      </c>
      <c r="AA817">
        <v>3</v>
      </c>
      <c r="AB817">
        <v>80</v>
      </c>
      <c r="AC817">
        <v>0</v>
      </c>
      <c r="AD817">
        <v>2</v>
      </c>
      <c r="AE817">
        <v>6</v>
      </c>
      <c r="AF817">
        <v>4</v>
      </c>
      <c r="AG817">
        <v>2</v>
      </c>
      <c r="AH817">
        <v>2</v>
      </c>
      <c r="AI817">
        <v>2</v>
      </c>
      <c r="AJ817">
        <v>2</v>
      </c>
    </row>
    <row r="818" spans="1:36" x14ac:dyDescent="0.3">
      <c r="A818">
        <v>39</v>
      </c>
      <c r="B818" t="s">
        <v>43</v>
      </c>
      <c r="C818" s="6">
        <f t="shared" si="12"/>
        <v>0</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t="s">
        <v>43</v>
      </c>
      <c r="Y818">
        <v>15</v>
      </c>
      <c r="Z818">
        <v>3</v>
      </c>
      <c r="AA818">
        <v>3</v>
      </c>
      <c r="AB818">
        <v>80</v>
      </c>
      <c r="AC818">
        <v>0</v>
      </c>
      <c r="AD818">
        <v>9</v>
      </c>
      <c r="AE818">
        <v>2</v>
      </c>
      <c r="AF818">
        <v>2</v>
      </c>
      <c r="AG818">
        <v>5</v>
      </c>
      <c r="AH818">
        <v>4</v>
      </c>
      <c r="AI818">
        <v>0</v>
      </c>
      <c r="AJ818">
        <v>3</v>
      </c>
    </row>
    <row r="819" spans="1:36" x14ac:dyDescent="0.3">
      <c r="A819">
        <v>36</v>
      </c>
      <c r="B819" t="s">
        <v>43</v>
      </c>
      <c r="C819" s="6">
        <f t="shared" si="12"/>
        <v>0</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t="s">
        <v>43</v>
      </c>
      <c r="Y819">
        <v>20</v>
      </c>
      <c r="Z819">
        <v>4</v>
      </c>
      <c r="AA819">
        <v>1</v>
      </c>
      <c r="AB819">
        <v>80</v>
      </c>
      <c r="AC819">
        <v>0</v>
      </c>
      <c r="AD819">
        <v>18</v>
      </c>
      <c r="AE819">
        <v>0</v>
      </c>
      <c r="AF819">
        <v>3</v>
      </c>
      <c r="AG819">
        <v>11</v>
      </c>
      <c r="AH819">
        <v>9</v>
      </c>
      <c r="AI819">
        <v>0</v>
      </c>
      <c r="AJ819">
        <v>9</v>
      </c>
    </row>
    <row r="820" spans="1:36" x14ac:dyDescent="0.3">
      <c r="A820">
        <v>31</v>
      </c>
      <c r="B820" t="s">
        <v>43</v>
      </c>
      <c r="C820" s="6">
        <f t="shared" si="12"/>
        <v>0</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t="s">
        <v>43</v>
      </c>
      <c r="Y820">
        <v>12</v>
      </c>
      <c r="Z820">
        <v>3</v>
      </c>
      <c r="AA820">
        <v>1</v>
      </c>
      <c r="AB820">
        <v>80</v>
      </c>
      <c r="AC820">
        <v>1</v>
      </c>
      <c r="AD820">
        <v>3</v>
      </c>
      <c r="AE820">
        <v>4</v>
      </c>
      <c r="AF820">
        <v>3</v>
      </c>
      <c r="AG820">
        <v>2</v>
      </c>
      <c r="AH820">
        <v>2</v>
      </c>
      <c r="AI820">
        <v>2</v>
      </c>
      <c r="AJ820">
        <v>2</v>
      </c>
    </row>
    <row r="821" spans="1:36" x14ac:dyDescent="0.3">
      <c r="A821">
        <v>28</v>
      </c>
      <c r="B821" t="s">
        <v>43</v>
      </c>
      <c r="C821" s="6">
        <f t="shared" si="12"/>
        <v>0</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t="s">
        <v>43</v>
      </c>
      <c r="Y821">
        <v>17</v>
      </c>
      <c r="Z821">
        <v>3</v>
      </c>
      <c r="AA821">
        <v>1</v>
      </c>
      <c r="AB821">
        <v>80</v>
      </c>
      <c r="AC821">
        <v>0</v>
      </c>
      <c r="AD821">
        <v>6</v>
      </c>
      <c r="AE821">
        <v>2</v>
      </c>
      <c r="AF821">
        <v>1</v>
      </c>
      <c r="AG821">
        <v>5</v>
      </c>
      <c r="AH821">
        <v>3</v>
      </c>
      <c r="AI821">
        <v>0</v>
      </c>
      <c r="AJ821">
        <v>4</v>
      </c>
    </row>
    <row r="822" spans="1:36" x14ac:dyDescent="0.3">
      <c r="A822">
        <v>35</v>
      </c>
      <c r="B822" t="s">
        <v>43</v>
      </c>
      <c r="C822" s="6">
        <f t="shared" si="12"/>
        <v>0</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t="s">
        <v>43</v>
      </c>
      <c r="Y822">
        <v>11</v>
      </c>
      <c r="Z822">
        <v>3</v>
      </c>
      <c r="AA822">
        <v>4</v>
      </c>
      <c r="AB822">
        <v>80</v>
      </c>
      <c r="AC822">
        <v>1</v>
      </c>
      <c r="AD822">
        <v>5</v>
      </c>
      <c r="AE822">
        <v>3</v>
      </c>
      <c r="AF822">
        <v>3</v>
      </c>
      <c r="AG822">
        <v>5</v>
      </c>
      <c r="AH822">
        <v>2</v>
      </c>
      <c r="AI822">
        <v>0</v>
      </c>
      <c r="AJ822">
        <v>2</v>
      </c>
    </row>
    <row r="823" spans="1:36" x14ac:dyDescent="0.3">
      <c r="A823">
        <v>49</v>
      </c>
      <c r="B823" t="s">
        <v>43</v>
      </c>
      <c r="C823" s="6">
        <f t="shared" si="12"/>
        <v>0</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t="s">
        <v>43</v>
      </c>
      <c r="Y823">
        <v>17</v>
      </c>
      <c r="Z823">
        <v>3</v>
      </c>
      <c r="AA823">
        <v>2</v>
      </c>
      <c r="AB823">
        <v>80</v>
      </c>
      <c r="AC823">
        <v>1</v>
      </c>
      <c r="AD823">
        <v>22</v>
      </c>
      <c r="AE823">
        <v>3</v>
      </c>
      <c r="AF823">
        <v>3</v>
      </c>
      <c r="AG823">
        <v>9</v>
      </c>
      <c r="AH823">
        <v>8</v>
      </c>
      <c r="AI823">
        <v>2</v>
      </c>
      <c r="AJ823">
        <v>3</v>
      </c>
    </row>
    <row r="824" spans="1:36" x14ac:dyDescent="0.3">
      <c r="A824">
        <v>34</v>
      </c>
      <c r="B824" t="s">
        <v>43</v>
      </c>
      <c r="C824" s="6">
        <f t="shared" si="12"/>
        <v>0</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t="s">
        <v>43</v>
      </c>
      <c r="Y824">
        <v>11</v>
      </c>
      <c r="Z824">
        <v>3</v>
      </c>
      <c r="AA824">
        <v>4</v>
      </c>
      <c r="AB824">
        <v>80</v>
      </c>
      <c r="AC824">
        <v>0</v>
      </c>
      <c r="AD824">
        <v>5</v>
      </c>
      <c r="AE824">
        <v>3</v>
      </c>
      <c r="AF824">
        <v>2</v>
      </c>
      <c r="AG824">
        <v>3</v>
      </c>
      <c r="AH824">
        <v>2</v>
      </c>
      <c r="AI824">
        <v>0</v>
      </c>
      <c r="AJ824">
        <v>2</v>
      </c>
    </row>
    <row r="825" spans="1:36" x14ac:dyDescent="0.3">
      <c r="A825">
        <v>29</v>
      </c>
      <c r="B825" t="s">
        <v>43</v>
      </c>
      <c r="C825" s="6">
        <f t="shared" si="12"/>
        <v>0</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t="s">
        <v>43</v>
      </c>
      <c r="Y825">
        <v>14</v>
      </c>
      <c r="Z825">
        <v>3</v>
      </c>
      <c r="AA825">
        <v>4</v>
      </c>
      <c r="AB825">
        <v>80</v>
      </c>
      <c r="AC825">
        <v>2</v>
      </c>
      <c r="AD825">
        <v>8</v>
      </c>
      <c r="AE825">
        <v>2</v>
      </c>
      <c r="AF825">
        <v>2</v>
      </c>
      <c r="AG825">
        <v>7</v>
      </c>
      <c r="AH825">
        <v>5</v>
      </c>
      <c r="AI825">
        <v>1</v>
      </c>
      <c r="AJ825">
        <v>1</v>
      </c>
    </row>
    <row r="826" spans="1:36" x14ac:dyDescent="0.3">
      <c r="A826">
        <v>42</v>
      </c>
      <c r="B826" t="s">
        <v>43</v>
      </c>
      <c r="C826" s="6">
        <f t="shared" si="12"/>
        <v>0</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t="s">
        <v>43</v>
      </c>
      <c r="Y826">
        <v>19</v>
      </c>
      <c r="Z826">
        <v>3</v>
      </c>
      <c r="AA826">
        <v>1</v>
      </c>
      <c r="AB826">
        <v>80</v>
      </c>
      <c r="AC826">
        <v>0</v>
      </c>
      <c r="AD826">
        <v>16</v>
      </c>
      <c r="AE826">
        <v>3</v>
      </c>
      <c r="AF826">
        <v>3</v>
      </c>
      <c r="AG826">
        <v>1</v>
      </c>
      <c r="AH826">
        <v>0</v>
      </c>
      <c r="AI826">
        <v>0</v>
      </c>
      <c r="AJ826">
        <v>0</v>
      </c>
    </row>
    <row r="827" spans="1:36" x14ac:dyDescent="0.3">
      <c r="A827">
        <v>29</v>
      </c>
      <c r="B827" t="s">
        <v>43</v>
      </c>
      <c r="C827" s="6">
        <f t="shared" si="12"/>
        <v>0</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t="s">
        <v>35</v>
      </c>
      <c r="Y827">
        <v>15</v>
      </c>
      <c r="Z827">
        <v>3</v>
      </c>
      <c r="AA827">
        <v>3</v>
      </c>
      <c r="AB827">
        <v>80</v>
      </c>
      <c r="AC827">
        <v>1</v>
      </c>
      <c r="AD827">
        <v>10</v>
      </c>
      <c r="AE827">
        <v>2</v>
      </c>
      <c r="AF827">
        <v>2</v>
      </c>
      <c r="AG827">
        <v>10</v>
      </c>
      <c r="AH827">
        <v>7</v>
      </c>
      <c r="AI827">
        <v>1</v>
      </c>
      <c r="AJ827">
        <v>2</v>
      </c>
    </row>
    <row r="828" spans="1:36" x14ac:dyDescent="0.3">
      <c r="A828">
        <v>38</v>
      </c>
      <c r="B828" t="s">
        <v>43</v>
      </c>
      <c r="C828" s="6">
        <f t="shared" si="12"/>
        <v>0</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t="s">
        <v>43</v>
      </c>
      <c r="Y828">
        <v>13</v>
      </c>
      <c r="Z828">
        <v>3</v>
      </c>
      <c r="AA828">
        <v>4</v>
      </c>
      <c r="AB828">
        <v>80</v>
      </c>
      <c r="AC828">
        <v>1</v>
      </c>
      <c r="AD828">
        <v>7</v>
      </c>
      <c r="AE828">
        <v>2</v>
      </c>
      <c r="AF828">
        <v>4</v>
      </c>
      <c r="AG828">
        <v>7</v>
      </c>
      <c r="AH828">
        <v>6</v>
      </c>
      <c r="AI828">
        <v>5</v>
      </c>
      <c r="AJ828">
        <v>0</v>
      </c>
    </row>
    <row r="829" spans="1:36" x14ac:dyDescent="0.3">
      <c r="A829">
        <v>28</v>
      </c>
      <c r="B829" t="s">
        <v>43</v>
      </c>
      <c r="C829" s="6">
        <f t="shared" si="12"/>
        <v>0</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t="s">
        <v>35</v>
      </c>
      <c r="Y829">
        <v>14</v>
      </c>
      <c r="Z829">
        <v>3</v>
      </c>
      <c r="AA829">
        <v>4</v>
      </c>
      <c r="AB829">
        <v>80</v>
      </c>
      <c r="AC829">
        <v>1</v>
      </c>
      <c r="AD829">
        <v>3</v>
      </c>
      <c r="AE829">
        <v>2</v>
      </c>
      <c r="AF829">
        <v>3</v>
      </c>
      <c r="AG829">
        <v>3</v>
      </c>
      <c r="AH829">
        <v>1</v>
      </c>
      <c r="AI829">
        <v>0</v>
      </c>
      <c r="AJ829">
        <v>2</v>
      </c>
    </row>
    <row r="830" spans="1:36" x14ac:dyDescent="0.3">
      <c r="A830">
        <v>18</v>
      </c>
      <c r="B830" t="s">
        <v>35</v>
      </c>
      <c r="C830" s="6">
        <f t="shared" si="12"/>
        <v>1</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t="s">
        <v>43</v>
      </c>
      <c r="Y830">
        <v>12</v>
      </c>
      <c r="Z830">
        <v>3</v>
      </c>
      <c r="AA830">
        <v>4</v>
      </c>
      <c r="AB830">
        <v>80</v>
      </c>
      <c r="AC830">
        <v>0</v>
      </c>
      <c r="AD830">
        <v>0</v>
      </c>
      <c r="AE830">
        <v>0</v>
      </c>
      <c r="AF830">
        <v>3</v>
      </c>
      <c r="AG830">
        <v>0</v>
      </c>
      <c r="AH830">
        <v>0</v>
      </c>
      <c r="AI830">
        <v>0</v>
      </c>
      <c r="AJ830">
        <v>0</v>
      </c>
    </row>
    <row r="831" spans="1:36" x14ac:dyDescent="0.3">
      <c r="A831">
        <v>33</v>
      </c>
      <c r="B831" t="s">
        <v>35</v>
      </c>
      <c r="C831" s="6">
        <f t="shared" si="12"/>
        <v>1</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t="s">
        <v>35</v>
      </c>
      <c r="Y831">
        <v>17</v>
      </c>
      <c r="Z831">
        <v>3</v>
      </c>
      <c r="AA831">
        <v>1</v>
      </c>
      <c r="AB831">
        <v>80</v>
      </c>
      <c r="AC831">
        <v>0</v>
      </c>
      <c r="AD831">
        <v>6</v>
      </c>
      <c r="AE831">
        <v>3</v>
      </c>
      <c r="AF831">
        <v>3</v>
      </c>
      <c r="AG831">
        <v>5</v>
      </c>
      <c r="AH831">
        <v>2</v>
      </c>
      <c r="AI831">
        <v>0</v>
      </c>
      <c r="AJ831">
        <v>3</v>
      </c>
    </row>
    <row r="832" spans="1:36" x14ac:dyDescent="0.3">
      <c r="A832">
        <v>41</v>
      </c>
      <c r="B832" t="s">
        <v>43</v>
      </c>
      <c r="C832" s="6">
        <f t="shared" si="12"/>
        <v>0</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t="s">
        <v>35</v>
      </c>
      <c r="Y832">
        <v>11</v>
      </c>
      <c r="Z832">
        <v>3</v>
      </c>
      <c r="AA832">
        <v>1</v>
      </c>
      <c r="AB832">
        <v>80</v>
      </c>
      <c r="AC832">
        <v>1</v>
      </c>
      <c r="AD832">
        <v>6</v>
      </c>
      <c r="AE832">
        <v>4</v>
      </c>
      <c r="AF832">
        <v>3</v>
      </c>
      <c r="AG832">
        <v>1</v>
      </c>
      <c r="AH832">
        <v>0</v>
      </c>
      <c r="AI832">
        <v>0</v>
      </c>
      <c r="AJ832">
        <v>0</v>
      </c>
    </row>
    <row r="833" spans="1:36" x14ac:dyDescent="0.3">
      <c r="A833">
        <v>31</v>
      </c>
      <c r="B833" t="s">
        <v>35</v>
      </c>
      <c r="C833" s="6">
        <f t="shared" si="12"/>
        <v>1</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t="s">
        <v>43</v>
      </c>
      <c r="Y833">
        <v>12</v>
      </c>
      <c r="Z833">
        <v>3</v>
      </c>
      <c r="AA833">
        <v>3</v>
      </c>
      <c r="AB833">
        <v>80</v>
      </c>
      <c r="AC833">
        <v>1</v>
      </c>
      <c r="AD833">
        <v>2</v>
      </c>
      <c r="AE833">
        <v>5</v>
      </c>
      <c r="AF833">
        <v>2</v>
      </c>
      <c r="AG833">
        <v>2</v>
      </c>
      <c r="AH833">
        <v>2</v>
      </c>
      <c r="AI833">
        <v>2</v>
      </c>
      <c r="AJ833">
        <v>2</v>
      </c>
    </row>
    <row r="834" spans="1:36" x14ac:dyDescent="0.3">
      <c r="A834">
        <v>37</v>
      </c>
      <c r="B834" t="s">
        <v>43</v>
      </c>
      <c r="C834" s="6">
        <f t="shared" si="12"/>
        <v>0</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t="s">
        <v>43</v>
      </c>
      <c r="Y834">
        <v>13</v>
      </c>
      <c r="Z834">
        <v>3</v>
      </c>
      <c r="AA834">
        <v>3</v>
      </c>
      <c r="AB834">
        <v>80</v>
      </c>
      <c r="AC834">
        <v>2</v>
      </c>
      <c r="AD834">
        <v>9</v>
      </c>
      <c r="AE834">
        <v>2</v>
      </c>
      <c r="AF834">
        <v>3</v>
      </c>
      <c r="AG834">
        <v>6</v>
      </c>
      <c r="AH834">
        <v>2</v>
      </c>
      <c r="AI834">
        <v>1</v>
      </c>
      <c r="AJ834">
        <v>3</v>
      </c>
    </row>
    <row r="835" spans="1:36" x14ac:dyDescent="0.3">
      <c r="A835">
        <v>27</v>
      </c>
      <c r="B835" t="s">
        <v>43</v>
      </c>
      <c r="C835" s="6">
        <f t="shared" ref="C835:C898" si="13">IF(B835="Yes",1,0)</f>
        <v>0</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t="s">
        <v>43</v>
      </c>
      <c r="Y835">
        <v>13</v>
      </c>
      <c r="Z835">
        <v>3</v>
      </c>
      <c r="AA835">
        <v>3</v>
      </c>
      <c r="AB835">
        <v>80</v>
      </c>
      <c r="AC835">
        <v>1</v>
      </c>
      <c r="AD835">
        <v>4</v>
      </c>
      <c r="AE835">
        <v>0</v>
      </c>
      <c r="AF835">
        <v>3</v>
      </c>
      <c r="AG835">
        <v>4</v>
      </c>
      <c r="AH835">
        <v>2</v>
      </c>
      <c r="AI835">
        <v>2</v>
      </c>
      <c r="AJ835">
        <v>2</v>
      </c>
    </row>
    <row r="836" spans="1:36" x14ac:dyDescent="0.3">
      <c r="A836">
        <v>34</v>
      </c>
      <c r="B836" t="s">
        <v>43</v>
      </c>
      <c r="C836" s="6">
        <f t="shared" si="13"/>
        <v>0</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t="s">
        <v>43</v>
      </c>
      <c r="Y836">
        <v>20</v>
      </c>
      <c r="Z836">
        <v>4</v>
      </c>
      <c r="AA836">
        <v>1</v>
      </c>
      <c r="AB836">
        <v>80</v>
      </c>
      <c r="AC836">
        <v>0</v>
      </c>
      <c r="AD836">
        <v>6</v>
      </c>
      <c r="AE836">
        <v>3</v>
      </c>
      <c r="AF836">
        <v>2</v>
      </c>
      <c r="AG836">
        <v>6</v>
      </c>
      <c r="AH836">
        <v>5</v>
      </c>
      <c r="AI836">
        <v>1</v>
      </c>
      <c r="AJ836">
        <v>3</v>
      </c>
    </row>
    <row r="837" spans="1:36" x14ac:dyDescent="0.3">
      <c r="A837">
        <v>35</v>
      </c>
      <c r="B837" t="s">
        <v>43</v>
      </c>
      <c r="C837" s="6">
        <f t="shared" si="13"/>
        <v>0</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t="s">
        <v>43</v>
      </c>
      <c r="Y837">
        <v>17</v>
      </c>
      <c r="Z837">
        <v>3</v>
      </c>
      <c r="AA837">
        <v>2</v>
      </c>
      <c r="AB837">
        <v>80</v>
      </c>
      <c r="AC837">
        <v>0</v>
      </c>
      <c r="AD837">
        <v>6</v>
      </c>
      <c r="AE837">
        <v>2</v>
      </c>
      <c r="AF837">
        <v>1</v>
      </c>
      <c r="AG837">
        <v>5</v>
      </c>
      <c r="AH837">
        <v>4</v>
      </c>
      <c r="AI837">
        <v>1</v>
      </c>
      <c r="AJ837">
        <v>4</v>
      </c>
    </row>
    <row r="838" spans="1:36" x14ac:dyDescent="0.3">
      <c r="A838">
        <v>29</v>
      </c>
      <c r="B838" t="s">
        <v>35</v>
      </c>
      <c r="C838" s="6">
        <f t="shared" si="13"/>
        <v>1</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t="s">
        <v>43</v>
      </c>
      <c r="Y838">
        <v>13</v>
      </c>
      <c r="Z838">
        <v>3</v>
      </c>
      <c r="AA838">
        <v>1</v>
      </c>
      <c r="AB838">
        <v>80</v>
      </c>
      <c r="AC838">
        <v>1</v>
      </c>
      <c r="AD838">
        <v>11</v>
      </c>
      <c r="AE838">
        <v>3</v>
      </c>
      <c r="AF838">
        <v>1</v>
      </c>
      <c r="AG838">
        <v>11</v>
      </c>
      <c r="AH838">
        <v>8</v>
      </c>
      <c r="AI838">
        <v>3</v>
      </c>
      <c r="AJ838">
        <v>10</v>
      </c>
    </row>
    <row r="839" spans="1:36" x14ac:dyDescent="0.3">
      <c r="A839">
        <v>40</v>
      </c>
      <c r="B839" t="s">
        <v>43</v>
      </c>
      <c r="C839" s="6">
        <f t="shared" si="13"/>
        <v>0</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t="s">
        <v>43</v>
      </c>
      <c r="Y839">
        <v>17</v>
      </c>
      <c r="Z839">
        <v>3</v>
      </c>
      <c r="AA839">
        <v>3</v>
      </c>
      <c r="AB839">
        <v>80</v>
      </c>
      <c r="AC839">
        <v>0</v>
      </c>
      <c r="AD839">
        <v>20</v>
      </c>
      <c r="AE839">
        <v>3</v>
      </c>
      <c r="AF839">
        <v>2</v>
      </c>
      <c r="AG839">
        <v>18</v>
      </c>
      <c r="AH839">
        <v>7</v>
      </c>
      <c r="AI839">
        <v>2</v>
      </c>
      <c r="AJ839">
        <v>13</v>
      </c>
    </row>
    <row r="840" spans="1:36" x14ac:dyDescent="0.3">
      <c r="A840">
        <v>42</v>
      </c>
      <c r="B840" t="s">
        <v>35</v>
      </c>
      <c r="C840" s="6">
        <f t="shared" si="13"/>
        <v>1</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t="s">
        <v>35</v>
      </c>
      <c r="Y840">
        <v>12</v>
      </c>
      <c r="Z840">
        <v>3</v>
      </c>
      <c r="AA840">
        <v>2</v>
      </c>
      <c r="AB840">
        <v>80</v>
      </c>
      <c r="AC840">
        <v>0</v>
      </c>
      <c r="AD840">
        <v>22</v>
      </c>
      <c r="AE840">
        <v>2</v>
      </c>
      <c r="AF840">
        <v>2</v>
      </c>
      <c r="AG840">
        <v>21</v>
      </c>
      <c r="AH840">
        <v>9</v>
      </c>
      <c r="AI840">
        <v>13</v>
      </c>
      <c r="AJ840">
        <v>14</v>
      </c>
    </row>
    <row r="841" spans="1:36" x14ac:dyDescent="0.3">
      <c r="A841">
        <v>42</v>
      </c>
      <c r="B841" t="s">
        <v>43</v>
      </c>
      <c r="C841" s="6">
        <f t="shared" si="13"/>
        <v>0</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t="s">
        <v>43</v>
      </c>
      <c r="Y841">
        <v>13</v>
      </c>
      <c r="Z841">
        <v>3</v>
      </c>
      <c r="AA841">
        <v>4</v>
      </c>
      <c r="AB841">
        <v>80</v>
      </c>
      <c r="AC841">
        <v>0</v>
      </c>
      <c r="AD841">
        <v>9</v>
      </c>
      <c r="AE841">
        <v>3</v>
      </c>
      <c r="AF841">
        <v>4</v>
      </c>
      <c r="AG841">
        <v>6</v>
      </c>
      <c r="AH841">
        <v>4</v>
      </c>
      <c r="AI841">
        <v>1</v>
      </c>
      <c r="AJ841">
        <v>5</v>
      </c>
    </row>
    <row r="842" spans="1:36" x14ac:dyDescent="0.3">
      <c r="A842">
        <v>35</v>
      </c>
      <c r="B842" t="s">
        <v>43</v>
      </c>
      <c r="C842" s="6">
        <f t="shared" si="13"/>
        <v>0</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t="s">
        <v>43</v>
      </c>
      <c r="Y842">
        <v>12</v>
      </c>
      <c r="Z842">
        <v>3</v>
      </c>
      <c r="AA842">
        <v>2</v>
      </c>
      <c r="AB842">
        <v>80</v>
      </c>
      <c r="AC842">
        <v>1</v>
      </c>
      <c r="AD842">
        <v>10</v>
      </c>
      <c r="AE842">
        <v>2</v>
      </c>
      <c r="AF842">
        <v>3</v>
      </c>
      <c r="AG842">
        <v>8</v>
      </c>
      <c r="AH842">
        <v>0</v>
      </c>
      <c r="AI842">
        <v>1</v>
      </c>
      <c r="AJ842">
        <v>7</v>
      </c>
    </row>
    <row r="843" spans="1:36" x14ac:dyDescent="0.3">
      <c r="A843">
        <v>24</v>
      </c>
      <c r="B843" t="s">
        <v>43</v>
      </c>
      <c r="C843" s="6">
        <f t="shared" si="13"/>
        <v>0</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t="s">
        <v>43</v>
      </c>
      <c r="Y843">
        <v>22</v>
      </c>
      <c r="Z843">
        <v>4</v>
      </c>
      <c r="AA843">
        <v>4</v>
      </c>
      <c r="AB843">
        <v>80</v>
      </c>
      <c r="AC843">
        <v>0</v>
      </c>
      <c r="AD843">
        <v>6</v>
      </c>
      <c r="AE843">
        <v>2</v>
      </c>
      <c r="AF843">
        <v>3</v>
      </c>
      <c r="AG843">
        <v>4</v>
      </c>
      <c r="AH843">
        <v>3</v>
      </c>
      <c r="AI843">
        <v>1</v>
      </c>
      <c r="AJ843">
        <v>2</v>
      </c>
    </row>
    <row r="844" spans="1:36" x14ac:dyDescent="0.3">
      <c r="A844">
        <v>28</v>
      </c>
      <c r="B844" t="s">
        <v>35</v>
      </c>
      <c r="C844" s="6">
        <f t="shared" si="13"/>
        <v>1</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t="s">
        <v>35</v>
      </c>
      <c r="Y844">
        <v>11</v>
      </c>
      <c r="Z844">
        <v>3</v>
      </c>
      <c r="AA844">
        <v>4</v>
      </c>
      <c r="AB844">
        <v>80</v>
      </c>
      <c r="AC844">
        <v>0</v>
      </c>
      <c r="AD844">
        <v>1</v>
      </c>
      <c r="AE844">
        <v>4</v>
      </c>
      <c r="AF844">
        <v>2</v>
      </c>
      <c r="AG844">
        <v>1</v>
      </c>
      <c r="AH844">
        <v>1</v>
      </c>
      <c r="AI844">
        <v>0</v>
      </c>
      <c r="AJ844">
        <v>0</v>
      </c>
    </row>
    <row r="845" spans="1:36" x14ac:dyDescent="0.3">
      <c r="A845">
        <v>26</v>
      </c>
      <c r="B845" t="s">
        <v>43</v>
      </c>
      <c r="C845" s="6">
        <f t="shared" si="13"/>
        <v>0</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t="s">
        <v>43</v>
      </c>
      <c r="Y845">
        <v>22</v>
      </c>
      <c r="Z845">
        <v>4</v>
      </c>
      <c r="AA845">
        <v>2</v>
      </c>
      <c r="AB845">
        <v>80</v>
      </c>
      <c r="AC845">
        <v>1</v>
      </c>
      <c r="AD845">
        <v>8</v>
      </c>
      <c r="AE845">
        <v>2</v>
      </c>
      <c r="AF845">
        <v>3</v>
      </c>
      <c r="AG845">
        <v>8</v>
      </c>
      <c r="AH845">
        <v>7</v>
      </c>
      <c r="AI845">
        <v>0</v>
      </c>
      <c r="AJ845">
        <v>7</v>
      </c>
    </row>
    <row r="846" spans="1:36" x14ac:dyDescent="0.3">
      <c r="A846">
        <v>30</v>
      </c>
      <c r="B846" t="s">
        <v>43</v>
      </c>
      <c r="C846" s="6">
        <f t="shared" si="13"/>
        <v>0</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t="s">
        <v>43</v>
      </c>
      <c r="Y846">
        <v>18</v>
      </c>
      <c r="Z846">
        <v>3</v>
      </c>
      <c r="AA846">
        <v>1</v>
      </c>
      <c r="AB846">
        <v>80</v>
      </c>
      <c r="AC846">
        <v>1</v>
      </c>
      <c r="AD846">
        <v>10</v>
      </c>
      <c r="AE846">
        <v>3</v>
      </c>
      <c r="AF846">
        <v>3</v>
      </c>
      <c r="AG846">
        <v>10</v>
      </c>
      <c r="AH846">
        <v>3</v>
      </c>
      <c r="AI846">
        <v>1</v>
      </c>
      <c r="AJ846">
        <v>4</v>
      </c>
    </row>
    <row r="847" spans="1:36" x14ac:dyDescent="0.3">
      <c r="A847">
        <v>40</v>
      </c>
      <c r="B847" t="s">
        <v>43</v>
      </c>
      <c r="C847" s="6">
        <f t="shared" si="13"/>
        <v>0</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t="s">
        <v>35</v>
      </c>
      <c r="Y847">
        <v>13</v>
      </c>
      <c r="Z847">
        <v>3</v>
      </c>
      <c r="AA847">
        <v>4</v>
      </c>
      <c r="AB847">
        <v>80</v>
      </c>
      <c r="AC847">
        <v>1</v>
      </c>
      <c r="AD847">
        <v>16</v>
      </c>
      <c r="AE847">
        <v>3</v>
      </c>
      <c r="AF847">
        <v>1</v>
      </c>
      <c r="AG847">
        <v>1</v>
      </c>
      <c r="AH847">
        <v>1</v>
      </c>
      <c r="AI847">
        <v>0</v>
      </c>
      <c r="AJ847">
        <v>0</v>
      </c>
    </row>
    <row r="848" spans="1:36" x14ac:dyDescent="0.3">
      <c r="A848">
        <v>35</v>
      </c>
      <c r="B848" t="s">
        <v>43</v>
      </c>
      <c r="C848" s="6">
        <f t="shared" si="13"/>
        <v>0</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t="s">
        <v>43</v>
      </c>
      <c r="Y848">
        <v>18</v>
      </c>
      <c r="Z848">
        <v>3</v>
      </c>
      <c r="AA848">
        <v>2</v>
      </c>
      <c r="AB848">
        <v>80</v>
      </c>
      <c r="AC848">
        <v>1</v>
      </c>
      <c r="AD848">
        <v>15</v>
      </c>
      <c r="AE848">
        <v>2</v>
      </c>
      <c r="AF848">
        <v>4</v>
      </c>
      <c r="AG848">
        <v>7</v>
      </c>
      <c r="AH848">
        <v>7</v>
      </c>
      <c r="AI848">
        <v>6</v>
      </c>
      <c r="AJ848">
        <v>4</v>
      </c>
    </row>
    <row r="849" spans="1:36" x14ac:dyDescent="0.3">
      <c r="A849">
        <v>34</v>
      </c>
      <c r="B849" t="s">
        <v>43</v>
      </c>
      <c r="C849" s="6">
        <f t="shared" si="13"/>
        <v>0</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t="s">
        <v>43</v>
      </c>
      <c r="Y849">
        <v>20</v>
      </c>
      <c r="Z849">
        <v>4</v>
      </c>
      <c r="AA849">
        <v>3</v>
      </c>
      <c r="AB849">
        <v>80</v>
      </c>
      <c r="AC849">
        <v>0</v>
      </c>
      <c r="AD849">
        <v>14</v>
      </c>
      <c r="AE849">
        <v>3</v>
      </c>
      <c r="AF849">
        <v>3</v>
      </c>
      <c r="AG849">
        <v>13</v>
      </c>
      <c r="AH849">
        <v>9</v>
      </c>
      <c r="AI849">
        <v>4</v>
      </c>
      <c r="AJ849">
        <v>9</v>
      </c>
    </row>
    <row r="850" spans="1:36" x14ac:dyDescent="0.3">
      <c r="A850">
        <v>35</v>
      </c>
      <c r="B850" t="s">
        <v>43</v>
      </c>
      <c r="C850" s="6">
        <f t="shared" si="13"/>
        <v>0</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t="s">
        <v>43</v>
      </c>
      <c r="Y850">
        <v>13</v>
      </c>
      <c r="Z850">
        <v>3</v>
      </c>
      <c r="AA850">
        <v>2</v>
      </c>
      <c r="AB850">
        <v>80</v>
      </c>
      <c r="AC850">
        <v>1</v>
      </c>
      <c r="AD850">
        <v>2</v>
      </c>
      <c r="AE850">
        <v>2</v>
      </c>
      <c r="AF850">
        <v>4</v>
      </c>
      <c r="AG850">
        <v>2</v>
      </c>
      <c r="AH850">
        <v>2</v>
      </c>
      <c r="AI850">
        <v>2</v>
      </c>
      <c r="AJ850">
        <v>2</v>
      </c>
    </row>
    <row r="851" spans="1:36" x14ac:dyDescent="0.3">
      <c r="A851">
        <v>43</v>
      </c>
      <c r="B851" t="s">
        <v>35</v>
      </c>
      <c r="C851" s="6">
        <f t="shared" si="13"/>
        <v>1</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t="s">
        <v>43</v>
      </c>
      <c r="Y851">
        <v>13</v>
      </c>
      <c r="Z851">
        <v>3</v>
      </c>
      <c r="AA851">
        <v>2</v>
      </c>
      <c r="AB851">
        <v>80</v>
      </c>
      <c r="AC851">
        <v>0</v>
      </c>
      <c r="AD851">
        <v>7</v>
      </c>
      <c r="AE851">
        <v>2</v>
      </c>
      <c r="AF851">
        <v>2</v>
      </c>
      <c r="AG851">
        <v>4</v>
      </c>
      <c r="AH851">
        <v>3</v>
      </c>
      <c r="AI851">
        <v>1</v>
      </c>
      <c r="AJ851">
        <v>3</v>
      </c>
    </row>
    <row r="852" spans="1:36" x14ac:dyDescent="0.3">
      <c r="A852">
        <v>32</v>
      </c>
      <c r="B852" t="s">
        <v>43</v>
      </c>
      <c r="C852" s="6">
        <f t="shared" si="13"/>
        <v>0</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t="s">
        <v>43</v>
      </c>
      <c r="Y852">
        <v>12</v>
      </c>
      <c r="Z852">
        <v>3</v>
      </c>
      <c r="AA852">
        <v>3</v>
      </c>
      <c r="AB852">
        <v>80</v>
      </c>
      <c r="AC852">
        <v>3</v>
      </c>
      <c r="AD852">
        <v>1</v>
      </c>
      <c r="AE852">
        <v>3</v>
      </c>
      <c r="AF852">
        <v>3</v>
      </c>
      <c r="AG852">
        <v>1</v>
      </c>
      <c r="AH852">
        <v>0</v>
      </c>
      <c r="AI852">
        <v>0</v>
      </c>
      <c r="AJ852">
        <v>0</v>
      </c>
    </row>
    <row r="853" spans="1:36" x14ac:dyDescent="0.3">
      <c r="A853">
        <v>56</v>
      </c>
      <c r="B853" t="s">
        <v>43</v>
      </c>
      <c r="C853" s="6">
        <f t="shared" si="13"/>
        <v>0</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t="s">
        <v>43</v>
      </c>
      <c r="Y853">
        <v>13</v>
      </c>
      <c r="Z853">
        <v>3</v>
      </c>
      <c r="AA853">
        <v>4</v>
      </c>
      <c r="AB853">
        <v>80</v>
      </c>
      <c r="AC853">
        <v>1</v>
      </c>
      <c r="AD853">
        <v>28</v>
      </c>
      <c r="AE853">
        <v>2</v>
      </c>
      <c r="AF853">
        <v>3</v>
      </c>
      <c r="AG853">
        <v>5</v>
      </c>
      <c r="AH853">
        <v>2</v>
      </c>
      <c r="AI853">
        <v>4</v>
      </c>
      <c r="AJ853">
        <v>2</v>
      </c>
    </row>
    <row r="854" spans="1:36" x14ac:dyDescent="0.3">
      <c r="A854">
        <v>29</v>
      </c>
      <c r="B854" t="s">
        <v>43</v>
      </c>
      <c r="C854" s="6">
        <f t="shared" si="13"/>
        <v>0</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t="s">
        <v>43</v>
      </c>
      <c r="Y854">
        <v>13</v>
      </c>
      <c r="Z854">
        <v>3</v>
      </c>
      <c r="AA854">
        <v>1</v>
      </c>
      <c r="AB854">
        <v>80</v>
      </c>
      <c r="AC854">
        <v>1</v>
      </c>
      <c r="AD854">
        <v>10</v>
      </c>
      <c r="AE854">
        <v>5</v>
      </c>
      <c r="AF854">
        <v>3</v>
      </c>
      <c r="AG854">
        <v>10</v>
      </c>
      <c r="AH854">
        <v>8</v>
      </c>
      <c r="AI854">
        <v>0</v>
      </c>
      <c r="AJ854">
        <v>8</v>
      </c>
    </row>
    <row r="855" spans="1:36" x14ac:dyDescent="0.3">
      <c r="A855">
        <v>19</v>
      </c>
      <c r="B855" t="s">
        <v>43</v>
      </c>
      <c r="C855" s="6">
        <f t="shared" si="13"/>
        <v>0</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t="s">
        <v>43</v>
      </c>
      <c r="Y855">
        <v>25</v>
      </c>
      <c r="Z855">
        <v>4</v>
      </c>
      <c r="AA855">
        <v>3</v>
      </c>
      <c r="AB855">
        <v>80</v>
      </c>
      <c r="AC855">
        <v>0</v>
      </c>
      <c r="AD855">
        <v>1</v>
      </c>
      <c r="AE855">
        <v>4</v>
      </c>
      <c r="AF855">
        <v>3</v>
      </c>
      <c r="AG855">
        <v>1</v>
      </c>
      <c r="AH855">
        <v>1</v>
      </c>
      <c r="AI855">
        <v>0</v>
      </c>
      <c r="AJ855">
        <v>0</v>
      </c>
    </row>
    <row r="856" spans="1:36" x14ac:dyDescent="0.3">
      <c r="A856">
        <v>45</v>
      </c>
      <c r="B856" t="s">
        <v>43</v>
      </c>
      <c r="C856" s="6">
        <f t="shared" si="13"/>
        <v>0</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t="s">
        <v>35</v>
      </c>
      <c r="Y856">
        <v>19</v>
      </c>
      <c r="Z856">
        <v>3</v>
      </c>
      <c r="AA856">
        <v>3</v>
      </c>
      <c r="AB856">
        <v>80</v>
      </c>
      <c r="AC856">
        <v>1</v>
      </c>
      <c r="AD856">
        <v>7</v>
      </c>
      <c r="AE856">
        <v>2</v>
      </c>
      <c r="AF856">
        <v>2</v>
      </c>
      <c r="AG856">
        <v>3</v>
      </c>
      <c r="AH856">
        <v>2</v>
      </c>
      <c r="AI856">
        <v>0</v>
      </c>
      <c r="AJ856">
        <v>2</v>
      </c>
    </row>
    <row r="857" spans="1:36" x14ac:dyDescent="0.3">
      <c r="A857">
        <v>37</v>
      </c>
      <c r="B857" t="s">
        <v>43</v>
      </c>
      <c r="C857" s="6">
        <f t="shared" si="13"/>
        <v>0</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t="s">
        <v>43</v>
      </c>
      <c r="Y857">
        <v>13</v>
      </c>
      <c r="Z857">
        <v>3</v>
      </c>
      <c r="AA857">
        <v>2</v>
      </c>
      <c r="AB857">
        <v>80</v>
      </c>
      <c r="AC857">
        <v>1</v>
      </c>
      <c r="AD857">
        <v>14</v>
      </c>
      <c r="AE857">
        <v>2</v>
      </c>
      <c r="AF857">
        <v>2</v>
      </c>
      <c r="AG857">
        <v>14</v>
      </c>
      <c r="AH857">
        <v>8</v>
      </c>
      <c r="AI857">
        <v>3</v>
      </c>
      <c r="AJ857">
        <v>11</v>
      </c>
    </row>
    <row r="858" spans="1:36" x14ac:dyDescent="0.3">
      <c r="A858">
        <v>20</v>
      </c>
      <c r="B858" t="s">
        <v>43</v>
      </c>
      <c r="C858" s="6">
        <f t="shared" si="13"/>
        <v>0</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t="s">
        <v>43</v>
      </c>
      <c r="Y858">
        <v>12</v>
      </c>
      <c r="Z858">
        <v>3</v>
      </c>
      <c r="AA858">
        <v>1</v>
      </c>
      <c r="AB858">
        <v>80</v>
      </c>
      <c r="AC858">
        <v>0</v>
      </c>
      <c r="AD858">
        <v>2</v>
      </c>
      <c r="AE858">
        <v>2</v>
      </c>
      <c r="AF858">
        <v>2</v>
      </c>
      <c r="AG858">
        <v>2</v>
      </c>
      <c r="AH858">
        <v>2</v>
      </c>
      <c r="AI858">
        <v>1</v>
      </c>
      <c r="AJ858">
        <v>2</v>
      </c>
    </row>
    <row r="859" spans="1:36" x14ac:dyDescent="0.3">
      <c r="A859">
        <v>44</v>
      </c>
      <c r="B859" t="s">
        <v>35</v>
      </c>
      <c r="C859" s="6">
        <f t="shared" si="13"/>
        <v>1</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t="s">
        <v>35</v>
      </c>
      <c r="Y859">
        <v>11</v>
      </c>
      <c r="Z859">
        <v>3</v>
      </c>
      <c r="AA859">
        <v>3</v>
      </c>
      <c r="AB859">
        <v>80</v>
      </c>
      <c r="AC859">
        <v>0</v>
      </c>
      <c r="AD859">
        <v>6</v>
      </c>
      <c r="AE859">
        <v>4</v>
      </c>
      <c r="AF859">
        <v>3</v>
      </c>
      <c r="AG859">
        <v>6</v>
      </c>
      <c r="AH859">
        <v>4</v>
      </c>
      <c r="AI859">
        <v>0</v>
      </c>
      <c r="AJ859">
        <v>2</v>
      </c>
    </row>
    <row r="860" spans="1:36" x14ac:dyDescent="0.3">
      <c r="A860">
        <v>53</v>
      </c>
      <c r="B860" t="s">
        <v>43</v>
      </c>
      <c r="C860" s="6">
        <f t="shared" si="13"/>
        <v>0</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t="s">
        <v>43</v>
      </c>
      <c r="Y860">
        <v>18</v>
      </c>
      <c r="Z860">
        <v>3</v>
      </c>
      <c r="AA860">
        <v>2</v>
      </c>
      <c r="AB860">
        <v>80</v>
      </c>
      <c r="AC860">
        <v>1</v>
      </c>
      <c r="AD860">
        <v>26</v>
      </c>
      <c r="AE860">
        <v>6</v>
      </c>
      <c r="AF860">
        <v>3</v>
      </c>
      <c r="AG860">
        <v>7</v>
      </c>
      <c r="AH860">
        <v>7</v>
      </c>
      <c r="AI860">
        <v>4</v>
      </c>
      <c r="AJ860">
        <v>7</v>
      </c>
    </row>
    <row r="861" spans="1:36" x14ac:dyDescent="0.3">
      <c r="A861">
        <v>29</v>
      </c>
      <c r="B861" t="s">
        <v>43</v>
      </c>
      <c r="C861" s="6">
        <f t="shared" si="13"/>
        <v>0</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t="s">
        <v>35</v>
      </c>
      <c r="Y861">
        <v>18</v>
      </c>
      <c r="Z861">
        <v>3</v>
      </c>
      <c r="AA861">
        <v>1</v>
      </c>
      <c r="AB861">
        <v>80</v>
      </c>
      <c r="AC861">
        <v>1</v>
      </c>
      <c r="AD861">
        <v>6</v>
      </c>
      <c r="AE861">
        <v>2</v>
      </c>
      <c r="AF861">
        <v>2</v>
      </c>
      <c r="AG861">
        <v>5</v>
      </c>
      <c r="AH861">
        <v>4</v>
      </c>
      <c r="AI861">
        <v>1</v>
      </c>
      <c r="AJ861">
        <v>3</v>
      </c>
    </row>
    <row r="862" spans="1:36" x14ac:dyDescent="0.3">
      <c r="A862">
        <v>22</v>
      </c>
      <c r="B862" t="s">
        <v>35</v>
      </c>
      <c r="C862" s="6">
        <f t="shared" si="13"/>
        <v>1</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t="s">
        <v>35</v>
      </c>
      <c r="Y862">
        <v>11</v>
      </c>
      <c r="Z862">
        <v>3</v>
      </c>
      <c r="AA862">
        <v>2</v>
      </c>
      <c r="AB862">
        <v>80</v>
      </c>
      <c r="AC862">
        <v>1</v>
      </c>
      <c r="AD862">
        <v>1</v>
      </c>
      <c r="AE862">
        <v>5</v>
      </c>
      <c r="AF862">
        <v>3</v>
      </c>
      <c r="AG862">
        <v>0</v>
      </c>
      <c r="AH862">
        <v>0</v>
      </c>
      <c r="AI862">
        <v>0</v>
      </c>
      <c r="AJ862">
        <v>0</v>
      </c>
    </row>
    <row r="863" spans="1:36" x14ac:dyDescent="0.3">
      <c r="A863">
        <v>46</v>
      </c>
      <c r="B863" t="s">
        <v>43</v>
      </c>
      <c r="C863" s="6">
        <f t="shared" si="13"/>
        <v>0</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t="s">
        <v>43</v>
      </c>
      <c r="Y863">
        <v>23</v>
      </c>
      <c r="Z863">
        <v>4</v>
      </c>
      <c r="AA863">
        <v>1</v>
      </c>
      <c r="AB863">
        <v>80</v>
      </c>
      <c r="AC863">
        <v>0</v>
      </c>
      <c r="AD863">
        <v>28</v>
      </c>
      <c r="AE863">
        <v>2</v>
      </c>
      <c r="AF863">
        <v>3</v>
      </c>
      <c r="AG863">
        <v>26</v>
      </c>
      <c r="AH863">
        <v>15</v>
      </c>
      <c r="AI863">
        <v>15</v>
      </c>
      <c r="AJ863">
        <v>9</v>
      </c>
    </row>
    <row r="864" spans="1:36" x14ac:dyDescent="0.3">
      <c r="A864">
        <v>44</v>
      </c>
      <c r="B864" t="s">
        <v>43</v>
      </c>
      <c r="C864" s="6">
        <f t="shared" si="13"/>
        <v>0</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t="s">
        <v>43</v>
      </c>
      <c r="Y864">
        <v>13</v>
      </c>
      <c r="Z864">
        <v>3</v>
      </c>
      <c r="AA864">
        <v>4</v>
      </c>
      <c r="AB864">
        <v>80</v>
      </c>
      <c r="AC864">
        <v>0</v>
      </c>
      <c r="AD864">
        <v>6</v>
      </c>
      <c r="AE864">
        <v>3</v>
      </c>
      <c r="AF864">
        <v>3</v>
      </c>
      <c r="AG864">
        <v>0</v>
      </c>
      <c r="AH864">
        <v>0</v>
      </c>
      <c r="AI864">
        <v>0</v>
      </c>
      <c r="AJ864">
        <v>0</v>
      </c>
    </row>
    <row r="865" spans="1:36" x14ac:dyDescent="0.3">
      <c r="A865">
        <v>33</v>
      </c>
      <c r="B865" t="s">
        <v>43</v>
      </c>
      <c r="C865" s="6">
        <f t="shared" si="13"/>
        <v>0</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t="s">
        <v>43</v>
      </c>
      <c r="Y865">
        <v>13</v>
      </c>
      <c r="Z865">
        <v>3</v>
      </c>
      <c r="AA865">
        <v>4</v>
      </c>
      <c r="AB865">
        <v>80</v>
      </c>
      <c r="AC865">
        <v>1</v>
      </c>
      <c r="AD865">
        <v>5</v>
      </c>
      <c r="AE865">
        <v>2</v>
      </c>
      <c r="AF865">
        <v>3</v>
      </c>
      <c r="AG865">
        <v>5</v>
      </c>
      <c r="AH865">
        <v>4</v>
      </c>
      <c r="AI865">
        <v>1</v>
      </c>
      <c r="AJ865">
        <v>4</v>
      </c>
    </row>
    <row r="866" spans="1:36" x14ac:dyDescent="0.3">
      <c r="A866">
        <v>41</v>
      </c>
      <c r="B866" t="s">
        <v>35</v>
      </c>
      <c r="C866" s="6">
        <f t="shared" si="13"/>
        <v>1</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t="s">
        <v>43</v>
      </c>
      <c r="Y866">
        <v>17</v>
      </c>
      <c r="Z866">
        <v>3</v>
      </c>
      <c r="AA866">
        <v>1</v>
      </c>
      <c r="AB866">
        <v>80</v>
      </c>
      <c r="AC866">
        <v>1</v>
      </c>
      <c r="AD866">
        <v>5</v>
      </c>
      <c r="AE866">
        <v>2</v>
      </c>
      <c r="AF866">
        <v>1</v>
      </c>
      <c r="AG866">
        <v>1</v>
      </c>
      <c r="AH866">
        <v>0</v>
      </c>
      <c r="AI866">
        <v>0</v>
      </c>
      <c r="AJ866">
        <v>0</v>
      </c>
    </row>
    <row r="867" spans="1:36" x14ac:dyDescent="0.3">
      <c r="A867">
        <v>30</v>
      </c>
      <c r="B867" t="s">
        <v>43</v>
      </c>
      <c r="C867" s="6">
        <f t="shared" si="13"/>
        <v>0</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t="s">
        <v>43</v>
      </c>
      <c r="Y867">
        <v>19</v>
      </c>
      <c r="Z867">
        <v>3</v>
      </c>
      <c r="AA867">
        <v>3</v>
      </c>
      <c r="AB867">
        <v>80</v>
      </c>
      <c r="AC867">
        <v>3</v>
      </c>
      <c r="AD867">
        <v>8</v>
      </c>
      <c r="AE867">
        <v>3</v>
      </c>
      <c r="AF867">
        <v>3</v>
      </c>
      <c r="AG867">
        <v>4</v>
      </c>
      <c r="AH867">
        <v>3</v>
      </c>
      <c r="AI867">
        <v>0</v>
      </c>
      <c r="AJ867">
        <v>3</v>
      </c>
    </row>
    <row r="868" spans="1:36" x14ac:dyDescent="0.3">
      <c r="A868">
        <v>40</v>
      </c>
      <c r="B868" t="s">
        <v>43</v>
      </c>
      <c r="C868" s="6">
        <f t="shared" si="13"/>
        <v>0</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t="s">
        <v>43</v>
      </c>
      <c r="Y868">
        <v>12</v>
      </c>
      <c r="Z868">
        <v>3</v>
      </c>
      <c r="AA868">
        <v>4</v>
      </c>
      <c r="AB868">
        <v>80</v>
      </c>
      <c r="AC868">
        <v>3</v>
      </c>
      <c r="AD868">
        <v>5</v>
      </c>
      <c r="AE868">
        <v>2</v>
      </c>
      <c r="AF868">
        <v>3</v>
      </c>
      <c r="AG868">
        <v>0</v>
      </c>
      <c r="AH868">
        <v>0</v>
      </c>
      <c r="AI868">
        <v>0</v>
      </c>
      <c r="AJ868">
        <v>0</v>
      </c>
    </row>
    <row r="869" spans="1:36" x14ac:dyDescent="0.3">
      <c r="A869">
        <v>50</v>
      </c>
      <c r="B869" t="s">
        <v>43</v>
      </c>
      <c r="C869" s="6">
        <f t="shared" si="13"/>
        <v>0</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t="s">
        <v>43</v>
      </c>
      <c r="Y869">
        <v>22</v>
      </c>
      <c r="Z869">
        <v>4</v>
      </c>
      <c r="AA869">
        <v>3</v>
      </c>
      <c r="AB869">
        <v>80</v>
      </c>
      <c r="AC869">
        <v>1</v>
      </c>
      <c r="AD869">
        <v>32</v>
      </c>
      <c r="AE869">
        <v>3</v>
      </c>
      <c r="AF869">
        <v>3</v>
      </c>
      <c r="AG869">
        <v>2</v>
      </c>
      <c r="AH869">
        <v>2</v>
      </c>
      <c r="AI869">
        <v>2</v>
      </c>
      <c r="AJ869">
        <v>2</v>
      </c>
    </row>
    <row r="870" spans="1:36" x14ac:dyDescent="0.3">
      <c r="A870">
        <v>28</v>
      </c>
      <c r="B870" t="s">
        <v>43</v>
      </c>
      <c r="C870" s="6">
        <f t="shared" si="13"/>
        <v>0</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t="s">
        <v>43</v>
      </c>
      <c r="Y870">
        <v>12</v>
      </c>
      <c r="Z870">
        <v>3</v>
      </c>
      <c r="AA870">
        <v>3</v>
      </c>
      <c r="AB870">
        <v>80</v>
      </c>
      <c r="AC870">
        <v>3</v>
      </c>
      <c r="AD870">
        <v>6</v>
      </c>
      <c r="AE870">
        <v>2</v>
      </c>
      <c r="AF870">
        <v>3</v>
      </c>
      <c r="AG870">
        <v>6</v>
      </c>
      <c r="AH870">
        <v>5</v>
      </c>
      <c r="AI870">
        <v>3</v>
      </c>
      <c r="AJ870">
        <v>3</v>
      </c>
    </row>
    <row r="871" spans="1:36" x14ac:dyDescent="0.3">
      <c r="A871">
        <v>46</v>
      </c>
      <c r="B871" t="s">
        <v>43</v>
      </c>
      <c r="C871" s="6">
        <f t="shared" si="13"/>
        <v>0</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t="s">
        <v>43</v>
      </c>
      <c r="Y871">
        <v>11</v>
      </c>
      <c r="Z871">
        <v>3</v>
      </c>
      <c r="AA871">
        <v>1</v>
      </c>
      <c r="AB871">
        <v>80</v>
      </c>
      <c r="AC871">
        <v>1</v>
      </c>
      <c r="AD871">
        <v>25</v>
      </c>
      <c r="AE871">
        <v>2</v>
      </c>
      <c r="AF871">
        <v>3</v>
      </c>
      <c r="AG871">
        <v>4</v>
      </c>
      <c r="AH871">
        <v>2</v>
      </c>
      <c r="AI871">
        <v>0</v>
      </c>
      <c r="AJ871">
        <v>3</v>
      </c>
    </row>
    <row r="872" spans="1:36" x14ac:dyDescent="0.3">
      <c r="A872">
        <v>35</v>
      </c>
      <c r="B872" t="s">
        <v>43</v>
      </c>
      <c r="C872" s="6">
        <f t="shared" si="13"/>
        <v>0</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t="s">
        <v>35</v>
      </c>
      <c r="Y872">
        <v>15</v>
      </c>
      <c r="Z872">
        <v>3</v>
      </c>
      <c r="AA872">
        <v>4</v>
      </c>
      <c r="AB872">
        <v>80</v>
      </c>
      <c r="AC872">
        <v>3</v>
      </c>
      <c r="AD872">
        <v>15</v>
      </c>
      <c r="AE872">
        <v>2</v>
      </c>
      <c r="AF872">
        <v>3</v>
      </c>
      <c r="AG872">
        <v>7</v>
      </c>
      <c r="AH872">
        <v>7</v>
      </c>
      <c r="AI872">
        <v>1</v>
      </c>
      <c r="AJ872">
        <v>7</v>
      </c>
    </row>
    <row r="873" spans="1:36" x14ac:dyDescent="0.3">
      <c r="A873">
        <v>24</v>
      </c>
      <c r="B873" t="s">
        <v>35</v>
      </c>
      <c r="C873" s="6">
        <f t="shared" si="13"/>
        <v>1</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t="s">
        <v>43</v>
      </c>
      <c r="Y873">
        <v>13</v>
      </c>
      <c r="Z873">
        <v>3</v>
      </c>
      <c r="AA873">
        <v>1</v>
      </c>
      <c r="AB873">
        <v>80</v>
      </c>
      <c r="AC873">
        <v>1</v>
      </c>
      <c r="AD873">
        <v>1</v>
      </c>
      <c r="AE873">
        <v>3</v>
      </c>
      <c r="AF873">
        <v>1</v>
      </c>
      <c r="AG873">
        <v>1</v>
      </c>
      <c r="AH873">
        <v>0</v>
      </c>
      <c r="AI873">
        <v>0</v>
      </c>
      <c r="AJ873">
        <v>0</v>
      </c>
    </row>
    <row r="874" spans="1:36" x14ac:dyDescent="0.3">
      <c r="A874">
        <v>33</v>
      </c>
      <c r="B874" t="s">
        <v>43</v>
      </c>
      <c r="C874" s="6">
        <f t="shared" si="13"/>
        <v>0</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t="s">
        <v>43</v>
      </c>
      <c r="Y874">
        <v>12</v>
      </c>
      <c r="Z874">
        <v>3</v>
      </c>
      <c r="AA874">
        <v>1</v>
      </c>
      <c r="AB874">
        <v>80</v>
      </c>
      <c r="AC874">
        <v>1</v>
      </c>
      <c r="AD874">
        <v>10</v>
      </c>
      <c r="AE874">
        <v>3</v>
      </c>
      <c r="AF874">
        <v>2</v>
      </c>
      <c r="AG874">
        <v>10</v>
      </c>
      <c r="AH874">
        <v>7</v>
      </c>
      <c r="AI874">
        <v>0</v>
      </c>
      <c r="AJ874">
        <v>1</v>
      </c>
    </row>
    <row r="875" spans="1:36" x14ac:dyDescent="0.3">
      <c r="A875">
        <v>36</v>
      </c>
      <c r="B875" t="s">
        <v>43</v>
      </c>
      <c r="C875" s="6">
        <f t="shared" si="13"/>
        <v>0</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t="s">
        <v>43</v>
      </c>
      <c r="Y875">
        <v>14</v>
      </c>
      <c r="Z875">
        <v>3</v>
      </c>
      <c r="AA875">
        <v>3</v>
      </c>
      <c r="AB875">
        <v>80</v>
      </c>
      <c r="AC875">
        <v>1</v>
      </c>
      <c r="AD875">
        <v>7</v>
      </c>
      <c r="AE875">
        <v>4</v>
      </c>
      <c r="AF875">
        <v>3</v>
      </c>
      <c r="AG875">
        <v>7</v>
      </c>
      <c r="AH875">
        <v>7</v>
      </c>
      <c r="AI875">
        <v>1</v>
      </c>
      <c r="AJ875">
        <v>7</v>
      </c>
    </row>
    <row r="876" spans="1:36" x14ac:dyDescent="0.3">
      <c r="A876">
        <v>30</v>
      </c>
      <c r="B876" t="s">
        <v>43</v>
      </c>
      <c r="C876" s="6">
        <f t="shared" si="13"/>
        <v>0</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t="s">
        <v>43</v>
      </c>
      <c r="Y876">
        <v>13</v>
      </c>
      <c r="Z876">
        <v>3</v>
      </c>
      <c r="AA876">
        <v>1</v>
      </c>
      <c r="AB876">
        <v>80</v>
      </c>
      <c r="AC876">
        <v>3</v>
      </c>
      <c r="AD876">
        <v>10</v>
      </c>
      <c r="AE876">
        <v>4</v>
      </c>
      <c r="AF876">
        <v>2</v>
      </c>
      <c r="AG876">
        <v>10</v>
      </c>
      <c r="AH876">
        <v>7</v>
      </c>
      <c r="AI876">
        <v>8</v>
      </c>
      <c r="AJ876">
        <v>9</v>
      </c>
    </row>
    <row r="877" spans="1:36" x14ac:dyDescent="0.3">
      <c r="A877">
        <v>44</v>
      </c>
      <c r="B877" t="s">
        <v>43</v>
      </c>
      <c r="C877" s="6">
        <f t="shared" si="13"/>
        <v>0</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t="s">
        <v>43</v>
      </c>
      <c r="Y877">
        <v>25</v>
      </c>
      <c r="Z877">
        <v>4</v>
      </c>
      <c r="AA877">
        <v>2</v>
      </c>
      <c r="AB877">
        <v>80</v>
      </c>
      <c r="AC877">
        <v>0</v>
      </c>
      <c r="AD877">
        <v>20</v>
      </c>
      <c r="AE877">
        <v>3</v>
      </c>
      <c r="AF877">
        <v>3</v>
      </c>
      <c r="AG877">
        <v>20</v>
      </c>
      <c r="AH877">
        <v>11</v>
      </c>
      <c r="AI877">
        <v>13</v>
      </c>
      <c r="AJ877">
        <v>17</v>
      </c>
    </row>
    <row r="878" spans="1:36" x14ac:dyDescent="0.3">
      <c r="A878">
        <v>20</v>
      </c>
      <c r="B878" t="s">
        <v>43</v>
      </c>
      <c r="C878" s="6">
        <f t="shared" si="13"/>
        <v>0</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t="s">
        <v>43</v>
      </c>
      <c r="Y878">
        <v>17</v>
      </c>
      <c r="Z878">
        <v>3</v>
      </c>
      <c r="AA878">
        <v>4</v>
      </c>
      <c r="AB878">
        <v>80</v>
      </c>
      <c r="AC878">
        <v>0</v>
      </c>
      <c r="AD878">
        <v>2</v>
      </c>
      <c r="AE878">
        <v>2</v>
      </c>
      <c r="AF878">
        <v>3</v>
      </c>
      <c r="AG878">
        <v>2</v>
      </c>
      <c r="AH878">
        <v>1</v>
      </c>
      <c r="AI878">
        <v>2</v>
      </c>
      <c r="AJ878">
        <v>2</v>
      </c>
    </row>
    <row r="879" spans="1:36" x14ac:dyDescent="0.3">
      <c r="A879">
        <v>46</v>
      </c>
      <c r="B879" t="s">
        <v>43</v>
      </c>
      <c r="C879" s="6">
        <f t="shared" si="13"/>
        <v>0</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t="s">
        <v>43</v>
      </c>
      <c r="Y879">
        <v>11</v>
      </c>
      <c r="Z879">
        <v>3</v>
      </c>
      <c r="AA879">
        <v>3</v>
      </c>
      <c r="AB879">
        <v>80</v>
      </c>
      <c r="AC879">
        <v>1</v>
      </c>
      <c r="AD879">
        <v>12</v>
      </c>
      <c r="AE879">
        <v>3</v>
      </c>
      <c r="AF879">
        <v>2</v>
      </c>
      <c r="AG879">
        <v>6</v>
      </c>
      <c r="AH879">
        <v>3</v>
      </c>
      <c r="AI879">
        <v>1</v>
      </c>
      <c r="AJ879">
        <v>4</v>
      </c>
    </row>
    <row r="880" spans="1:36" x14ac:dyDescent="0.3">
      <c r="A880">
        <v>42</v>
      </c>
      <c r="B880" t="s">
        <v>43</v>
      </c>
      <c r="C880" s="6">
        <f t="shared" si="13"/>
        <v>0</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t="s">
        <v>43</v>
      </c>
      <c r="Y880">
        <v>16</v>
      </c>
      <c r="Z880">
        <v>3</v>
      </c>
      <c r="AA880">
        <v>1</v>
      </c>
      <c r="AB880">
        <v>80</v>
      </c>
      <c r="AC880">
        <v>1</v>
      </c>
      <c r="AD880">
        <v>10</v>
      </c>
      <c r="AE880">
        <v>3</v>
      </c>
      <c r="AF880">
        <v>4</v>
      </c>
      <c r="AG880">
        <v>4</v>
      </c>
      <c r="AH880">
        <v>3</v>
      </c>
      <c r="AI880">
        <v>0</v>
      </c>
      <c r="AJ880">
        <v>3</v>
      </c>
    </row>
    <row r="881" spans="1:36" x14ac:dyDescent="0.3">
      <c r="A881">
        <v>60</v>
      </c>
      <c r="B881" t="s">
        <v>43</v>
      </c>
      <c r="C881" s="6">
        <f t="shared" si="13"/>
        <v>0</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t="s">
        <v>35</v>
      </c>
      <c r="Y881">
        <v>18</v>
      </c>
      <c r="Z881">
        <v>3</v>
      </c>
      <c r="AA881">
        <v>2</v>
      </c>
      <c r="AB881">
        <v>80</v>
      </c>
      <c r="AC881">
        <v>1</v>
      </c>
      <c r="AD881">
        <v>12</v>
      </c>
      <c r="AE881">
        <v>3</v>
      </c>
      <c r="AF881">
        <v>3</v>
      </c>
      <c r="AG881">
        <v>11</v>
      </c>
      <c r="AH881">
        <v>7</v>
      </c>
      <c r="AI881">
        <v>1</v>
      </c>
      <c r="AJ881">
        <v>9</v>
      </c>
    </row>
    <row r="882" spans="1:36" x14ac:dyDescent="0.3">
      <c r="A882">
        <v>32</v>
      </c>
      <c r="B882" t="s">
        <v>43</v>
      </c>
      <c r="C882" s="6">
        <f t="shared" si="13"/>
        <v>0</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t="s">
        <v>43</v>
      </c>
      <c r="Y882">
        <v>20</v>
      </c>
      <c r="Z882">
        <v>4</v>
      </c>
      <c r="AA882">
        <v>3</v>
      </c>
      <c r="AB882">
        <v>80</v>
      </c>
      <c r="AC882">
        <v>1</v>
      </c>
      <c r="AD882">
        <v>2</v>
      </c>
      <c r="AE882">
        <v>2</v>
      </c>
      <c r="AF882">
        <v>3</v>
      </c>
      <c r="AG882">
        <v>2</v>
      </c>
      <c r="AH882">
        <v>2</v>
      </c>
      <c r="AI882">
        <v>2</v>
      </c>
      <c r="AJ882">
        <v>2</v>
      </c>
    </row>
    <row r="883" spans="1:36" x14ac:dyDescent="0.3">
      <c r="A883">
        <v>32</v>
      </c>
      <c r="B883" t="s">
        <v>43</v>
      </c>
      <c r="C883" s="6">
        <f t="shared" si="13"/>
        <v>0</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t="s">
        <v>35</v>
      </c>
      <c r="Y883">
        <v>14</v>
      </c>
      <c r="Z883">
        <v>3</v>
      </c>
      <c r="AA883">
        <v>4</v>
      </c>
      <c r="AB883">
        <v>80</v>
      </c>
      <c r="AC883">
        <v>0</v>
      </c>
      <c r="AD883">
        <v>10</v>
      </c>
      <c r="AE883">
        <v>2</v>
      </c>
      <c r="AF883">
        <v>3</v>
      </c>
      <c r="AG883">
        <v>8</v>
      </c>
      <c r="AH883">
        <v>7</v>
      </c>
      <c r="AI883">
        <v>0</v>
      </c>
      <c r="AJ883">
        <v>7</v>
      </c>
    </row>
    <row r="884" spans="1:36" x14ac:dyDescent="0.3">
      <c r="A884">
        <v>36</v>
      </c>
      <c r="B884" t="s">
        <v>43</v>
      </c>
      <c r="C884" s="6">
        <f t="shared" si="13"/>
        <v>0</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t="s">
        <v>35</v>
      </c>
      <c r="Y884">
        <v>21</v>
      </c>
      <c r="Z884">
        <v>4</v>
      </c>
      <c r="AA884">
        <v>3</v>
      </c>
      <c r="AB884">
        <v>80</v>
      </c>
      <c r="AC884">
        <v>1</v>
      </c>
      <c r="AD884">
        <v>17</v>
      </c>
      <c r="AE884">
        <v>2</v>
      </c>
      <c r="AF884">
        <v>3</v>
      </c>
      <c r="AG884">
        <v>7</v>
      </c>
      <c r="AH884">
        <v>7</v>
      </c>
      <c r="AI884">
        <v>7</v>
      </c>
      <c r="AJ884">
        <v>7</v>
      </c>
    </row>
    <row r="885" spans="1:36" x14ac:dyDescent="0.3">
      <c r="A885">
        <v>33</v>
      </c>
      <c r="B885" t="s">
        <v>43</v>
      </c>
      <c r="C885" s="6">
        <f t="shared" si="13"/>
        <v>0</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t="s">
        <v>43</v>
      </c>
      <c r="Y885">
        <v>13</v>
      </c>
      <c r="Z885">
        <v>3</v>
      </c>
      <c r="AA885">
        <v>2</v>
      </c>
      <c r="AB885">
        <v>80</v>
      </c>
      <c r="AC885">
        <v>1</v>
      </c>
      <c r="AD885">
        <v>15</v>
      </c>
      <c r="AE885">
        <v>5</v>
      </c>
      <c r="AF885">
        <v>3</v>
      </c>
      <c r="AG885">
        <v>14</v>
      </c>
      <c r="AH885">
        <v>10</v>
      </c>
      <c r="AI885">
        <v>4</v>
      </c>
      <c r="AJ885">
        <v>10</v>
      </c>
    </row>
    <row r="886" spans="1:36" x14ac:dyDescent="0.3">
      <c r="A886">
        <v>40</v>
      </c>
      <c r="B886" t="s">
        <v>43</v>
      </c>
      <c r="C886" s="6">
        <f t="shared" si="13"/>
        <v>0</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t="s">
        <v>43</v>
      </c>
      <c r="Y886">
        <v>12</v>
      </c>
      <c r="Z886">
        <v>3</v>
      </c>
      <c r="AA886">
        <v>2</v>
      </c>
      <c r="AB886">
        <v>80</v>
      </c>
      <c r="AC886">
        <v>1</v>
      </c>
      <c r="AD886">
        <v>7</v>
      </c>
      <c r="AE886">
        <v>2</v>
      </c>
      <c r="AF886">
        <v>4</v>
      </c>
      <c r="AG886">
        <v>5</v>
      </c>
      <c r="AH886">
        <v>1</v>
      </c>
      <c r="AI886">
        <v>1</v>
      </c>
      <c r="AJ886">
        <v>3</v>
      </c>
    </row>
    <row r="887" spans="1:36" x14ac:dyDescent="0.3">
      <c r="A887">
        <v>25</v>
      </c>
      <c r="B887" t="s">
        <v>43</v>
      </c>
      <c r="C887" s="6">
        <f t="shared" si="13"/>
        <v>0</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t="s">
        <v>43</v>
      </c>
      <c r="Y887">
        <v>14</v>
      </c>
      <c r="Z887">
        <v>3</v>
      </c>
      <c r="AA887">
        <v>2</v>
      </c>
      <c r="AB887">
        <v>80</v>
      </c>
      <c r="AC887">
        <v>0</v>
      </c>
      <c r="AD887">
        <v>5</v>
      </c>
      <c r="AE887">
        <v>4</v>
      </c>
      <c r="AF887">
        <v>3</v>
      </c>
      <c r="AG887">
        <v>4</v>
      </c>
      <c r="AH887">
        <v>3</v>
      </c>
      <c r="AI887">
        <v>1</v>
      </c>
      <c r="AJ887">
        <v>1</v>
      </c>
    </row>
    <row r="888" spans="1:36" x14ac:dyDescent="0.3">
      <c r="A888">
        <v>30</v>
      </c>
      <c r="B888" t="s">
        <v>43</v>
      </c>
      <c r="C888" s="6">
        <f t="shared" si="13"/>
        <v>0</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t="s">
        <v>35</v>
      </c>
      <c r="Y888">
        <v>21</v>
      </c>
      <c r="Z888">
        <v>4</v>
      </c>
      <c r="AA888">
        <v>1</v>
      </c>
      <c r="AB888">
        <v>80</v>
      </c>
      <c r="AC888">
        <v>1</v>
      </c>
      <c r="AD888">
        <v>12</v>
      </c>
      <c r="AE888">
        <v>2</v>
      </c>
      <c r="AF888">
        <v>3</v>
      </c>
      <c r="AG888">
        <v>11</v>
      </c>
      <c r="AH888">
        <v>9</v>
      </c>
      <c r="AI888">
        <v>5</v>
      </c>
      <c r="AJ888">
        <v>7</v>
      </c>
    </row>
    <row r="889" spans="1:36" x14ac:dyDescent="0.3">
      <c r="A889">
        <v>42</v>
      </c>
      <c r="B889" t="s">
        <v>43</v>
      </c>
      <c r="C889" s="6">
        <f t="shared" si="13"/>
        <v>0</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t="s">
        <v>35</v>
      </c>
      <c r="Y889">
        <v>17</v>
      </c>
      <c r="Z889">
        <v>3</v>
      </c>
      <c r="AA889">
        <v>3</v>
      </c>
      <c r="AB889">
        <v>80</v>
      </c>
      <c r="AC889">
        <v>0</v>
      </c>
      <c r="AD889">
        <v>20</v>
      </c>
      <c r="AE889">
        <v>6</v>
      </c>
      <c r="AF889">
        <v>3</v>
      </c>
      <c r="AG889">
        <v>1</v>
      </c>
      <c r="AH889">
        <v>0</v>
      </c>
      <c r="AI889">
        <v>0</v>
      </c>
      <c r="AJ889">
        <v>0</v>
      </c>
    </row>
    <row r="890" spans="1:36" x14ac:dyDescent="0.3">
      <c r="A890">
        <v>35</v>
      </c>
      <c r="B890" t="s">
        <v>43</v>
      </c>
      <c r="C890" s="6">
        <f t="shared" si="13"/>
        <v>0</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t="s">
        <v>35</v>
      </c>
      <c r="Y890">
        <v>11</v>
      </c>
      <c r="Z890">
        <v>3</v>
      </c>
      <c r="AA890">
        <v>2</v>
      </c>
      <c r="AB890">
        <v>80</v>
      </c>
      <c r="AC890">
        <v>1</v>
      </c>
      <c r="AD890">
        <v>16</v>
      </c>
      <c r="AE890">
        <v>6</v>
      </c>
      <c r="AF890">
        <v>2</v>
      </c>
      <c r="AG890">
        <v>13</v>
      </c>
      <c r="AH890">
        <v>2</v>
      </c>
      <c r="AI890">
        <v>4</v>
      </c>
      <c r="AJ890">
        <v>12</v>
      </c>
    </row>
    <row r="891" spans="1:36" x14ac:dyDescent="0.3">
      <c r="A891">
        <v>27</v>
      </c>
      <c r="B891" t="s">
        <v>43</v>
      </c>
      <c r="C891" s="6">
        <f t="shared" si="13"/>
        <v>0</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t="s">
        <v>35</v>
      </c>
      <c r="Y891">
        <v>14</v>
      </c>
      <c r="Z891">
        <v>3</v>
      </c>
      <c r="AA891">
        <v>4</v>
      </c>
      <c r="AB891">
        <v>80</v>
      </c>
      <c r="AC891">
        <v>2</v>
      </c>
      <c r="AD891">
        <v>9</v>
      </c>
      <c r="AE891">
        <v>3</v>
      </c>
      <c r="AF891">
        <v>2</v>
      </c>
      <c r="AG891">
        <v>9</v>
      </c>
      <c r="AH891">
        <v>7</v>
      </c>
      <c r="AI891">
        <v>6</v>
      </c>
      <c r="AJ891">
        <v>8</v>
      </c>
    </row>
    <row r="892" spans="1:36" x14ac:dyDescent="0.3">
      <c r="A892">
        <v>54</v>
      </c>
      <c r="B892" t="s">
        <v>43</v>
      </c>
      <c r="C892" s="6">
        <f t="shared" si="13"/>
        <v>0</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t="s">
        <v>43</v>
      </c>
      <c r="Y892">
        <v>17</v>
      </c>
      <c r="Z892">
        <v>3</v>
      </c>
      <c r="AA892">
        <v>1</v>
      </c>
      <c r="AB892">
        <v>80</v>
      </c>
      <c r="AC892">
        <v>1</v>
      </c>
      <c r="AD892">
        <v>33</v>
      </c>
      <c r="AE892">
        <v>2</v>
      </c>
      <c r="AF892">
        <v>1</v>
      </c>
      <c r="AG892">
        <v>5</v>
      </c>
      <c r="AH892">
        <v>4</v>
      </c>
      <c r="AI892">
        <v>1</v>
      </c>
      <c r="AJ892">
        <v>4</v>
      </c>
    </row>
    <row r="893" spans="1:36" x14ac:dyDescent="0.3">
      <c r="A893">
        <v>44</v>
      </c>
      <c r="B893" t="s">
        <v>43</v>
      </c>
      <c r="C893" s="6">
        <f t="shared" si="13"/>
        <v>0</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t="s">
        <v>43</v>
      </c>
      <c r="Y893">
        <v>13</v>
      </c>
      <c r="Z893">
        <v>3</v>
      </c>
      <c r="AA893">
        <v>4</v>
      </c>
      <c r="AB893">
        <v>80</v>
      </c>
      <c r="AC893">
        <v>1</v>
      </c>
      <c r="AD893">
        <v>10</v>
      </c>
      <c r="AE893">
        <v>5</v>
      </c>
      <c r="AF893">
        <v>3</v>
      </c>
      <c r="AG893">
        <v>10</v>
      </c>
      <c r="AH893">
        <v>5</v>
      </c>
      <c r="AI893">
        <v>7</v>
      </c>
      <c r="AJ893">
        <v>7</v>
      </c>
    </row>
    <row r="894" spans="1:36" x14ac:dyDescent="0.3">
      <c r="A894">
        <v>19</v>
      </c>
      <c r="B894" t="s">
        <v>35</v>
      </c>
      <c r="C894" s="6">
        <f t="shared" si="13"/>
        <v>1</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t="s">
        <v>35</v>
      </c>
      <c r="Y894">
        <v>25</v>
      </c>
      <c r="Z894">
        <v>4</v>
      </c>
      <c r="AA894">
        <v>2</v>
      </c>
      <c r="AB894">
        <v>80</v>
      </c>
      <c r="AC894">
        <v>0</v>
      </c>
      <c r="AD894">
        <v>1</v>
      </c>
      <c r="AE894">
        <v>2</v>
      </c>
      <c r="AF894">
        <v>4</v>
      </c>
      <c r="AG894">
        <v>1</v>
      </c>
      <c r="AH894">
        <v>1</v>
      </c>
      <c r="AI894">
        <v>0</v>
      </c>
      <c r="AJ894">
        <v>0</v>
      </c>
    </row>
    <row r="895" spans="1:36" x14ac:dyDescent="0.3">
      <c r="A895">
        <v>29</v>
      </c>
      <c r="B895" t="s">
        <v>43</v>
      </c>
      <c r="C895" s="6">
        <f t="shared" si="13"/>
        <v>0</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t="s">
        <v>43</v>
      </c>
      <c r="Y895">
        <v>15</v>
      </c>
      <c r="Z895">
        <v>3</v>
      </c>
      <c r="AA895">
        <v>1</v>
      </c>
      <c r="AB895">
        <v>80</v>
      </c>
      <c r="AC895">
        <v>3</v>
      </c>
      <c r="AD895">
        <v>3</v>
      </c>
      <c r="AE895">
        <v>5</v>
      </c>
      <c r="AF895">
        <v>3</v>
      </c>
      <c r="AG895">
        <v>3</v>
      </c>
      <c r="AH895">
        <v>2</v>
      </c>
      <c r="AI895">
        <v>1</v>
      </c>
      <c r="AJ895">
        <v>2</v>
      </c>
    </row>
    <row r="896" spans="1:36" x14ac:dyDescent="0.3">
      <c r="A896">
        <v>54</v>
      </c>
      <c r="B896" t="s">
        <v>43</v>
      </c>
      <c r="C896" s="6">
        <f t="shared" si="13"/>
        <v>0</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t="s">
        <v>43</v>
      </c>
      <c r="Y896">
        <v>14</v>
      </c>
      <c r="Z896">
        <v>3</v>
      </c>
      <c r="AA896">
        <v>1</v>
      </c>
      <c r="AB896">
        <v>80</v>
      </c>
      <c r="AC896">
        <v>0</v>
      </c>
      <c r="AD896">
        <v>36</v>
      </c>
      <c r="AE896">
        <v>2</v>
      </c>
      <c r="AF896">
        <v>3</v>
      </c>
      <c r="AG896">
        <v>10</v>
      </c>
      <c r="AH896">
        <v>9</v>
      </c>
      <c r="AI896">
        <v>0</v>
      </c>
      <c r="AJ896">
        <v>9</v>
      </c>
    </row>
    <row r="897" spans="1:36" x14ac:dyDescent="0.3">
      <c r="A897">
        <v>31</v>
      </c>
      <c r="B897" t="s">
        <v>43</v>
      </c>
      <c r="C897" s="6">
        <f t="shared" si="13"/>
        <v>0</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t="s">
        <v>35</v>
      </c>
      <c r="Y897">
        <v>12</v>
      </c>
      <c r="Z897">
        <v>3</v>
      </c>
      <c r="AA897">
        <v>4</v>
      </c>
      <c r="AB897">
        <v>80</v>
      </c>
      <c r="AC897">
        <v>0</v>
      </c>
      <c r="AD897">
        <v>6</v>
      </c>
      <c r="AE897">
        <v>2</v>
      </c>
      <c r="AF897">
        <v>2</v>
      </c>
      <c r="AG897">
        <v>6</v>
      </c>
      <c r="AH897">
        <v>5</v>
      </c>
      <c r="AI897">
        <v>0</v>
      </c>
      <c r="AJ897">
        <v>1</v>
      </c>
    </row>
    <row r="898" spans="1:36" x14ac:dyDescent="0.3">
      <c r="A898">
        <v>31</v>
      </c>
      <c r="B898" t="s">
        <v>43</v>
      </c>
      <c r="C898" s="6">
        <f t="shared" si="13"/>
        <v>0</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t="s">
        <v>43</v>
      </c>
      <c r="Y898">
        <v>19</v>
      </c>
      <c r="Z898">
        <v>3</v>
      </c>
      <c r="AA898">
        <v>2</v>
      </c>
      <c r="AB898">
        <v>80</v>
      </c>
      <c r="AC898">
        <v>0</v>
      </c>
      <c r="AD898">
        <v>10</v>
      </c>
      <c r="AE898">
        <v>2</v>
      </c>
      <c r="AF898">
        <v>3</v>
      </c>
      <c r="AG898">
        <v>10</v>
      </c>
      <c r="AH898">
        <v>9</v>
      </c>
      <c r="AI898">
        <v>1</v>
      </c>
      <c r="AJ898">
        <v>8</v>
      </c>
    </row>
    <row r="899" spans="1:36" x14ac:dyDescent="0.3">
      <c r="A899">
        <v>59</v>
      </c>
      <c r="B899" t="s">
        <v>43</v>
      </c>
      <c r="C899" s="6">
        <f t="shared" ref="C899:C962" si="14">IF(B899="Yes",1,0)</f>
        <v>0</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t="s">
        <v>43</v>
      </c>
      <c r="Y899">
        <v>17</v>
      </c>
      <c r="Z899">
        <v>3</v>
      </c>
      <c r="AA899">
        <v>4</v>
      </c>
      <c r="AB899">
        <v>80</v>
      </c>
      <c r="AC899">
        <v>0</v>
      </c>
      <c r="AD899">
        <v>13</v>
      </c>
      <c r="AE899">
        <v>2</v>
      </c>
      <c r="AF899">
        <v>3</v>
      </c>
      <c r="AG899">
        <v>6</v>
      </c>
      <c r="AH899">
        <v>1</v>
      </c>
      <c r="AI899">
        <v>0</v>
      </c>
      <c r="AJ899">
        <v>5</v>
      </c>
    </row>
    <row r="900" spans="1:36" x14ac:dyDescent="0.3">
      <c r="A900">
        <v>43</v>
      </c>
      <c r="B900" t="s">
        <v>43</v>
      </c>
      <c r="C900" s="6">
        <f t="shared" si="14"/>
        <v>0</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t="s">
        <v>43</v>
      </c>
      <c r="Y900">
        <v>14</v>
      </c>
      <c r="Z900">
        <v>3</v>
      </c>
      <c r="AA900">
        <v>2</v>
      </c>
      <c r="AB900">
        <v>80</v>
      </c>
      <c r="AC900">
        <v>1</v>
      </c>
      <c r="AD900">
        <v>25</v>
      </c>
      <c r="AE900">
        <v>2</v>
      </c>
      <c r="AF900">
        <v>3</v>
      </c>
      <c r="AG900">
        <v>8</v>
      </c>
      <c r="AH900">
        <v>7</v>
      </c>
      <c r="AI900">
        <v>0</v>
      </c>
      <c r="AJ900">
        <v>7</v>
      </c>
    </row>
    <row r="901" spans="1:36" x14ac:dyDescent="0.3">
      <c r="A901">
        <v>49</v>
      </c>
      <c r="B901" t="s">
        <v>43</v>
      </c>
      <c r="C901" s="6">
        <f t="shared" si="14"/>
        <v>0</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t="s">
        <v>43</v>
      </c>
      <c r="Y901">
        <v>13</v>
      </c>
      <c r="Z901">
        <v>3</v>
      </c>
      <c r="AA901">
        <v>3</v>
      </c>
      <c r="AB901">
        <v>80</v>
      </c>
      <c r="AC901">
        <v>1</v>
      </c>
      <c r="AD901">
        <v>23</v>
      </c>
      <c r="AE901">
        <v>2</v>
      </c>
      <c r="AF901">
        <v>4</v>
      </c>
      <c r="AG901">
        <v>1</v>
      </c>
      <c r="AH901">
        <v>0</v>
      </c>
      <c r="AI901">
        <v>0</v>
      </c>
      <c r="AJ901">
        <v>0</v>
      </c>
    </row>
    <row r="902" spans="1:36" x14ac:dyDescent="0.3">
      <c r="A902">
        <v>36</v>
      </c>
      <c r="B902" t="s">
        <v>43</v>
      </c>
      <c r="C902" s="6">
        <f t="shared" si="14"/>
        <v>0</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t="s">
        <v>43</v>
      </c>
      <c r="Y902">
        <v>12</v>
      </c>
      <c r="Z902">
        <v>3</v>
      </c>
      <c r="AA902">
        <v>3</v>
      </c>
      <c r="AB902">
        <v>80</v>
      </c>
      <c r="AC902">
        <v>0</v>
      </c>
      <c r="AD902">
        <v>12</v>
      </c>
      <c r="AE902">
        <v>2</v>
      </c>
      <c r="AF902">
        <v>2</v>
      </c>
      <c r="AG902">
        <v>11</v>
      </c>
      <c r="AH902">
        <v>10</v>
      </c>
      <c r="AI902">
        <v>0</v>
      </c>
      <c r="AJ902">
        <v>7</v>
      </c>
    </row>
    <row r="903" spans="1:36" x14ac:dyDescent="0.3">
      <c r="A903">
        <v>48</v>
      </c>
      <c r="B903" t="s">
        <v>43</v>
      </c>
      <c r="C903" s="6">
        <f t="shared" si="14"/>
        <v>0</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t="s">
        <v>43</v>
      </c>
      <c r="Y903">
        <v>11</v>
      </c>
      <c r="Z903">
        <v>3</v>
      </c>
      <c r="AA903">
        <v>3</v>
      </c>
      <c r="AB903">
        <v>80</v>
      </c>
      <c r="AC903">
        <v>0</v>
      </c>
      <c r="AD903">
        <v>7</v>
      </c>
      <c r="AE903">
        <v>4</v>
      </c>
      <c r="AF903">
        <v>2</v>
      </c>
      <c r="AG903">
        <v>1</v>
      </c>
      <c r="AH903">
        <v>0</v>
      </c>
      <c r="AI903">
        <v>0</v>
      </c>
      <c r="AJ903">
        <v>0</v>
      </c>
    </row>
    <row r="904" spans="1:36" x14ac:dyDescent="0.3">
      <c r="A904">
        <v>27</v>
      </c>
      <c r="B904" t="s">
        <v>43</v>
      </c>
      <c r="C904" s="6">
        <f t="shared" si="14"/>
        <v>0</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t="s">
        <v>43</v>
      </c>
      <c r="Y904">
        <v>11</v>
      </c>
      <c r="Z904">
        <v>3</v>
      </c>
      <c r="AA904">
        <v>2</v>
      </c>
      <c r="AB904">
        <v>80</v>
      </c>
      <c r="AC904">
        <v>3</v>
      </c>
      <c r="AD904">
        <v>5</v>
      </c>
      <c r="AE904">
        <v>2</v>
      </c>
      <c r="AF904">
        <v>3</v>
      </c>
      <c r="AG904">
        <v>5</v>
      </c>
      <c r="AH904">
        <v>3</v>
      </c>
      <c r="AI904">
        <v>0</v>
      </c>
      <c r="AJ904">
        <v>3</v>
      </c>
    </row>
    <row r="905" spans="1:36" x14ac:dyDescent="0.3">
      <c r="A905">
        <v>29</v>
      </c>
      <c r="B905" t="s">
        <v>43</v>
      </c>
      <c r="C905" s="6">
        <f t="shared" si="14"/>
        <v>0</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t="s">
        <v>35</v>
      </c>
      <c r="Y905">
        <v>11</v>
      </c>
      <c r="Z905">
        <v>3</v>
      </c>
      <c r="AA905">
        <v>2</v>
      </c>
      <c r="AB905">
        <v>80</v>
      </c>
      <c r="AC905">
        <v>2</v>
      </c>
      <c r="AD905">
        <v>6</v>
      </c>
      <c r="AE905">
        <v>2</v>
      </c>
      <c r="AF905">
        <v>3</v>
      </c>
      <c r="AG905">
        <v>6</v>
      </c>
      <c r="AH905">
        <v>0</v>
      </c>
      <c r="AI905">
        <v>1</v>
      </c>
      <c r="AJ905">
        <v>0</v>
      </c>
    </row>
    <row r="906" spans="1:36" x14ac:dyDescent="0.3">
      <c r="A906">
        <v>48</v>
      </c>
      <c r="B906" t="s">
        <v>43</v>
      </c>
      <c r="C906" s="6">
        <f t="shared" si="14"/>
        <v>0</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t="s">
        <v>43</v>
      </c>
      <c r="Y906">
        <v>12</v>
      </c>
      <c r="Z906">
        <v>3</v>
      </c>
      <c r="AA906">
        <v>3</v>
      </c>
      <c r="AB906">
        <v>80</v>
      </c>
      <c r="AC906">
        <v>0</v>
      </c>
      <c r="AD906">
        <v>25</v>
      </c>
      <c r="AE906">
        <v>3</v>
      </c>
      <c r="AF906">
        <v>4</v>
      </c>
      <c r="AG906">
        <v>1</v>
      </c>
      <c r="AH906">
        <v>0</v>
      </c>
      <c r="AI906">
        <v>0</v>
      </c>
      <c r="AJ906">
        <v>0</v>
      </c>
    </row>
    <row r="907" spans="1:36" x14ac:dyDescent="0.3">
      <c r="A907">
        <v>29</v>
      </c>
      <c r="B907" t="s">
        <v>43</v>
      </c>
      <c r="C907" s="6">
        <f t="shared" si="14"/>
        <v>0</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t="s">
        <v>43</v>
      </c>
      <c r="Y907">
        <v>14</v>
      </c>
      <c r="Z907">
        <v>3</v>
      </c>
      <c r="AA907">
        <v>2</v>
      </c>
      <c r="AB907">
        <v>80</v>
      </c>
      <c r="AC907">
        <v>2</v>
      </c>
      <c r="AD907">
        <v>9</v>
      </c>
      <c r="AE907">
        <v>2</v>
      </c>
      <c r="AF907">
        <v>2</v>
      </c>
      <c r="AG907">
        <v>7</v>
      </c>
      <c r="AH907">
        <v>7</v>
      </c>
      <c r="AI907">
        <v>1</v>
      </c>
      <c r="AJ907">
        <v>7</v>
      </c>
    </row>
    <row r="908" spans="1:36" x14ac:dyDescent="0.3">
      <c r="A908">
        <v>34</v>
      </c>
      <c r="B908" t="s">
        <v>43</v>
      </c>
      <c r="C908" s="6">
        <f t="shared" si="14"/>
        <v>0</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t="s">
        <v>43</v>
      </c>
      <c r="Y908">
        <v>17</v>
      </c>
      <c r="Z908">
        <v>3</v>
      </c>
      <c r="AA908">
        <v>4</v>
      </c>
      <c r="AB908">
        <v>80</v>
      </c>
      <c r="AC908">
        <v>0</v>
      </c>
      <c r="AD908">
        <v>2</v>
      </c>
      <c r="AE908">
        <v>5</v>
      </c>
      <c r="AF908">
        <v>2</v>
      </c>
      <c r="AG908">
        <v>1</v>
      </c>
      <c r="AH908">
        <v>0</v>
      </c>
      <c r="AI908">
        <v>0</v>
      </c>
      <c r="AJ908">
        <v>0</v>
      </c>
    </row>
    <row r="909" spans="1:36" x14ac:dyDescent="0.3">
      <c r="A909">
        <v>44</v>
      </c>
      <c r="B909" t="s">
        <v>43</v>
      </c>
      <c r="C909" s="6">
        <f t="shared" si="14"/>
        <v>0</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t="s">
        <v>43</v>
      </c>
      <c r="Y909">
        <v>11</v>
      </c>
      <c r="Z909">
        <v>3</v>
      </c>
      <c r="AA909">
        <v>3</v>
      </c>
      <c r="AB909">
        <v>80</v>
      </c>
      <c r="AC909">
        <v>1</v>
      </c>
      <c r="AD909">
        <v>26</v>
      </c>
      <c r="AE909">
        <v>5</v>
      </c>
      <c r="AF909">
        <v>3</v>
      </c>
      <c r="AG909">
        <v>22</v>
      </c>
      <c r="AH909">
        <v>9</v>
      </c>
      <c r="AI909">
        <v>3</v>
      </c>
      <c r="AJ909">
        <v>10</v>
      </c>
    </row>
    <row r="910" spans="1:36" x14ac:dyDescent="0.3">
      <c r="A910">
        <v>33</v>
      </c>
      <c r="B910" t="s">
        <v>43</v>
      </c>
      <c r="C910" s="6">
        <f t="shared" si="14"/>
        <v>0</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t="s">
        <v>35</v>
      </c>
      <c r="Y910">
        <v>14</v>
      </c>
      <c r="Z910">
        <v>3</v>
      </c>
      <c r="AA910">
        <v>4</v>
      </c>
      <c r="AB910">
        <v>80</v>
      </c>
      <c r="AC910">
        <v>2</v>
      </c>
      <c r="AD910">
        <v>10</v>
      </c>
      <c r="AE910">
        <v>3</v>
      </c>
      <c r="AF910">
        <v>3</v>
      </c>
      <c r="AG910">
        <v>9</v>
      </c>
      <c r="AH910">
        <v>8</v>
      </c>
      <c r="AI910">
        <v>0</v>
      </c>
      <c r="AJ910">
        <v>8</v>
      </c>
    </row>
    <row r="911" spans="1:36" x14ac:dyDescent="0.3">
      <c r="A911">
        <v>19</v>
      </c>
      <c r="B911" t="s">
        <v>43</v>
      </c>
      <c r="C911" s="6">
        <f t="shared" si="14"/>
        <v>0</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t="s">
        <v>35</v>
      </c>
      <c r="Y911">
        <v>12</v>
      </c>
      <c r="Z911">
        <v>3</v>
      </c>
      <c r="AA911">
        <v>4</v>
      </c>
      <c r="AB911">
        <v>80</v>
      </c>
      <c r="AC911">
        <v>0</v>
      </c>
      <c r="AD911">
        <v>1</v>
      </c>
      <c r="AE911">
        <v>2</v>
      </c>
      <c r="AF911">
        <v>3</v>
      </c>
      <c r="AG911">
        <v>1</v>
      </c>
      <c r="AH911">
        <v>0</v>
      </c>
      <c r="AI911">
        <v>0</v>
      </c>
      <c r="AJ911">
        <v>1</v>
      </c>
    </row>
    <row r="912" spans="1:36" x14ac:dyDescent="0.3">
      <c r="A912">
        <v>23</v>
      </c>
      <c r="B912" t="s">
        <v>43</v>
      </c>
      <c r="C912" s="6">
        <f t="shared" si="14"/>
        <v>0</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t="s">
        <v>43</v>
      </c>
      <c r="Y912">
        <v>22</v>
      </c>
      <c r="Z912">
        <v>4</v>
      </c>
      <c r="AA912">
        <v>4</v>
      </c>
      <c r="AB912">
        <v>80</v>
      </c>
      <c r="AC912">
        <v>1</v>
      </c>
      <c r="AD912">
        <v>1</v>
      </c>
      <c r="AE912">
        <v>2</v>
      </c>
      <c r="AF912">
        <v>3</v>
      </c>
      <c r="AG912">
        <v>1</v>
      </c>
      <c r="AH912">
        <v>0</v>
      </c>
      <c r="AI912">
        <v>0</v>
      </c>
      <c r="AJ912">
        <v>1</v>
      </c>
    </row>
    <row r="913" spans="1:36" x14ac:dyDescent="0.3">
      <c r="A913">
        <v>25</v>
      </c>
      <c r="B913" t="s">
        <v>35</v>
      </c>
      <c r="C913" s="6">
        <f t="shared" si="14"/>
        <v>1</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t="s">
        <v>35</v>
      </c>
      <c r="Y913">
        <v>14</v>
      </c>
      <c r="Z913">
        <v>3</v>
      </c>
      <c r="AA913">
        <v>4</v>
      </c>
      <c r="AB913">
        <v>80</v>
      </c>
      <c r="AC913">
        <v>0</v>
      </c>
      <c r="AD913">
        <v>1</v>
      </c>
      <c r="AE913">
        <v>4</v>
      </c>
      <c r="AF913">
        <v>3</v>
      </c>
      <c r="AG913">
        <v>1</v>
      </c>
      <c r="AH913">
        <v>0</v>
      </c>
      <c r="AI913">
        <v>1</v>
      </c>
      <c r="AJ913">
        <v>0</v>
      </c>
    </row>
    <row r="914" spans="1:36" x14ac:dyDescent="0.3">
      <c r="A914">
        <v>26</v>
      </c>
      <c r="B914" t="s">
        <v>43</v>
      </c>
      <c r="C914" s="6">
        <f t="shared" si="14"/>
        <v>0</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t="s">
        <v>35</v>
      </c>
      <c r="Y914">
        <v>20</v>
      </c>
      <c r="Z914">
        <v>4</v>
      </c>
      <c r="AA914">
        <v>2</v>
      </c>
      <c r="AB914">
        <v>80</v>
      </c>
      <c r="AC914">
        <v>0</v>
      </c>
      <c r="AD914">
        <v>8</v>
      </c>
      <c r="AE914">
        <v>2</v>
      </c>
      <c r="AF914">
        <v>2</v>
      </c>
      <c r="AG914">
        <v>8</v>
      </c>
      <c r="AH914">
        <v>5</v>
      </c>
      <c r="AI914">
        <v>2</v>
      </c>
      <c r="AJ914">
        <v>2</v>
      </c>
    </row>
    <row r="915" spans="1:36" x14ac:dyDescent="0.3">
      <c r="A915">
        <v>45</v>
      </c>
      <c r="B915" t="s">
        <v>35</v>
      </c>
      <c r="C915" s="6">
        <f t="shared" si="14"/>
        <v>1</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t="s">
        <v>35</v>
      </c>
      <c r="Y915">
        <v>16</v>
      </c>
      <c r="Z915">
        <v>3</v>
      </c>
      <c r="AA915">
        <v>1</v>
      </c>
      <c r="AB915">
        <v>80</v>
      </c>
      <c r="AC915">
        <v>0</v>
      </c>
      <c r="AD915">
        <v>26</v>
      </c>
      <c r="AE915">
        <v>2</v>
      </c>
      <c r="AF915">
        <v>3</v>
      </c>
      <c r="AG915">
        <v>24</v>
      </c>
      <c r="AH915">
        <v>10</v>
      </c>
      <c r="AI915">
        <v>1</v>
      </c>
      <c r="AJ915">
        <v>11</v>
      </c>
    </row>
    <row r="916" spans="1:36" x14ac:dyDescent="0.3">
      <c r="A916">
        <v>55</v>
      </c>
      <c r="B916" t="s">
        <v>43</v>
      </c>
      <c r="C916" s="6">
        <f t="shared" si="14"/>
        <v>0</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t="s">
        <v>35</v>
      </c>
      <c r="Y916">
        <v>15</v>
      </c>
      <c r="Z916">
        <v>3</v>
      </c>
      <c r="AA916">
        <v>4</v>
      </c>
      <c r="AB916">
        <v>80</v>
      </c>
      <c r="AC916">
        <v>1</v>
      </c>
      <c r="AD916">
        <v>34</v>
      </c>
      <c r="AE916">
        <v>3</v>
      </c>
      <c r="AF916">
        <v>3</v>
      </c>
      <c r="AG916">
        <v>33</v>
      </c>
      <c r="AH916">
        <v>9</v>
      </c>
      <c r="AI916">
        <v>15</v>
      </c>
      <c r="AJ916">
        <v>0</v>
      </c>
    </row>
    <row r="917" spans="1:36" x14ac:dyDescent="0.3">
      <c r="A917">
        <v>21</v>
      </c>
      <c r="B917" t="s">
        <v>35</v>
      </c>
      <c r="C917" s="6">
        <f t="shared" si="14"/>
        <v>1</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t="s">
        <v>43</v>
      </c>
      <c r="Y917">
        <v>20</v>
      </c>
      <c r="Z917">
        <v>4</v>
      </c>
      <c r="AA917">
        <v>3</v>
      </c>
      <c r="AB917">
        <v>80</v>
      </c>
      <c r="AC917">
        <v>0</v>
      </c>
      <c r="AD917">
        <v>2</v>
      </c>
      <c r="AE917">
        <v>2</v>
      </c>
      <c r="AF917">
        <v>1</v>
      </c>
      <c r="AG917">
        <v>2</v>
      </c>
      <c r="AH917">
        <v>2</v>
      </c>
      <c r="AI917">
        <v>2</v>
      </c>
      <c r="AJ917">
        <v>2</v>
      </c>
    </row>
    <row r="918" spans="1:36" x14ac:dyDescent="0.3">
      <c r="A918">
        <v>46</v>
      </c>
      <c r="B918" t="s">
        <v>43</v>
      </c>
      <c r="C918" s="6">
        <f t="shared" si="14"/>
        <v>0</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t="s">
        <v>43</v>
      </c>
      <c r="Y918">
        <v>14</v>
      </c>
      <c r="Z918">
        <v>3</v>
      </c>
      <c r="AA918">
        <v>3</v>
      </c>
      <c r="AB918">
        <v>80</v>
      </c>
      <c r="AC918">
        <v>1</v>
      </c>
      <c r="AD918">
        <v>26</v>
      </c>
      <c r="AE918">
        <v>2</v>
      </c>
      <c r="AF918">
        <v>3</v>
      </c>
      <c r="AG918">
        <v>11</v>
      </c>
      <c r="AH918">
        <v>4</v>
      </c>
      <c r="AI918">
        <v>0</v>
      </c>
      <c r="AJ918">
        <v>8</v>
      </c>
    </row>
    <row r="919" spans="1:36" x14ac:dyDescent="0.3">
      <c r="A919">
        <v>34</v>
      </c>
      <c r="B919" t="s">
        <v>43</v>
      </c>
      <c r="C919" s="6">
        <f t="shared" si="14"/>
        <v>0</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t="s">
        <v>35</v>
      </c>
      <c r="Y919">
        <v>12</v>
      </c>
      <c r="Z919">
        <v>3</v>
      </c>
      <c r="AA919">
        <v>4</v>
      </c>
      <c r="AB919">
        <v>80</v>
      </c>
      <c r="AC919">
        <v>0</v>
      </c>
      <c r="AD919">
        <v>4</v>
      </c>
      <c r="AE919">
        <v>3</v>
      </c>
      <c r="AF919">
        <v>3</v>
      </c>
      <c r="AG919">
        <v>3</v>
      </c>
      <c r="AH919">
        <v>2</v>
      </c>
      <c r="AI919">
        <v>0</v>
      </c>
      <c r="AJ919">
        <v>2</v>
      </c>
    </row>
    <row r="920" spans="1:36" x14ac:dyDescent="0.3">
      <c r="A920">
        <v>51</v>
      </c>
      <c r="B920" t="s">
        <v>43</v>
      </c>
      <c r="C920" s="6">
        <f t="shared" si="14"/>
        <v>0</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t="s">
        <v>35</v>
      </c>
      <c r="Y920">
        <v>24</v>
      </c>
      <c r="Z920">
        <v>4</v>
      </c>
      <c r="AA920">
        <v>1</v>
      </c>
      <c r="AB920">
        <v>80</v>
      </c>
      <c r="AC920">
        <v>1</v>
      </c>
      <c r="AD920">
        <v>31</v>
      </c>
      <c r="AE920">
        <v>5</v>
      </c>
      <c r="AF920">
        <v>2</v>
      </c>
      <c r="AG920">
        <v>29</v>
      </c>
      <c r="AH920">
        <v>10</v>
      </c>
      <c r="AI920">
        <v>11</v>
      </c>
      <c r="AJ920">
        <v>10</v>
      </c>
    </row>
    <row r="921" spans="1:36" x14ac:dyDescent="0.3">
      <c r="A921">
        <v>59</v>
      </c>
      <c r="B921" t="s">
        <v>43</v>
      </c>
      <c r="C921" s="6">
        <f t="shared" si="14"/>
        <v>0</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t="s">
        <v>43</v>
      </c>
      <c r="Y921">
        <v>12</v>
      </c>
      <c r="Z921">
        <v>3</v>
      </c>
      <c r="AA921">
        <v>4</v>
      </c>
      <c r="AB921">
        <v>80</v>
      </c>
      <c r="AC921">
        <v>0</v>
      </c>
      <c r="AD921">
        <v>25</v>
      </c>
      <c r="AE921">
        <v>6</v>
      </c>
      <c r="AF921">
        <v>2</v>
      </c>
      <c r="AG921">
        <v>9</v>
      </c>
      <c r="AH921">
        <v>7</v>
      </c>
      <c r="AI921">
        <v>5</v>
      </c>
      <c r="AJ921">
        <v>4</v>
      </c>
    </row>
    <row r="922" spans="1:36" x14ac:dyDescent="0.3">
      <c r="A922">
        <v>34</v>
      </c>
      <c r="B922" t="s">
        <v>43</v>
      </c>
      <c r="C922" s="6">
        <f t="shared" si="14"/>
        <v>0</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t="s">
        <v>43</v>
      </c>
      <c r="Y922">
        <v>13</v>
      </c>
      <c r="Z922">
        <v>3</v>
      </c>
      <c r="AA922">
        <v>3</v>
      </c>
      <c r="AB922">
        <v>80</v>
      </c>
      <c r="AC922">
        <v>2</v>
      </c>
      <c r="AD922">
        <v>15</v>
      </c>
      <c r="AE922">
        <v>2</v>
      </c>
      <c r="AF922">
        <v>4</v>
      </c>
      <c r="AG922">
        <v>11</v>
      </c>
      <c r="AH922">
        <v>8</v>
      </c>
      <c r="AI922">
        <v>5</v>
      </c>
      <c r="AJ922">
        <v>10</v>
      </c>
    </row>
    <row r="923" spans="1:36" x14ac:dyDescent="0.3">
      <c r="A923">
        <v>28</v>
      </c>
      <c r="B923" t="s">
        <v>43</v>
      </c>
      <c r="C923" s="6">
        <f t="shared" si="14"/>
        <v>0</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t="s">
        <v>35</v>
      </c>
      <c r="Y923">
        <v>11</v>
      </c>
      <c r="Z923">
        <v>3</v>
      </c>
      <c r="AA923">
        <v>3</v>
      </c>
      <c r="AB923">
        <v>80</v>
      </c>
      <c r="AC923">
        <v>0</v>
      </c>
      <c r="AD923">
        <v>5</v>
      </c>
      <c r="AE923">
        <v>2</v>
      </c>
      <c r="AF923">
        <v>2</v>
      </c>
      <c r="AG923">
        <v>4</v>
      </c>
      <c r="AH923">
        <v>2</v>
      </c>
      <c r="AI923">
        <v>0</v>
      </c>
      <c r="AJ923">
        <v>2</v>
      </c>
    </row>
    <row r="924" spans="1:36" x14ac:dyDescent="0.3">
      <c r="A924">
        <v>44</v>
      </c>
      <c r="B924" t="s">
        <v>43</v>
      </c>
      <c r="C924" s="6">
        <f t="shared" si="14"/>
        <v>0</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t="s">
        <v>43</v>
      </c>
      <c r="Y924">
        <v>14</v>
      </c>
      <c r="Z924">
        <v>3</v>
      </c>
      <c r="AA924">
        <v>4</v>
      </c>
      <c r="AB924">
        <v>80</v>
      </c>
      <c r="AC924">
        <v>2</v>
      </c>
      <c r="AD924">
        <v>26</v>
      </c>
      <c r="AE924">
        <v>4</v>
      </c>
      <c r="AF924">
        <v>2</v>
      </c>
      <c r="AG924">
        <v>25</v>
      </c>
      <c r="AH924">
        <v>9</v>
      </c>
      <c r="AI924">
        <v>14</v>
      </c>
      <c r="AJ924">
        <v>13</v>
      </c>
    </row>
    <row r="925" spans="1:36" x14ac:dyDescent="0.3">
      <c r="A925">
        <v>34</v>
      </c>
      <c r="B925" t="s">
        <v>43</v>
      </c>
      <c r="C925" s="6">
        <f t="shared" si="14"/>
        <v>0</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t="s">
        <v>43</v>
      </c>
      <c r="Y925">
        <v>11</v>
      </c>
      <c r="Z925">
        <v>3</v>
      </c>
      <c r="AA925">
        <v>4</v>
      </c>
      <c r="AB925">
        <v>80</v>
      </c>
      <c r="AC925">
        <v>2</v>
      </c>
      <c r="AD925">
        <v>14</v>
      </c>
      <c r="AE925">
        <v>5</v>
      </c>
      <c r="AF925">
        <v>4</v>
      </c>
      <c r="AG925">
        <v>10</v>
      </c>
      <c r="AH925">
        <v>9</v>
      </c>
      <c r="AI925">
        <v>1</v>
      </c>
      <c r="AJ925">
        <v>8</v>
      </c>
    </row>
    <row r="926" spans="1:36" x14ac:dyDescent="0.3">
      <c r="A926">
        <v>35</v>
      </c>
      <c r="B926" t="s">
        <v>43</v>
      </c>
      <c r="C926" s="6">
        <f t="shared" si="14"/>
        <v>0</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t="s">
        <v>35</v>
      </c>
      <c r="Y926">
        <v>14</v>
      </c>
      <c r="Z926">
        <v>3</v>
      </c>
      <c r="AA926">
        <v>4</v>
      </c>
      <c r="AB926">
        <v>80</v>
      </c>
      <c r="AC926">
        <v>0</v>
      </c>
      <c r="AD926">
        <v>4</v>
      </c>
      <c r="AE926">
        <v>3</v>
      </c>
      <c r="AF926">
        <v>3</v>
      </c>
      <c r="AG926">
        <v>3</v>
      </c>
      <c r="AH926">
        <v>2</v>
      </c>
      <c r="AI926">
        <v>2</v>
      </c>
      <c r="AJ926">
        <v>2</v>
      </c>
    </row>
    <row r="927" spans="1:36" x14ac:dyDescent="0.3">
      <c r="A927">
        <v>42</v>
      </c>
      <c r="B927" t="s">
        <v>43</v>
      </c>
      <c r="C927" s="6">
        <f t="shared" si="14"/>
        <v>0</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t="s">
        <v>35</v>
      </c>
      <c r="Y927">
        <v>16</v>
      </c>
      <c r="Z927">
        <v>3</v>
      </c>
      <c r="AA927">
        <v>4</v>
      </c>
      <c r="AB927">
        <v>80</v>
      </c>
      <c r="AC927">
        <v>0</v>
      </c>
      <c r="AD927">
        <v>18</v>
      </c>
      <c r="AE927">
        <v>2</v>
      </c>
      <c r="AF927">
        <v>3</v>
      </c>
      <c r="AG927">
        <v>1</v>
      </c>
      <c r="AH927">
        <v>0</v>
      </c>
      <c r="AI927">
        <v>0</v>
      </c>
      <c r="AJ927">
        <v>0</v>
      </c>
    </row>
    <row r="928" spans="1:36" x14ac:dyDescent="0.3">
      <c r="A928">
        <v>43</v>
      </c>
      <c r="B928" t="s">
        <v>43</v>
      </c>
      <c r="C928" s="6">
        <f t="shared" si="14"/>
        <v>0</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t="s">
        <v>43</v>
      </c>
      <c r="Y928">
        <v>14</v>
      </c>
      <c r="Z928">
        <v>3</v>
      </c>
      <c r="AA928">
        <v>4</v>
      </c>
      <c r="AB928">
        <v>80</v>
      </c>
      <c r="AC928">
        <v>0</v>
      </c>
      <c r="AD928">
        <v>23</v>
      </c>
      <c r="AE928">
        <v>3</v>
      </c>
      <c r="AF928">
        <v>4</v>
      </c>
      <c r="AG928">
        <v>21</v>
      </c>
      <c r="AH928">
        <v>7</v>
      </c>
      <c r="AI928">
        <v>15</v>
      </c>
      <c r="AJ928">
        <v>17</v>
      </c>
    </row>
    <row r="929" spans="1:36" x14ac:dyDescent="0.3">
      <c r="A929">
        <v>36</v>
      </c>
      <c r="B929" t="s">
        <v>43</v>
      </c>
      <c r="C929" s="6">
        <f t="shared" si="14"/>
        <v>0</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t="s">
        <v>35</v>
      </c>
      <c r="Y929">
        <v>11</v>
      </c>
      <c r="Z929">
        <v>3</v>
      </c>
      <c r="AA929">
        <v>4</v>
      </c>
      <c r="AB929">
        <v>80</v>
      </c>
      <c r="AC929">
        <v>0</v>
      </c>
      <c r="AD929">
        <v>18</v>
      </c>
      <c r="AE929">
        <v>2</v>
      </c>
      <c r="AF929">
        <v>3</v>
      </c>
      <c r="AG929">
        <v>16</v>
      </c>
      <c r="AH929">
        <v>14</v>
      </c>
      <c r="AI929">
        <v>5</v>
      </c>
      <c r="AJ929">
        <v>12</v>
      </c>
    </row>
    <row r="930" spans="1:36" x14ac:dyDescent="0.3">
      <c r="A930">
        <v>44</v>
      </c>
      <c r="B930" t="s">
        <v>35</v>
      </c>
      <c r="C930" s="6">
        <f t="shared" si="14"/>
        <v>1</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t="s">
        <v>43</v>
      </c>
      <c r="Y930">
        <v>11</v>
      </c>
      <c r="Z930">
        <v>3</v>
      </c>
      <c r="AA930">
        <v>4</v>
      </c>
      <c r="AB930">
        <v>80</v>
      </c>
      <c r="AC930">
        <v>1</v>
      </c>
      <c r="AD930">
        <v>10</v>
      </c>
      <c r="AE930">
        <v>2</v>
      </c>
      <c r="AF930">
        <v>3</v>
      </c>
      <c r="AG930">
        <v>10</v>
      </c>
      <c r="AH930">
        <v>7</v>
      </c>
      <c r="AI930">
        <v>0</v>
      </c>
      <c r="AJ930">
        <v>5</v>
      </c>
    </row>
    <row r="931" spans="1:36" x14ac:dyDescent="0.3">
      <c r="A931">
        <v>28</v>
      </c>
      <c r="B931" t="s">
        <v>43</v>
      </c>
      <c r="C931" s="6">
        <f t="shared" si="14"/>
        <v>0</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t="s">
        <v>35</v>
      </c>
      <c r="Y931">
        <v>12</v>
      </c>
      <c r="Z931">
        <v>3</v>
      </c>
      <c r="AA931">
        <v>2</v>
      </c>
      <c r="AB931">
        <v>80</v>
      </c>
      <c r="AC931">
        <v>1</v>
      </c>
      <c r="AD931">
        <v>2</v>
      </c>
      <c r="AE931">
        <v>2</v>
      </c>
      <c r="AF931">
        <v>3</v>
      </c>
      <c r="AG931">
        <v>2</v>
      </c>
      <c r="AH931">
        <v>2</v>
      </c>
      <c r="AI931">
        <v>2</v>
      </c>
      <c r="AJ931">
        <v>2</v>
      </c>
    </row>
    <row r="932" spans="1:36" x14ac:dyDescent="0.3">
      <c r="A932">
        <v>51</v>
      </c>
      <c r="B932" t="s">
        <v>43</v>
      </c>
      <c r="C932" s="6">
        <f t="shared" si="14"/>
        <v>0</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t="s">
        <v>43</v>
      </c>
      <c r="Y932">
        <v>14</v>
      </c>
      <c r="Z932">
        <v>3</v>
      </c>
      <c r="AA932">
        <v>2</v>
      </c>
      <c r="AB932">
        <v>80</v>
      </c>
      <c r="AC932">
        <v>0</v>
      </c>
      <c r="AD932">
        <v>8</v>
      </c>
      <c r="AE932">
        <v>6</v>
      </c>
      <c r="AF932">
        <v>2</v>
      </c>
      <c r="AG932">
        <v>7</v>
      </c>
      <c r="AH932">
        <v>0</v>
      </c>
      <c r="AI932">
        <v>7</v>
      </c>
      <c r="AJ932">
        <v>7</v>
      </c>
    </row>
    <row r="933" spans="1:36" x14ac:dyDescent="0.3">
      <c r="A933">
        <v>30</v>
      </c>
      <c r="B933" t="s">
        <v>43</v>
      </c>
      <c r="C933" s="6">
        <f t="shared" si="14"/>
        <v>0</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t="s">
        <v>35</v>
      </c>
      <c r="Y933">
        <v>18</v>
      </c>
      <c r="Z933">
        <v>3</v>
      </c>
      <c r="AA933">
        <v>3</v>
      </c>
      <c r="AB933">
        <v>80</v>
      </c>
      <c r="AC933">
        <v>0</v>
      </c>
      <c r="AD933">
        <v>10</v>
      </c>
      <c r="AE933">
        <v>3</v>
      </c>
      <c r="AF933">
        <v>3</v>
      </c>
      <c r="AG933">
        <v>8</v>
      </c>
      <c r="AH933">
        <v>4</v>
      </c>
      <c r="AI933">
        <v>1</v>
      </c>
      <c r="AJ933">
        <v>7</v>
      </c>
    </row>
    <row r="934" spans="1:36" x14ac:dyDescent="0.3">
      <c r="A934">
        <v>29</v>
      </c>
      <c r="B934" t="s">
        <v>35</v>
      </c>
      <c r="C934" s="6">
        <f t="shared" si="14"/>
        <v>1</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t="s">
        <v>35</v>
      </c>
      <c r="Y934">
        <v>13</v>
      </c>
      <c r="Z934">
        <v>3</v>
      </c>
      <c r="AA934">
        <v>1</v>
      </c>
      <c r="AB934">
        <v>80</v>
      </c>
      <c r="AC934">
        <v>2</v>
      </c>
      <c r="AD934">
        <v>10</v>
      </c>
      <c r="AE934">
        <v>2</v>
      </c>
      <c r="AF934">
        <v>3</v>
      </c>
      <c r="AG934">
        <v>7</v>
      </c>
      <c r="AH934">
        <v>7</v>
      </c>
      <c r="AI934">
        <v>7</v>
      </c>
      <c r="AJ934">
        <v>7</v>
      </c>
    </row>
    <row r="935" spans="1:36" x14ac:dyDescent="0.3">
      <c r="A935">
        <v>28</v>
      </c>
      <c r="B935" t="s">
        <v>43</v>
      </c>
      <c r="C935" s="6">
        <f t="shared" si="14"/>
        <v>0</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t="s">
        <v>43</v>
      </c>
      <c r="Y935">
        <v>11</v>
      </c>
      <c r="Z935">
        <v>3</v>
      </c>
      <c r="AA935">
        <v>2</v>
      </c>
      <c r="AB935">
        <v>80</v>
      </c>
      <c r="AC935">
        <v>0</v>
      </c>
      <c r="AD935">
        <v>5</v>
      </c>
      <c r="AE935">
        <v>2</v>
      </c>
      <c r="AF935">
        <v>2</v>
      </c>
      <c r="AG935">
        <v>3</v>
      </c>
      <c r="AH935">
        <v>2</v>
      </c>
      <c r="AI935">
        <v>1</v>
      </c>
      <c r="AJ935">
        <v>2</v>
      </c>
    </row>
    <row r="936" spans="1:36" x14ac:dyDescent="0.3">
      <c r="A936">
        <v>25</v>
      </c>
      <c r="B936" t="s">
        <v>43</v>
      </c>
      <c r="C936" s="6">
        <f t="shared" si="14"/>
        <v>0</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t="s">
        <v>43</v>
      </c>
      <c r="Y936">
        <v>18</v>
      </c>
      <c r="Z936">
        <v>3</v>
      </c>
      <c r="AA936">
        <v>4</v>
      </c>
      <c r="AB936">
        <v>80</v>
      </c>
      <c r="AC936">
        <v>0</v>
      </c>
      <c r="AD936">
        <v>2</v>
      </c>
      <c r="AE936">
        <v>3</v>
      </c>
      <c r="AF936">
        <v>2</v>
      </c>
      <c r="AG936">
        <v>2</v>
      </c>
      <c r="AH936">
        <v>2</v>
      </c>
      <c r="AI936">
        <v>2</v>
      </c>
      <c r="AJ936">
        <v>1</v>
      </c>
    </row>
    <row r="937" spans="1:36" x14ac:dyDescent="0.3">
      <c r="A937">
        <v>32</v>
      </c>
      <c r="B937" t="s">
        <v>43</v>
      </c>
      <c r="C937" s="6">
        <f t="shared" si="14"/>
        <v>0</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t="s">
        <v>43</v>
      </c>
      <c r="Y937">
        <v>15</v>
      </c>
      <c r="Z937">
        <v>3</v>
      </c>
      <c r="AA937">
        <v>3</v>
      </c>
      <c r="AB937">
        <v>80</v>
      </c>
      <c r="AC937">
        <v>2</v>
      </c>
      <c r="AD937">
        <v>10</v>
      </c>
      <c r="AE937">
        <v>4</v>
      </c>
      <c r="AF937">
        <v>4</v>
      </c>
      <c r="AG937">
        <v>10</v>
      </c>
      <c r="AH937">
        <v>7</v>
      </c>
      <c r="AI937">
        <v>0</v>
      </c>
      <c r="AJ937">
        <v>8</v>
      </c>
    </row>
    <row r="938" spans="1:36" x14ac:dyDescent="0.3">
      <c r="A938">
        <v>45</v>
      </c>
      <c r="B938" t="s">
        <v>43</v>
      </c>
      <c r="C938" s="6">
        <f t="shared" si="14"/>
        <v>0</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t="s">
        <v>43</v>
      </c>
      <c r="Y938">
        <v>22</v>
      </c>
      <c r="Z938">
        <v>4</v>
      </c>
      <c r="AA938">
        <v>3</v>
      </c>
      <c r="AB938">
        <v>80</v>
      </c>
      <c r="AC938">
        <v>0</v>
      </c>
      <c r="AD938">
        <v>22</v>
      </c>
      <c r="AE938">
        <v>4</v>
      </c>
      <c r="AF938">
        <v>3</v>
      </c>
      <c r="AG938">
        <v>0</v>
      </c>
      <c r="AH938">
        <v>0</v>
      </c>
      <c r="AI938">
        <v>0</v>
      </c>
      <c r="AJ938">
        <v>0</v>
      </c>
    </row>
    <row r="939" spans="1:36" x14ac:dyDescent="0.3">
      <c r="A939">
        <v>39</v>
      </c>
      <c r="B939" t="s">
        <v>43</v>
      </c>
      <c r="C939" s="6">
        <f t="shared" si="14"/>
        <v>0</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t="s">
        <v>35</v>
      </c>
      <c r="Y939">
        <v>13</v>
      </c>
      <c r="Z939">
        <v>3</v>
      </c>
      <c r="AA939">
        <v>4</v>
      </c>
      <c r="AB939">
        <v>80</v>
      </c>
      <c r="AC939">
        <v>2</v>
      </c>
      <c r="AD939">
        <v>21</v>
      </c>
      <c r="AE939">
        <v>4</v>
      </c>
      <c r="AF939">
        <v>3</v>
      </c>
      <c r="AG939">
        <v>19</v>
      </c>
      <c r="AH939">
        <v>9</v>
      </c>
      <c r="AI939">
        <v>15</v>
      </c>
      <c r="AJ939">
        <v>2</v>
      </c>
    </row>
    <row r="940" spans="1:36" x14ac:dyDescent="0.3">
      <c r="A940">
        <v>58</v>
      </c>
      <c r="B940" t="s">
        <v>43</v>
      </c>
      <c r="C940" s="6">
        <f t="shared" si="14"/>
        <v>0</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t="s">
        <v>43</v>
      </c>
      <c r="Y940">
        <v>12</v>
      </c>
      <c r="Z940">
        <v>3</v>
      </c>
      <c r="AA940">
        <v>4</v>
      </c>
      <c r="AB940">
        <v>80</v>
      </c>
      <c r="AC940">
        <v>2</v>
      </c>
      <c r="AD940">
        <v>2</v>
      </c>
      <c r="AE940">
        <v>3</v>
      </c>
      <c r="AF940">
        <v>3</v>
      </c>
      <c r="AG940">
        <v>2</v>
      </c>
      <c r="AH940">
        <v>2</v>
      </c>
      <c r="AI940">
        <v>2</v>
      </c>
      <c r="AJ940">
        <v>2</v>
      </c>
    </row>
    <row r="941" spans="1:36" x14ac:dyDescent="0.3">
      <c r="A941">
        <v>32</v>
      </c>
      <c r="B941" t="s">
        <v>35</v>
      </c>
      <c r="C941" s="6">
        <f t="shared" si="14"/>
        <v>1</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t="s">
        <v>43</v>
      </c>
      <c r="Y941">
        <v>18</v>
      </c>
      <c r="Z941">
        <v>3</v>
      </c>
      <c r="AA941">
        <v>1</v>
      </c>
      <c r="AB941">
        <v>80</v>
      </c>
      <c r="AC941">
        <v>1</v>
      </c>
      <c r="AD941">
        <v>10</v>
      </c>
      <c r="AE941">
        <v>3</v>
      </c>
      <c r="AF941">
        <v>3</v>
      </c>
      <c r="AG941">
        <v>10</v>
      </c>
      <c r="AH941">
        <v>4</v>
      </c>
      <c r="AI941">
        <v>1</v>
      </c>
      <c r="AJ941">
        <v>1</v>
      </c>
    </row>
    <row r="942" spans="1:36" x14ac:dyDescent="0.3">
      <c r="A942">
        <v>39</v>
      </c>
      <c r="B942" t="s">
        <v>35</v>
      </c>
      <c r="C942" s="6">
        <f t="shared" si="14"/>
        <v>1</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t="s">
        <v>43</v>
      </c>
      <c r="Y942">
        <v>13</v>
      </c>
      <c r="Z942">
        <v>3</v>
      </c>
      <c r="AA942">
        <v>1</v>
      </c>
      <c r="AB942">
        <v>80</v>
      </c>
      <c r="AC942">
        <v>0</v>
      </c>
      <c r="AD942">
        <v>6</v>
      </c>
      <c r="AE942">
        <v>2</v>
      </c>
      <c r="AF942">
        <v>3</v>
      </c>
      <c r="AG942">
        <v>5</v>
      </c>
      <c r="AH942">
        <v>2</v>
      </c>
      <c r="AI942">
        <v>0</v>
      </c>
      <c r="AJ942">
        <v>3</v>
      </c>
    </row>
    <row r="943" spans="1:36" x14ac:dyDescent="0.3">
      <c r="A943">
        <v>30</v>
      </c>
      <c r="B943" t="s">
        <v>43</v>
      </c>
      <c r="C943" s="6">
        <f t="shared" si="14"/>
        <v>0</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t="s">
        <v>43</v>
      </c>
      <c r="Y943">
        <v>12</v>
      </c>
      <c r="Z943">
        <v>3</v>
      </c>
      <c r="AA943">
        <v>1</v>
      </c>
      <c r="AB943">
        <v>80</v>
      </c>
      <c r="AC943">
        <v>1</v>
      </c>
      <c r="AD943">
        <v>10</v>
      </c>
      <c r="AE943">
        <v>6</v>
      </c>
      <c r="AF943">
        <v>3</v>
      </c>
      <c r="AG943">
        <v>9</v>
      </c>
      <c r="AH943">
        <v>2</v>
      </c>
      <c r="AI943">
        <v>6</v>
      </c>
      <c r="AJ943">
        <v>7</v>
      </c>
    </row>
    <row r="944" spans="1:36" x14ac:dyDescent="0.3">
      <c r="A944">
        <v>36</v>
      </c>
      <c r="B944" t="s">
        <v>43</v>
      </c>
      <c r="C944" s="6">
        <f t="shared" si="14"/>
        <v>0</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t="s">
        <v>43</v>
      </c>
      <c r="Y944">
        <v>12</v>
      </c>
      <c r="Z944">
        <v>3</v>
      </c>
      <c r="AA944">
        <v>1</v>
      </c>
      <c r="AB944">
        <v>80</v>
      </c>
      <c r="AC944">
        <v>0</v>
      </c>
      <c r="AD944">
        <v>10</v>
      </c>
      <c r="AE944">
        <v>0</v>
      </c>
      <c r="AF944">
        <v>3</v>
      </c>
      <c r="AG944">
        <v>7</v>
      </c>
      <c r="AH944">
        <v>7</v>
      </c>
      <c r="AI944">
        <v>1</v>
      </c>
      <c r="AJ944">
        <v>7</v>
      </c>
    </row>
    <row r="945" spans="1:36" x14ac:dyDescent="0.3">
      <c r="A945">
        <v>46</v>
      </c>
      <c r="B945" t="s">
        <v>43</v>
      </c>
      <c r="C945" s="6">
        <f t="shared" si="14"/>
        <v>0</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t="s">
        <v>43</v>
      </c>
      <c r="Y945">
        <v>12</v>
      </c>
      <c r="Z945">
        <v>3</v>
      </c>
      <c r="AA945">
        <v>3</v>
      </c>
      <c r="AB945">
        <v>80</v>
      </c>
      <c r="AC945">
        <v>0</v>
      </c>
      <c r="AD945">
        <v>10</v>
      </c>
      <c r="AE945">
        <v>3</v>
      </c>
      <c r="AF945">
        <v>4</v>
      </c>
      <c r="AG945">
        <v>7</v>
      </c>
      <c r="AH945">
        <v>6</v>
      </c>
      <c r="AI945">
        <v>5</v>
      </c>
      <c r="AJ945">
        <v>7</v>
      </c>
    </row>
    <row r="946" spans="1:36" x14ac:dyDescent="0.3">
      <c r="A946">
        <v>28</v>
      </c>
      <c r="B946" t="s">
        <v>43</v>
      </c>
      <c r="C946" s="6">
        <f t="shared" si="14"/>
        <v>0</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t="s">
        <v>43</v>
      </c>
      <c r="Y946">
        <v>11</v>
      </c>
      <c r="Z946">
        <v>3</v>
      </c>
      <c r="AA946">
        <v>1</v>
      </c>
      <c r="AB946">
        <v>80</v>
      </c>
      <c r="AC946">
        <v>3</v>
      </c>
      <c r="AD946">
        <v>10</v>
      </c>
      <c r="AE946">
        <v>6</v>
      </c>
      <c r="AF946">
        <v>3</v>
      </c>
      <c r="AG946">
        <v>9</v>
      </c>
      <c r="AH946">
        <v>8</v>
      </c>
      <c r="AI946">
        <v>7</v>
      </c>
      <c r="AJ946">
        <v>5</v>
      </c>
    </row>
    <row r="947" spans="1:36" x14ac:dyDescent="0.3">
      <c r="A947">
        <v>50</v>
      </c>
      <c r="B947" t="s">
        <v>43</v>
      </c>
      <c r="C947" s="6">
        <f t="shared" si="14"/>
        <v>0</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t="s">
        <v>35</v>
      </c>
      <c r="Y947">
        <v>11</v>
      </c>
      <c r="Z947">
        <v>3</v>
      </c>
      <c r="AA947">
        <v>2</v>
      </c>
      <c r="AB947">
        <v>80</v>
      </c>
      <c r="AC947">
        <v>0</v>
      </c>
      <c r="AD947">
        <v>25</v>
      </c>
      <c r="AE947">
        <v>2</v>
      </c>
      <c r="AF947">
        <v>3</v>
      </c>
      <c r="AG947">
        <v>3</v>
      </c>
      <c r="AH947">
        <v>2</v>
      </c>
      <c r="AI947">
        <v>1</v>
      </c>
      <c r="AJ947">
        <v>2</v>
      </c>
    </row>
    <row r="948" spans="1:36" x14ac:dyDescent="0.3">
      <c r="A948">
        <v>40</v>
      </c>
      <c r="B948" t="s">
        <v>35</v>
      </c>
      <c r="C948" s="6">
        <f t="shared" si="14"/>
        <v>1</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t="s">
        <v>35</v>
      </c>
      <c r="Y948">
        <v>12</v>
      </c>
      <c r="Z948">
        <v>3</v>
      </c>
      <c r="AA948">
        <v>3</v>
      </c>
      <c r="AB948">
        <v>80</v>
      </c>
      <c r="AC948">
        <v>0</v>
      </c>
      <c r="AD948">
        <v>9</v>
      </c>
      <c r="AE948">
        <v>2</v>
      </c>
      <c r="AF948">
        <v>3</v>
      </c>
      <c r="AG948">
        <v>5</v>
      </c>
      <c r="AH948">
        <v>4</v>
      </c>
      <c r="AI948">
        <v>1</v>
      </c>
      <c r="AJ948">
        <v>0</v>
      </c>
    </row>
    <row r="949" spans="1:36" x14ac:dyDescent="0.3">
      <c r="A949">
        <v>52</v>
      </c>
      <c r="B949" t="s">
        <v>35</v>
      </c>
      <c r="C949" s="6">
        <f t="shared" si="14"/>
        <v>1</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t="s">
        <v>35</v>
      </c>
      <c r="Y949">
        <v>19</v>
      </c>
      <c r="Z949">
        <v>3</v>
      </c>
      <c r="AA949">
        <v>3</v>
      </c>
      <c r="AB949">
        <v>80</v>
      </c>
      <c r="AC949">
        <v>0</v>
      </c>
      <c r="AD949">
        <v>10</v>
      </c>
      <c r="AE949">
        <v>2</v>
      </c>
      <c r="AF949">
        <v>2</v>
      </c>
      <c r="AG949">
        <v>8</v>
      </c>
      <c r="AH949">
        <v>7</v>
      </c>
      <c r="AI949">
        <v>7</v>
      </c>
      <c r="AJ949">
        <v>7</v>
      </c>
    </row>
    <row r="950" spans="1:36" x14ac:dyDescent="0.3">
      <c r="A950">
        <v>30</v>
      </c>
      <c r="B950" t="s">
        <v>43</v>
      </c>
      <c r="C950" s="6">
        <f t="shared" si="14"/>
        <v>0</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t="s">
        <v>35</v>
      </c>
      <c r="Y950">
        <v>23</v>
      </c>
      <c r="Z950">
        <v>4</v>
      </c>
      <c r="AA950">
        <v>4</v>
      </c>
      <c r="AB950">
        <v>80</v>
      </c>
      <c r="AC950">
        <v>2</v>
      </c>
      <c r="AD950">
        <v>9</v>
      </c>
      <c r="AE950">
        <v>2</v>
      </c>
      <c r="AF950">
        <v>3</v>
      </c>
      <c r="AG950">
        <v>9</v>
      </c>
      <c r="AH950">
        <v>1</v>
      </c>
      <c r="AI950">
        <v>0</v>
      </c>
      <c r="AJ950">
        <v>8</v>
      </c>
    </row>
    <row r="951" spans="1:36" x14ac:dyDescent="0.3">
      <c r="A951">
        <v>39</v>
      </c>
      <c r="B951" t="s">
        <v>43</v>
      </c>
      <c r="C951" s="6">
        <f t="shared" si="14"/>
        <v>0</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t="s">
        <v>43</v>
      </c>
      <c r="Y951">
        <v>11</v>
      </c>
      <c r="Z951">
        <v>3</v>
      </c>
      <c r="AA951">
        <v>1</v>
      </c>
      <c r="AB951">
        <v>80</v>
      </c>
      <c r="AC951">
        <v>0</v>
      </c>
      <c r="AD951">
        <v>9</v>
      </c>
      <c r="AE951">
        <v>6</v>
      </c>
      <c r="AF951">
        <v>3</v>
      </c>
      <c r="AG951">
        <v>8</v>
      </c>
      <c r="AH951">
        <v>7</v>
      </c>
      <c r="AI951">
        <v>1</v>
      </c>
      <c r="AJ951">
        <v>7</v>
      </c>
    </row>
    <row r="952" spans="1:36" x14ac:dyDescent="0.3">
      <c r="A952">
        <v>31</v>
      </c>
      <c r="B952" t="s">
        <v>43</v>
      </c>
      <c r="C952" s="6">
        <f t="shared" si="14"/>
        <v>0</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t="s">
        <v>35</v>
      </c>
      <c r="Y952">
        <v>19</v>
      </c>
      <c r="Z952">
        <v>3</v>
      </c>
      <c r="AA952">
        <v>1</v>
      </c>
      <c r="AB952">
        <v>80</v>
      </c>
      <c r="AC952">
        <v>1</v>
      </c>
      <c r="AD952">
        <v>10</v>
      </c>
      <c r="AE952">
        <v>5</v>
      </c>
      <c r="AF952">
        <v>2</v>
      </c>
      <c r="AG952">
        <v>10</v>
      </c>
      <c r="AH952">
        <v>8</v>
      </c>
      <c r="AI952">
        <v>9</v>
      </c>
      <c r="AJ952">
        <v>6</v>
      </c>
    </row>
    <row r="953" spans="1:36" x14ac:dyDescent="0.3">
      <c r="A953">
        <v>41</v>
      </c>
      <c r="B953" t="s">
        <v>43</v>
      </c>
      <c r="C953" s="6">
        <f t="shared" si="14"/>
        <v>0</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t="s">
        <v>43</v>
      </c>
      <c r="Y953">
        <v>13</v>
      </c>
      <c r="Z953">
        <v>3</v>
      </c>
      <c r="AA953">
        <v>1</v>
      </c>
      <c r="AB953">
        <v>80</v>
      </c>
      <c r="AC953">
        <v>0</v>
      </c>
      <c r="AD953">
        <v>19</v>
      </c>
      <c r="AE953">
        <v>4</v>
      </c>
      <c r="AF953">
        <v>3</v>
      </c>
      <c r="AG953">
        <v>19</v>
      </c>
      <c r="AH953">
        <v>2</v>
      </c>
      <c r="AI953">
        <v>11</v>
      </c>
      <c r="AJ953">
        <v>9</v>
      </c>
    </row>
    <row r="954" spans="1:36" x14ac:dyDescent="0.3">
      <c r="A954">
        <v>31</v>
      </c>
      <c r="B954" t="s">
        <v>35</v>
      </c>
      <c r="C954" s="6">
        <f t="shared" si="14"/>
        <v>1</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t="s">
        <v>35</v>
      </c>
      <c r="Y954">
        <v>11</v>
      </c>
      <c r="Z954">
        <v>3</v>
      </c>
      <c r="AA954">
        <v>1</v>
      </c>
      <c r="AB954">
        <v>80</v>
      </c>
      <c r="AC954">
        <v>0</v>
      </c>
      <c r="AD954">
        <v>3</v>
      </c>
      <c r="AE954">
        <v>2</v>
      </c>
      <c r="AF954">
        <v>4</v>
      </c>
      <c r="AG954">
        <v>3</v>
      </c>
      <c r="AH954">
        <v>2</v>
      </c>
      <c r="AI954">
        <v>2</v>
      </c>
      <c r="AJ954">
        <v>2</v>
      </c>
    </row>
    <row r="955" spans="1:36" x14ac:dyDescent="0.3">
      <c r="A955">
        <v>44</v>
      </c>
      <c r="B955" t="s">
        <v>35</v>
      </c>
      <c r="C955" s="6">
        <f t="shared" si="14"/>
        <v>1</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t="s">
        <v>43</v>
      </c>
      <c r="Y955">
        <v>12</v>
      </c>
      <c r="Z955">
        <v>3</v>
      </c>
      <c r="AA955">
        <v>3</v>
      </c>
      <c r="AB955">
        <v>80</v>
      </c>
      <c r="AC955">
        <v>0</v>
      </c>
      <c r="AD955">
        <v>10</v>
      </c>
      <c r="AE955">
        <v>4</v>
      </c>
      <c r="AF955">
        <v>4</v>
      </c>
      <c r="AG955">
        <v>3</v>
      </c>
      <c r="AH955">
        <v>2</v>
      </c>
      <c r="AI955">
        <v>1</v>
      </c>
      <c r="AJ955">
        <v>2</v>
      </c>
    </row>
    <row r="956" spans="1:36" x14ac:dyDescent="0.3">
      <c r="A956">
        <v>42</v>
      </c>
      <c r="B956" t="s">
        <v>43</v>
      </c>
      <c r="C956" s="6">
        <f t="shared" si="14"/>
        <v>0</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t="s">
        <v>35</v>
      </c>
      <c r="Y956">
        <v>13</v>
      </c>
      <c r="Z956">
        <v>3</v>
      </c>
      <c r="AA956">
        <v>4</v>
      </c>
      <c r="AB956">
        <v>80</v>
      </c>
      <c r="AC956">
        <v>0</v>
      </c>
      <c r="AD956">
        <v>21</v>
      </c>
      <c r="AE956">
        <v>3</v>
      </c>
      <c r="AF956">
        <v>2</v>
      </c>
      <c r="AG956">
        <v>20</v>
      </c>
      <c r="AH956">
        <v>8</v>
      </c>
      <c r="AI956">
        <v>2</v>
      </c>
      <c r="AJ956">
        <v>10</v>
      </c>
    </row>
    <row r="957" spans="1:36" x14ac:dyDescent="0.3">
      <c r="A957">
        <v>55</v>
      </c>
      <c r="B957" t="s">
        <v>43</v>
      </c>
      <c r="C957" s="6">
        <f t="shared" si="14"/>
        <v>0</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t="s">
        <v>43</v>
      </c>
      <c r="Y957">
        <v>14</v>
      </c>
      <c r="Z957">
        <v>3</v>
      </c>
      <c r="AA957">
        <v>4</v>
      </c>
      <c r="AB957">
        <v>80</v>
      </c>
      <c r="AC957">
        <v>1</v>
      </c>
      <c r="AD957">
        <v>23</v>
      </c>
      <c r="AE957">
        <v>5</v>
      </c>
      <c r="AF957">
        <v>3</v>
      </c>
      <c r="AG957">
        <v>19</v>
      </c>
      <c r="AH957">
        <v>9</v>
      </c>
      <c r="AI957">
        <v>9</v>
      </c>
      <c r="AJ957">
        <v>11</v>
      </c>
    </row>
    <row r="958" spans="1:36" x14ac:dyDescent="0.3">
      <c r="A958">
        <v>56</v>
      </c>
      <c r="B958" t="s">
        <v>43</v>
      </c>
      <c r="C958" s="6">
        <f t="shared" si="14"/>
        <v>0</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t="s">
        <v>43</v>
      </c>
      <c r="Y958">
        <v>14</v>
      </c>
      <c r="Z958">
        <v>3</v>
      </c>
      <c r="AA958">
        <v>1</v>
      </c>
      <c r="AB958">
        <v>80</v>
      </c>
      <c r="AC958">
        <v>0</v>
      </c>
      <c r="AD958">
        <v>36</v>
      </c>
      <c r="AE958">
        <v>4</v>
      </c>
      <c r="AF958">
        <v>3</v>
      </c>
      <c r="AG958">
        <v>7</v>
      </c>
      <c r="AH958">
        <v>3</v>
      </c>
      <c r="AI958">
        <v>7</v>
      </c>
      <c r="AJ958">
        <v>7</v>
      </c>
    </row>
    <row r="959" spans="1:36" x14ac:dyDescent="0.3">
      <c r="A959">
        <v>40</v>
      </c>
      <c r="B959" t="s">
        <v>43</v>
      </c>
      <c r="C959" s="6">
        <f t="shared" si="14"/>
        <v>0</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t="s">
        <v>43</v>
      </c>
      <c r="Y959">
        <v>16</v>
      </c>
      <c r="Z959">
        <v>3</v>
      </c>
      <c r="AA959">
        <v>2</v>
      </c>
      <c r="AB959">
        <v>80</v>
      </c>
      <c r="AC959">
        <v>1</v>
      </c>
      <c r="AD959">
        <v>6</v>
      </c>
      <c r="AE959">
        <v>0</v>
      </c>
      <c r="AF959">
        <v>3</v>
      </c>
      <c r="AG959">
        <v>4</v>
      </c>
      <c r="AH959">
        <v>2</v>
      </c>
      <c r="AI959">
        <v>0</v>
      </c>
      <c r="AJ959">
        <v>0</v>
      </c>
    </row>
    <row r="960" spans="1:36" x14ac:dyDescent="0.3">
      <c r="A960">
        <v>34</v>
      </c>
      <c r="B960" t="s">
        <v>43</v>
      </c>
      <c r="C960" s="6">
        <f t="shared" si="14"/>
        <v>0</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t="s">
        <v>43</v>
      </c>
      <c r="Y960">
        <v>11</v>
      </c>
      <c r="Z960">
        <v>3</v>
      </c>
      <c r="AA960">
        <v>4</v>
      </c>
      <c r="AB960">
        <v>80</v>
      </c>
      <c r="AC960">
        <v>1</v>
      </c>
      <c r="AD960">
        <v>10</v>
      </c>
      <c r="AE960">
        <v>0</v>
      </c>
      <c r="AF960">
        <v>2</v>
      </c>
      <c r="AG960">
        <v>9</v>
      </c>
      <c r="AH960">
        <v>7</v>
      </c>
      <c r="AI960">
        <v>1</v>
      </c>
      <c r="AJ960">
        <v>6</v>
      </c>
    </row>
    <row r="961" spans="1:36" x14ac:dyDescent="0.3">
      <c r="A961">
        <v>40</v>
      </c>
      <c r="B961" t="s">
        <v>43</v>
      </c>
      <c r="C961" s="6">
        <f t="shared" si="14"/>
        <v>0</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t="s">
        <v>43</v>
      </c>
      <c r="Y961">
        <v>13</v>
      </c>
      <c r="Z961">
        <v>3</v>
      </c>
      <c r="AA961">
        <v>3</v>
      </c>
      <c r="AB961">
        <v>80</v>
      </c>
      <c r="AC961">
        <v>0</v>
      </c>
      <c r="AD961">
        <v>9</v>
      </c>
      <c r="AE961">
        <v>4</v>
      </c>
      <c r="AF961">
        <v>3</v>
      </c>
      <c r="AG961">
        <v>9</v>
      </c>
      <c r="AH961">
        <v>8</v>
      </c>
      <c r="AI961">
        <v>8</v>
      </c>
      <c r="AJ961">
        <v>8</v>
      </c>
    </row>
    <row r="962" spans="1:36" x14ac:dyDescent="0.3">
      <c r="A962">
        <v>41</v>
      </c>
      <c r="B962" t="s">
        <v>43</v>
      </c>
      <c r="C962" s="6">
        <f t="shared" si="14"/>
        <v>0</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t="s">
        <v>43</v>
      </c>
      <c r="Y962">
        <v>17</v>
      </c>
      <c r="Z962">
        <v>3</v>
      </c>
      <c r="AA962">
        <v>4</v>
      </c>
      <c r="AB962">
        <v>80</v>
      </c>
      <c r="AC962">
        <v>1</v>
      </c>
      <c r="AD962">
        <v>10</v>
      </c>
      <c r="AE962">
        <v>2</v>
      </c>
      <c r="AF962">
        <v>3</v>
      </c>
      <c r="AG962">
        <v>9</v>
      </c>
      <c r="AH962">
        <v>3</v>
      </c>
      <c r="AI962">
        <v>1</v>
      </c>
      <c r="AJ962">
        <v>7</v>
      </c>
    </row>
    <row r="963" spans="1:36" x14ac:dyDescent="0.3">
      <c r="A963">
        <v>35</v>
      </c>
      <c r="B963" t="s">
        <v>43</v>
      </c>
      <c r="C963" s="6">
        <f t="shared" ref="C963:C1026" si="15">IF(B963="Yes",1,0)</f>
        <v>0</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t="s">
        <v>35</v>
      </c>
      <c r="Y963">
        <v>11</v>
      </c>
      <c r="Z963">
        <v>3</v>
      </c>
      <c r="AA963">
        <v>2</v>
      </c>
      <c r="AB963">
        <v>80</v>
      </c>
      <c r="AC963">
        <v>0</v>
      </c>
      <c r="AD963">
        <v>9</v>
      </c>
      <c r="AE963">
        <v>3</v>
      </c>
      <c r="AF963">
        <v>3</v>
      </c>
      <c r="AG963">
        <v>9</v>
      </c>
      <c r="AH963">
        <v>6</v>
      </c>
      <c r="AI963">
        <v>1</v>
      </c>
      <c r="AJ963">
        <v>1</v>
      </c>
    </row>
    <row r="964" spans="1:36" x14ac:dyDescent="0.3">
      <c r="A964">
        <v>51</v>
      </c>
      <c r="B964" t="s">
        <v>43</v>
      </c>
      <c r="C964" s="6">
        <f t="shared" si="15"/>
        <v>0</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t="s">
        <v>35</v>
      </c>
      <c r="Y964">
        <v>11</v>
      </c>
      <c r="Z964">
        <v>3</v>
      </c>
      <c r="AA964">
        <v>2</v>
      </c>
      <c r="AB964">
        <v>80</v>
      </c>
      <c r="AC964">
        <v>1</v>
      </c>
      <c r="AD964">
        <v>33</v>
      </c>
      <c r="AE964">
        <v>2</v>
      </c>
      <c r="AF964">
        <v>3</v>
      </c>
      <c r="AG964">
        <v>33</v>
      </c>
      <c r="AH964">
        <v>9</v>
      </c>
      <c r="AI964">
        <v>0</v>
      </c>
      <c r="AJ964">
        <v>10</v>
      </c>
    </row>
    <row r="965" spans="1:36" x14ac:dyDescent="0.3">
      <c r="A965">
        <v>38</v>
      </c>
      <c r="B965" t="s">
        <v>43</v>
      </c>
      <c r="C965" s="6">
        <f t="shared" si="15"/>
        <v>0</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t="s">
        <v>43</v>
      </c>
      <c r="Y965">
        <v>15</v>
      </c>
      <c r="Z965">
        <v>3</v>
      </c>
      <c r="AA965">
        <v>4</v>
      </c>
      <c r="AB965">
        <v>80</v>
      </c>
      <c r="AC965">
        <v>1</v>
      </c>
      <c r="AD965">
        <v>11</v>
      </c>
      <c r="AE965">
        <v>3</v>
      </c>
      <c r="AF965">
        <v>3</v>
      </c>
      <c r="AG965">
        <v>7</v>
      </c>
      <c r="AH965">
        <v>7</v>
      </c>
      <c r="AI965">
        <v>1</v>
      </c>
      <c r="AJ965">
        <v>7</v>
      </c>
    </row>
    <row r="966" spans="1:36" x14ac:dyDescent="0.3">
      <c r="A966">
        <v>34</v>
      </c>
      <c r="B966" t="s">
        <v>43</v>
      </c>
      <c r="C966" s="6">
        <f t="shared" si="15"/>
        <v>0</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t="s">
        <v>43</v>
      </c>
      <c r="Y966">
        <v>12</v>
      </c>
      <c r="Z966">
        <v>3</v>
      </c>
      <c r="AA966">
        <v>4</v>
      </c>
      <c r="AB966">
        <v>80</v>
      </c>
      <c r="AC966">
        <v>0</v>
      </c>
      <c r="AD966">
        <v>10</v>
      </c>
      <c r="AE966">
        <v>6</v>
      </c>
      <c r="AF966">
        <v>4</v>
      </c>
      <c r="AG966">
        <v>10</v>
      </c>
      <c r="AH966">
        <v>8</v>
      </c>
      <c r="AI966">
        <v>9</v>
      </c>
      <c r="AJ966">
        <v>6</v>
      </c>
    </row>
    <row r="967" spans="1:36" x14ac:dyDescent="0.3">
      <c r="A967">
        <v>25</v>
      </c>
      <c r="B967" t="s">
        <v>43</v>
      </c>
      <c r="C967" s="6">
        <f t="shared" si="15"/>
        <v>0</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t="s">
        <v>43</v>
      </c>
      <c r="Y967">
        <v>11</v>
      </c>
      <c r="Z967">
        <v>3</v>
      </c>
      <c r="AA967">
        <v>3</v>
      </c>
      <c r="AB967">
        <v>80</v>
      </c>
      <c r="AC967">
        <v>3</v>
      </c>
      <c r="AD967">
        <v>7</v>
      </c>
      <c r="AE967">
        <v>6</v>
      </c>
      <c r="AF967">
        <v>2</v>
      </c>
      <c r="AG967">
        <v>3</v>
      </c>
      <c r="AH967">
        <v>2</v>
      </c>
      <c r="AI967">
        <v>1</v>
      </c>
      <c r="AJ967">
        <v>2</v>
      </c>
    </row>
    <row r="968" spans="1:36" x14ac:dyDescent="0.3">
      <c r="A968">
        <v>58</v>
      </c>
      <c r="B968" t="s">
        <v>35</v>
      </c>
      <c r="C968" s="6">
        <f t="shared" si="15"/>
        <v>1</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t="s">
        <v>35</v>
      </c>
      <c r="Y968">
        <v>14</v>
      </c>
      <c r="Z968">
        <v>3</v>
      </c>
      <c r="AA968">
        <v>4</v>
      </c>
      <c r="AB968">
        <v>80</v>
      </c>
      <c r="AC968">
        <v>0</v>
      </c>
      <c r="AD968">
        <v>31</v>
      </c>
      <c r="AE968">
        <v>0</v>
      </c>
      <c r="AF968">
        <v>2</v>
      </c>
      <c r="AG968">
        <v>10</v>
      </c>
      <c r="AH968">
        <v>9</v>
      </c>
      <c r="AI968">
        <v>5</v>
      </c>
      <c r="AJ968">
        <v>9</v>
      </c>
    </row>
    <row r="969" spans="1:36" x14ac:dyDescent="0.3">
      <c r="A969">
        <v>40</v>
      </c>
      <c r="B969" t="s">
        <v>43</v>
      </c>
      <c r="C969" s="6">
        <f t="shared" si="15"/>
        <v>0</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t="s">
        <v>43</v>
      </c>
      <c r="Y969">
        <v>22</v>
      </c>
      <c r="Z969">
        <v>4</v>
      </c>
      <c r="AA969">
        <v>3</v>
      </c>
      <c r="AB969">
        <v>80</v>
      </c>
      <c r="AC969">
        <v>1</v>
      </c>
      <c r="AD969">
        <v>7</v>
      </c>
      <c r="AE969">
        <v>3</v>
      </c>
      <c r="AF969">
        <v>3</v>
      </c>
      <c r="AG969">
        <v>4</v>
      </c>
      <c r="AH969">
        <v>2</v>
      </c>
      <c r="AI969">
        <v>0</v>
      </c>
      <c r="AJ969">
        <v>3</v>
      </c>
    </row>
    <row r="970" spans="1:36" x14ac:dyDescent="0.3">
      <c r="A970">
        <v>36</v>
      </c>
      <c r="B970" t="s">
        <v>43</v>
      </c>
      <c r="C970" s="6">
        <f t="shared" si="15"/>
        <v>0</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t="s">
        <v>43</v>
      </c>
      <c r="Y970">
        <v>16</v>
      </c>
      <c r="Z970">
        <v>3</v>
      </c>
      <c r="AA970">
        <v>4</v>
      </c>
      <c r="AB970">
        <v>80</v>
      </c>
      <c r="AC970">
        <v>1</v>
      </c>
      <c r="AD970">
        <v>17</v>
      </c>
      <c r="AE970">
        <v>2</v>
      </c>
      <c r="AF970">
        <v>2</v>
      </c>
      <c r="AG970">
        <v>15</v>
      </c>
      <c r="AH970">
        <v>7</v>
      </c>
      <c r="AI970">
        <v>6</v>
      </c>
      <c r="AJ970">
        <v>13</v>
      </c>
    </row>
    <row r="971" spans="1:36" x14ac:dyDescent="0.3">
      <c r="A971">
        <v>48</v>
      </c>
      <c r="B971" t="s">
        <v>43</v>
      </c>
      <c r="C971" s="6">
        <f t="shared" si="15"/>
        <v>0</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t="s">
        <v>43</v>
      </c>
      <c r="Y971">
        <v>11</v>
      </c>
      <c r="Z971">
        <v>3</v>
      </c>
      <c r="AA971">
        <v>3</v>
      </c>
      <c r="AB971">
        <v>80</v>
      </c>
      <c r="AC971">
        <v>0</v>
      </c>
      <c r="AD971">
        <v>11</v>
      </c>
      <c r="AE971">
        <v>2</v>
      </c>
      <c r="AF971">
        <v>3</v>
      </c>
      <c r="AG971">
        <v>10</v>
      </c>
      <c r="AH971">
        <v>9</v>
      </c>
      <c r="AI971">
        <v>0</v>
      </c>
      <c r="AJ971">
        <v>8</v>
      </c>
    </row>
    <row r="972" spans="1:36" x14ac:dyDescent="0.3">
      <c r="A972">
        <v>27</v>
      </c>
      <c r="B972" t="s">
        <v>43</v>
      </c>
      <c r="C972" s="6">
        <f t="shared" si="15"/>
        <v>0</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t="s">
        <v>43</v>
      </c>
      <c r="Y972">
        <v>14</v>
      </c>
      <c r="Z972">
        <v>3</v>
      </c>
      <c r="AA972">
        <v>2</v>
      </c>
      <c r="AB972">
        <v>80</v>
      </c>
      <c r="AC972">
        <v>1</v>
      </c>
      <c r="AD972">
        <v>5</v>
      </c>
      <c r="AE972">
        <v>4</v>
      </c>
      <c r="AF972">
        <v>3</v>
      </c>
      <c r="AG972">
        <v>1</v>
      </c>
      <c r="AH972">
        <v>0</v>
      </c>
      <c r="AI972">
        <v>0</v>
      </c>
      <c r="AJ972">
        <v>0</v>
      </c>
    </row>
    <row r="973" spans="1:36" x14ac:dyDescent="0.3">
      <c r="A973">
        <v>51</v>
      </c>
      <c r="B973" t="s">
        <v>43</v>
      </c>
      <c r="C973" s="6">
        <f t="shared" si="15"/>
        <v>0</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t="s">
        <v>43</v>
      </c>
      <c r="Y973">
        <v>16</v>
      </c>
      <c r="Z973">
        <v>3</v>
      </c>
      <c r="AA973">
        <v>2</v>
      </c>
      <c r="AB973">
        <v>80</v>
      </c>
      <c r="AC973">
        <v>0</v>
      </c>
      <c r="AD973">
        <v>29</v>
      </c>
      <c r="AE973">
        <v>1</v>
      </c>
      <c r="AF973">
        <v>2</v>
      </c>
      <c r="AG973">
        <v>5</v>
      </c>
      <c r="AH973">
        <v>2</v>
      </c>
      <c r="AI973">
        <v>0</v>
      </c>
      <c r="AJ973">
        <v>3</v>
      </c>
    </row>
    <row r="974" spans="1:36" x14ac:dyDescent="0.3">
      <c r="A974">
        <v>18</v>
      </c>
      <c r="B974" t="s">
        <v>43</v>
      </c>
      <c r="C974" s="6">
        <f t="shared" si="15"/>
        <v>0</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t="s">
        <v>43</v>
      </c>
      <c r="Y974">
        <v>15</v>
      </c>
      <c r="Z974">
        <v>3</v>
      </c>
      <c r="AA974">
        <v>3</v>
      </c>
      <c r="AB974">
        <v>80</v>
      </c>
      <c r="AC974">
        <v>0</v>
      </c>
      <c r="AD974">
        <v>0</v>
      </c>
      <c r="AE974">
        <v>5</v>
      </c>
      <c r="AF974">
        <v>4</v>
      </c>
      <c r="AG974">
        <v>0</v>
      </c>
      <c r="AH974">
        <v>0</v>
      </c>
      <c r="AI974">
        <v>0</v>
      </c>
      <c r="AJ974">
        <v>0</v>
      </c>
    </row>
    <row r="975" spans="1:36" x14ac:dyDescent="0.3">
      <c r="A975">
        <v>35</v>
      </c>
      <c r="B975" t="s">
        <v>43</v>
      </c>
      <c r="C975" s="6">
        <f t="shared" si="15"/>
        <v>0</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t="s">
        <v>43</v>
      </c>
      <c r="Y975">
        <v>12</v>
      </c>
      <c r="Z975">
        <v>3</v>
      </c>
      <c r="AA975">
        <v>2</v>
      </c>
      <c r="AB975">
        <v>80</v>
      </c>
      <c r="AC975">
        <v>1</v>
      </c>
      <c r="AD975">
        <v>10</v>
      </c>
      <c r="AE975">
        <v>0</v>
      </c>
      <c r="AF975">
        <v>3</v>
      </c>
      <c r="AG975">
        <v>9</v>
      </c>
      <c r="AH975">
        <v>7</v>
      </c>
      <c r="AI975">
        <v>0</v>
      </c>
      <c r="AJ975">
        <v>0</v>
      </c>
    </row>
    <row r="976" spans="1:36" x14ac:dyDescent="0.3">
      <c r="A976">
        <v>27</v>
      </c>
      <c r="B976" t="s">
        <v>43</v>
      </c>
      <c r="C976" s="6">
        <f t="shared" si="15"/>
        <v>0</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t="s">
        <v>43</v>
      </c>
      <c r="Y976">
        <v>20</v>
      </c>
      <c r="Z976">
        <v>4</v>
      </c>
      <c r="AA976">
        <v>2</v>
      </c>
      <c r="AB976">
        <v>80</v>
      </c>
      <c r="AC976">
        <v>0</v>
      </c>
      <c r="AD976">
        <v>8</v>
      </c>
      <c r="AE976">
        <v>3</v>
      </c>
      <c r="AF976">
        <v>3</v>
      </c>
      <c r="AG976">
        <v>6</v>
      </c>
      <c r="AH976">
        <v>2</v>
      </c>
      <c r="AI976">
        <v>0</v>
      </c>
      <c r="AJ976">
        <v>0</v>
      </c>
    </row>
    <row r="977" spans="1:36" x14ac:dyDescent="0.3">
      <c r="A977">
        <v>55</v>
      </c>
      <c r="B977" t="s">
        <v>35</v>
      </c>
      <c r="C977" s="6">
        <f t="shared" si="15"/>
        <v>1</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t="s">
        <v>35</v>
      </c>
      <c r="Y977">
        <v>17</v>
      </c>
      <c r="Z977">
        <v>3</v>
      </c>
      <c r="AA977">
        <v>3</v>
      </c>
      <c r="AB977">
        <v>80</v>
      </c>
      <c r="AC977">
        <v>0</v>
      </c>
      <c r="AD977">
        <v>24</v>
      </c>
      <c r="AE977">
        <v>2</v>
      </c>
      <c r="AF977">
        <v>2</v>
      </c>
      <c r="AG977">
        <v>19</v>
      </c>
      <c r="AH977">
        <v>7</v>
      </c>
      <c r="AI977">
        <v>3</v>
      </c>
      <c r="AJ977">
        <v>8</v>
      </c>
    </row>
    <row r="978" spans="1:36" x14ac:dyDescent="0.3">
      <c r="A978">
        <v>56</v>
      </c>
      <c r="B978" t="s">
        <v>43</v>
      </c>
      <c r="C978" s="6">
        <f t="shared" si="15"/>
        <v>0</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t="s">
        <v>35</v>
      </c>
      <c r="Y978">
        <v>12</v>
      </c>
      <c r="Z978">
        <v>3</v>
      </c>
      <c r="AA978">
        <v>1</v>
      </c>
      <c r="AB978">
        <v>80</v>
      </c>
      <c r="AC978">
        <v>1</v>
      </c>
      <c r="AD978">
        <v>33</v>
      </c>
      <c r="AE978">
        <v>0</v>
      </c>
      <c r="AF978">
        <v>3</v>
      </c>
      <c r="AG978">
        <v>19</v>
      </c>
      <c r="AH978">
        <v>16</v>
      </c>
      <c r="AI978">
        <v>15</v>
      </c>
      <c r="AJ978">
        <v>9</v>
      </c>
    </row>
    <row r="979" spans="1:36" x14ac:dyDescent="0.3">
      <c r="A979">
        <v>34</v>
      </c>
      <c r="B979" t="s">
        <v>43</v>
      </c>
      <c r="C979" s="6">
        <f t="shared" si="15"/>
        <v>0</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t="s">
        <v>43</v>
      </c>
      <c r="Y979">
        <v>20</v>
      </c>
      <c r="Z979">
        <v>4</v>
      </c>
      <c r="AA979">
        <v>3</v>
      </c>
      <c r="AB979">
        <v>80</v>
      </c>
      <c r="AC979">
        <v>3</v>
      </c>
      <c r="AD979">
        <v>5</v>
      </c>
      <c r="AE979">
        <v>2</v>
      </c>
      <c r="AF979">
        <v>3</v>
      </c>
      <c r="AG979">
        <v>5</v>
      </c>
      <c r="AH979">
        <v>4</v>
      </c>
      <c r="AI979">
        <v>0</v>
      </c>
      <c r="AJ979">
        <v>0</v>
      </c>
    </row>
    <row r="980" spans="1:36" x14ac:dyDescent="0.3">
      <c r="A980">
        <v>40</v>
      </c>
      <c r="B980" t="s">
        <v>43</v>
      </c>
      <c r="C980" s="6">
        <f t="shared" si="15"/>
        <v>0</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t="s">
        <v>43</v>
      </c>
      <c r="Y980">
        <v>20</v>
      </c>
      <c r="Z980">
        <v>4</v>
      </c>
      <c r="AA980">
        <v>2</v>
      </c>
      <c r="AB980">
        <v>80</v>
      </c>
      <c r="AC980">
        <v>3</v>
      </c>
      <c r="AD980">
        <v>15</v>
      </c>
      <c r="AE980">
        <v>0</v>
      </c>
      <c r="AF980">
        <v>3</v>
      </c>
      <c r="AG980">
        <v>12</v>
      </c>
      <c r="AH980">
        <v>11</v>
      </c>
      <c r="AI980">
        <v>11</v>
      </c>
      <c r="AJ980">
        <v>8</v>
      </c>
    </row>
    <row r="981" spans="1:36" x14ac:dyDescent="0.3">
      <c r="A981">
        <v>34</v>
      </c>
      <c r="B981" t="s">
        <v>43</v>
      </c>
      <c r="C981" s="6">
        <f t="shared" si="15"/>
        <v>0</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t="s">
        <v>43</v>
      </c>
      <c r="Y981">
        <v>13</v>
      </c>
      <c r="Z981">
        <v>3</v>
      </c>
      <c r="AA981">
        <v>1</v>
      </c>
      <c r="AB981">
        <v>80</v>
      </c>
      <c r="AC981">
        <v>2</v>
      </c>
      <c r="AD981">
        <v>10</v>
      </c>
      <c r="AE981">
        <v>1</v>
      </c>
      <c r="AF981">
        <v>3</v>
      </c>
      <c r="AG981">
        <v>8</v>
      </c>
      <c r="AH981">
        <v>7</v>
      </c>
      <c r="AI981">
        <v>7</v>
      </c>
      <c r="AJ981">
        <v>7</v>
      </c>
    </row>
    <row r="982" spans="1:36" x14ac:dyDescent="0.3">
      <c r="A982">
        <v>31</v>
      </c>
      <c r="B982" t="s">
        <v>35</v>
      </c>
      <c r="C982" s="6">
        <f t="shared" si="15"/>
        <v>1</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t="s">
        <v>43</v>
      </c>
      <c r="Y982">
        <v>14</v>
      </c>
      <c r="Z982">
        <v>3</v>
      </c>
      <c r="AA982">
        <v>3</v>
      </c>
      <c r="AB982">
        <v>80</v>
      </c>
      <c r="AC982">
        <v>0</v>
      </c>
      <c r="AD982">
        <v>3</v>
      </c>
      <c r="AE982">
        <v>3</v>
      </c>
      <c r="AF982">
        <v>4</v>
      </c>
      <c r="AG982">
        <v>1</v>
      </c>
      <c r="AH982">
        <v>0</v>
      </c>
      <c r="AI982">
        <v>0</v>
      </c>
      <c r="AJ982">
        <v>0</v>
      </c>
    </row>
    <row r="983" spans="1:36" x14ac:dyDescent="0.3">
      <c r="A983">
        <v>35</v>
      </c>
      <c r="B983" t="s">
        <v>35</v>
      </c>
      <c r="C983" s="6">
        <f t="shared" si="15"/>
        <v>1</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t="s">
        <v>35</v>
      </c>
      <c r="Y983">
        <v>18</v>
      </c>
      <c r="Z983">
        <v>3</v>
      </c>
      <c r="AA983">
        <v>3</v>
      </c>
      <c r="AB983">
        <v>80</v>
      </c>
      <c r="AC983">
        <v>1</v>
      </c>
      <c r="AD983">
        <v>5</v>
      </c>
      <c r="AE983">
        <v>0</v>
      </c>
      <c r="AF983">
        <v>2</v>
      </c>
      <c r="AG983">
        <v>4</v>
      </c>
      <c r="AH983">
        <v>2</v>
      </c>
      <c r="AI983">
        <v>3</v>
      </c>
      <c r="AJ983">
        <v>2</v>
      </c>
    </row>
    <row r="984" spans="1:36" x14ac:dyDescent="0.3">
      <c r="A984">
        <v>38</v>
      </c>
      <c r="B984" t="s">
        <v>43</v>
      </c>
      <c r="C984" s="6">
        <f t="shared" si="15"/>
        <v>0</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t="s">
        <v>43</v>
      </c>
      <c r="Y984">
        <v>11</v>
      </c>
      <c r="Z984">
        <v>3</v>
      </c>
      <c r="AA984">
        <v>4</v>
      </c>
      <c r="AB984">
        <v>80</v>
      </c>
      <c r="AC984">
        <v>3</v>
      </c>
      <c r="AD984">
        <v>4</v>
      </c>
      <c r="AE984">
        <v>2</v>
      </c>
      <c r="AF984">
        <v>3</v>
      </c>
      <c r="AG984">
        <v>4</v>
      </c>
      <c r="AH984">
        <v>2</v>
      </c>
      <c r="AI984">
        <v>0</v>
      </c>
      <c r="AJ984">
        <v>3</v>
      </c>
    </row>
    <row r="985" spans="1:36" x14ac:dyDescent="0.3">
      <c r="A985">
        <v>34</v>
      </c>
      <c r="B985" t="s">
        <v>43</v>
      </c>
      <c r="C985" s="6">
        <f t="shared" si="15"/>
        <v>0</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t="s">
        <v>43</v>
      </c>
      <c r="Y985">
        <v>11</v>
      </c>
      <c r="Z985">
        <v>3</v>
      </c>
      <c r="AA985">
        <v>4</v>
      </c>
      <c r="AB985">
        <v>80</v>
      </c>
      <c r="AC985">
        <v>0</v>
      </c>
      <c r="AD985">
        <v>14</v>
      </c>
      <c r="AE985">
        <v>2</v>
      </c>
      <c r="AF985">
        <v>4</v>
      </c>
      <c r="AG985">
        <v>14</v>
      </c>
      <c r="AH985">
        <v>11</v>
      </c>
      <c r="AI985">
        <v>4</v>
      </c>
      <c r="AJ985">
        <v>11</v>
      </c>
    </row>
    <row r="986" spans="1:36" x14ac:dyDescent="0.3">
      <c r="A986">
        <v>28</v>
      </c>
      <c r="B986" t="s">
        <v>43</v>
      </c>
      <c r="C986" s="6">
        <f t="shared" si="15"/>
        <v>0</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t="s">
        <v>43</v>
      </c>
      <c r="Y986">
        <v>11</v>
      </c>
      <c r="Z986">
        <v>3</v>
      </c>
      <c r="AA986">
        <v>3</v>
      </c>
      <c r="AB986">
        <v>80</v>
      </c>
      <c r="AC986">
        <v>1</v>
      </c>
      <c r="AD986">
        <v>5</v>
      </c>
      <c r="AE986">
        <v>0</v>
      </c>
      <c r="AF986">
        <v>3</v>
      </c>
      <c r="AG986">
        <v>5</v>
      </c>
      <c r="AH986">
        <v>3</v>
      </c>
      <c r="AI986">
        <v>0</v>
      </c>
      <c r="AJ986">
        <v>4</v>
      </c>
    </row>
    <row r="987" spans="1:36" x14ac:dyDescent="0.3">
      <c r="A987">
        <v>31</v>
      </c>
      <c r="B987" t="s">
        <v>35</v>
      </c>
      <c r="C987" s="6">
        <f t="shared" si="15"/>
        <v>1</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t="s">
        <v>35</v>
      </c>
      <c r="Y987">
        <v>15</v>
      </c>
      <c r="Z987">
        <v>3</v>
      </c>
      <c r="AA987">
        <v>4</v>
      </c>
      <c r="AB987">
        <v>80</v>
      </c>
      <c r="AC987">
        <v>2</v>
      </c>
      <c r="AD987">
        <v>10</v>
      </c>
      <c r="AE987">
        <v>3</v>
      </c>
      <c r="AF987">
        <v>2</v>
      </c>
      <c r="AG987">
        <v>10</v>
      </c>
      <c r="AH987">
        <v>2</v>
      </c>
      <c r="AI987">
        <v>6</v>
      </c>
      <c r="AJ987">
        <v>7</v>
      </c>
    </row>
    <row r="988" spans="1:36" x14ac:dyDescent="0.3">
      <c r="A988">
        <v>39</v>
      </c>
      <c r="B988" t="s">
        <v>43</v>
      </c>
      <c r="C988" s="6">
        <f t="shared" si="15"/>
        <v>0</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t="s">
        <v>35</v>
      </c>
      <c r="Y988">
        <v>12</v>
      </c>
      <c r="Z988">
        <v>3</v>
      </c>
      <c r="AA988">
        <v>4</v>
      </c>
      <c r="AB988">
        <v>80</v>
      </c>
      <c r="AC988">
        <v>2</v>
      </c>
      <c r="AD988">
        <v>8</v>
      </c>
      <c r="AE988">
        <v>2</v>
      </c>
      <c r="AF988">
        <v>4</v>
      </c>
      <c r="AG988">
        <v>5</v>
      </c>
      <c r="AH988">
        <v>4</v>
      </c>
      <c r="AI988">
        <v>1</v>
      </c>
      <c r="AJ988">
        <v>4</v>
      </c>
    </row>
    <row r="989" spans="1:36" x14ac:dyDescent="0.3">
      <c r="A989">
        <v>51</v>
      </c>
      <c r="B989" t="s">
        <v>43</v>
      </c>
      <c r="C989" s="6">
        <f t="shared" si="15"/>
        <v>0</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t="s">
        <v>43</v>
      </c>
      <c r="Y989">
        <v>11</v>
      </c>
      <c r="Z989">
        <v>3</v>
      </c>
      <c r="AA989">
        <v>2</v>
      </c>
      <c r="AB989">
        <v>80</v>
      </c>
      <c r="AC989">
        <v>0</v>
      </c>
      <c r="AD989">
        <v>14</v>
      </c>
      <c r="AE989">
        <v>5</v>
      </c>
      <c r="AF989">
        <v>3</v>
      </c>
      <c r="AG989">
        <v>4</v>
      </c>
      <c r="AH989">
        <v>2</v>
      </c>
      <c r="AI989">
        <v>3</v>
      </c>
      <c r="AJ989">
        <v>2</v>
      </c>
    </row>
    <row r="990" spans="1:36" x14ac:dyDescent="0.3">
      <c r="A990">
        <v>41</v>
      </c>
      <c r="B990" t="s">
        <v>43</v>
      </c>
      <c r="C990" s="6">
        <f t="shared" si="15"/>
        <v>0</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t="s">
        <v>35</v>
      </c>
      <c r="Y990">
        <v>14</v>
      </c>
      <c r="Z990">
        <v>3</v>
      </c>
      <c r="AA990">
        <v>1</v>
      </c>
      <c r="AB990">
        <v>80</v>
      </c>
      <c r="AC990">
        <v>2</v>
      </c>
      <c r="AD990">
        <v>12</v>
      </c>
      <c r="AE990">
        <v>4</v>
      </c>
      <c r="AF990">
        <v>2</v>
      </c>
      <c r="AG990">
        <v>6</v>
      </c>
      <c r="AH990">
        <v>2</v>
      </c>
      <c r="AI990">
        <v>3</v>
      </c>
      <c r="AJ990">
        <v>3</v>
      </c>
    </row>
    <row r="991" spans="1:36" x14ac:dyDescent="0.3">
      <c r="A991">
        <v>37</v>
      </c>
      <c r="B991" t="s">
        <v>43</v>
      </c>
      <c r="C991" s="6">
        <f t="shared" si="15"/>
        <v>0</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t="s">
        <v>35</v>
      </c>
      <c r="Y991">
        <v>15</v>
      </c>
      <c r="Z991">
        <v>3</v>
      </c>
      <c r="AA991">
        <v>4</v>
      </c>
      <c r="AB991">
        <v>80</v>
      </c>
      <c r="AC991">
        <v>0</v>
      </c>
      <c r="AD991">
        <v>8</v>
      </c>
      <c r="AE991">
        <v>2</v>
      </c>
      <c r="AF991">
        <v>3</v>
      </c>
      <c r="AG991">
        <v>6</v>
      </c>
      <c r="AH991">
        <v>4</v>
      </c>
      <c r="AI991">
        <v>1</v>
      </c>
      <c r="AJ991">
        <v>3</v>
      </c>
    </row>
    <row r="992" spans="1:36" x14ac:dyDescent="0.3">
      <c r="A992">
        <v>33</v>
      </c>
      <c r="B992" t="s">
        <v>43</v>
      </c>
      <c r="C992" s="6">
        <f t="shared" si="15"/>
        <v>0</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t="s">
        <v>43</v>
      </c>
      <c r="Y992">
        <v>13</v>
      </c>
      <c r="Z992">
        <v>3</v>
      </c>
      <c r="AA992">
        <v>1</v>
      </c>
      <c r="AB992">
        <v>80</v>
      </c>
      <c r="AC992">
        <v>0</v>
      </c>
      <c r="AD992">
        <v>8</v>
      </c>
      <c r="AE992">
        <v>2</v>
      </c>
      <c r="AF992">
        <v>4</v>
      </c>
      <c r="AG992">
        <v>5</v>
      </c>
      <c r="AH992">
        <v>4</v>
      </c>
      <c r="AI992">
        <v>1</v>
      </c>
      <c r="AJ992">
        <v>2</v>
      </c>
    </row>
    <row r="993" spans="1:36" x14ac:dyDescent="0.3">
      <c r="A993">
        <v>32</v>
      </c>
      <c r="B993" t="s">
        <v>43</v>
      </c>
      <c r="C993" s="6">
        <f t="shared" si="15"/>
        <v>0</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t="s">
        <v>35</v>
      </c>
      <c r="Y993">
        <v>13</v>
      </c>
      <c r="Z993">
        <v>3</v>
      </c>
      <c r="AA993">
        <v>1</v>
      </c>
      <c r="AB993">
        <v>80</v>
      </c>
      <c r="AC993">
        <v>3</v>
      </c>
      <c r="AD993">
        <v>4</v>
      </c>
      <c r="AE993">
        <v>3</v>
      </c>
      <c r="AF993">
        <v>2</v>
      </c>
      <c r="AG993">
        <v>3</v>
      </c>
      <c r="AH993">
        <v>2</v>
      </c>
      <c r="AI993">
        <v>1</v>
      </c>
      <c r="AJ993">
        <v>2</v>
      </c>
    </row>
    <row r="994" spans="1:36" x14ac:dyDescent="0.3">
      <c r="A994">
        <v>39</v>
      </c>
      <c r="B994" t="s">
        <v>43</v>
      </c>
      <c r="C994" s="6">
        <f t="shared" si="15"/>
        <v>0</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t="s">
        <v>43</v>
      </c>
      <c r="Y994">
        <v>21</v>
      </c>
      <c r="Z994">
        <v>4</v>
      </c>
      <c r="AA994">
        <v>2</v>
      </c>
      <c r="AB994">
        <v>80</v>
      </c>
      <c r="AC994">
        <v>1</v>
      </c>
      <c r="AD994">
        <v>13</v>
      </c>
      <c r="AE994">
        <v>2</v>
      </c>
      <c r="AF994">
        <v>3</v>
      </c>
      <c r="AG994">
        <v>6</v>
      </c>
      <c r="AH994">
        <v>4</v>
      </c>
      <c r="AI994">
        <v>0</v>
      </c>
      <c r="AJ994">
        <v>5</v>
      </c>
    </row>
    <row r="995" spans="1:36" x14ac:dyDescent="0.3">
      <c r="A995">
        <v>25</v>
      </c>
      <c r="B995" t="s">
        <v>43</v>
      </c>
      <c r="C995" s="6">
        <f t="shared" si="15"/>
        <v>0</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t="s">
        <v>43</v>
      </c>
      <c r="Y995">
        <v>11</v>
      </c>
      <c r="Z995">
        <v>3</v>
      </c>
      <c r="AA995">
        <v>2</v>
      </c>
      <c r="AB995">
        <v>80</v>
      </c>
      <c r="AC995">
        <v>0</v>
      </c>
      <c r="AD995">
        <v>6</v>
      </c>
      <c r="AE995">
        <v>3</v>
      </c>
      <c r="AF995">
        <v>2</v>
      </c>
      <c r="AG995">
        <v>3</v>
      </c>
      <c r="AH995">
        <v>2</v>
      </c>
      <c r="AI995">
        <v>1</v>
      </c>
      <c r="AJ995">
        <v>2</v>
      </c>
    </row>
    <row r="996" spans="1:36" x14ac:dyDescent="0.3">
      <c r="A996">
        <v>52</v>
      </c>
      <c r="B996" t="s">
        <v>43</v>
      </c>
      <c r="C996" s="6">
        <f t="shared" si="15"/>
        <v>0</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t="s">
        <v>35</v>
      </c>
      <c r="Y996">
        <v>11</v>
      </c>
      <c r="Z996">
        <v>3</v>
      </c>
      <c r="AA996">
        <v>2</v>
      </c>
      <c r="AB996">
        <v>80</v>
      </c>
      <c r="AC996">
        <v>1</v>
      </c>
      <c r="AD996">
        <v>24</v>
      </c>
      <c r="AE996">
        <v>3</v>
      </c>
      <c r="AF996">
        <v>2</v>
      </c>
      <c r="AG996">
        <v>5</v>
      </c>
      <c r="AH996">
        <v>3</v>
      </c>
      <c r="AI996">
        <v>0</v>
      </c>
      <c r="AJ996">
        <v>2</v>
      </c>
    </row>
    <row r="997" spans="1:36" x14ac:dyDescent="0.3">
      <c r="A997">
        <v>43</v>
      </c>
      <c r="B997" t="s">
        <v>43</v>
      </c>
      <c r="C997" s="6">
        <f t="shared" si="15"/>
        <v>0</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t="s">
        <v>35</v>
      </c>
      <c r="Y997">
        <v>14</v>
      </c>
      <c r="Z997">
        <v>3</v>
      </c>
      <c r="AA997">
        <v>1</v>
      </c>
      <c r="AB997">
        <v>80</v>
      </c>
      <c r="AC997">
        <v>0</v>
      </c>
      <c r="AD997">
        <v>20</v>
      </c>
      <c r="AE997">
        <v>3</v>
      </c>
      <c r="AF997">
        <v>1</v>
      </c>
      <c r="AG997">
        <v>20</v>
      </c>
      <c r="AH997">
        <v>7</v>
      </c>
      <c r="AI997">
        <v>1</v>
      </c>
      <c r="AJ997">
        <v>8</v>
      </c>
    </row>
    <row r="998" spans="1:36" x14ac:dyDescent="0.3">
      <c r="A998">
        <v>27</v>
      </c>
      <c r="B998" t="s">
        <v>43</v>
      </c>
      <c r="C998" s="6">
        <f t="shared" si="15"/>
        <v>0</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t="s">
        <v>35</v>
      </c>
      <c r="Y998">
        <v>11</v>
      </c>
      <c r="Z998">
        <v>3</v>
      </c>
      <c r="AA998">
        <v>4</v>
      </c>
      <c r="AB998">
        <v>80</v>
      </c>
      <c r="AC998">
        <v>0</v>
      </c>
      <c r="AD998">
        <v>6</v>
      </c>
      <c r="AE998">
        <v>3</v>
      </c>
      <c r="AF998">
        <v>3</v>
      </c>
      <c r="AG998">
        <v>6</v>
      </c>
      <c r="AH998">
        <v>2</v>
      </c>
      <c r="AI998">
        <v>4</v>
      </c>
      <c r="AJ998">
        <v>4</v>
      </c>
    </row>
    <row r="999" spans="1:36" x14ac:dyDescent="0.3">
      <c r="A999">
        <v>27</v>
      </c>
      <c r="B999" t="s">
        <v>35</v>
      </c>
      <c r="C999" s="6">
        <f t="shared" si="15"/>
        <v>1</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t="s">
        <v>35</v>
      </c>
      <c r="Y999">
        <v>13</v>
      </c>
      <c r="Z999">
        <v>3</v>
      </c>
      <c r="AA999">
        <v>4</v>
      </c>
      <c r="AB999">
        <v>80</v>
      </c>
      <c r="AC999">
        <v>0</v>
      </c>
      <c r="AD999">
        <v>8</v>
      </c>
      <c r="AE999">
        <v>2</v>
      </c>
      <c r="AF999">
        <v>3</v>
      </c>
      <c r="AG999">
        <v>8</v>
      </c>
      <c r="AH999">
        <v>2</v>
      </c>
      <c r="AI999">
        <v>7</v>
      </c>
      <c r="AJ999">
        <v>7</v>
      </c>
    </row>
    <row r="1000" spans="1:36" x14ac:dyDescent="0.3">
      <c r="A1000">
        <v>26</v>
      </c>
      <c r="B1000" t="s">
        <v>43</v>
      </c>
      <c r="C1000" s="6">
        <f t="shared" si="15"/>
        <v>0</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t="s">
        <v>43</v>
      </c>
      <c r="Y1000">
        <v>12</v>
      </c>
      <c r="Z1000">
        <v>3</v>
      </c>
      <c r="AA1000">
        <v>4</v>
      </c>
      <c r="AB1000">
        <v>80</v>
      </c>
      <c r="AC1000">
        <v>0</v>
      </c>
      <c r="AD1000">
        <v>5</v>
      </c>
      <c r="AE1000">
        <v>2</v>
      </c>
      <c r="AF1000">
        <v>3</v>
      </c>
      <c r="AG1000">
        <v>4</v>
      </c>
      <c r="AH1000">
        <v>3</v>
      </c>
      <c r="AI1000">
        <v>1</v>
      </c>
      <c r="AJ1000">
        <v>1</v>
      </c>
    </row>
    <row r="1001" spans="1:36" x14ac:dyDescent="0.3">
      <c r="A1001">
        <v>42</v>
      </c>
      <c r="B1001" t="s">
        <v>43</v>
      </c>
      <c r="C1001" s="6">
        <f t="shared" si="15"/>
        <v>0</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t="s">
        <v>43</v>
      </c>
      <c r="Y1001">
        <v>14</v>
      </c>
      <c r="Z1001">
        <v>3</v>
      </c>
      <c r="AA1001">
        <v>3</v>
      </c>
      <c r="AB1001">
        <v>80</v>
      </c>
      <c r="AC1001">
        <v>1</v>
      </c>
      <c r="AD1001">
        <v>21</v>
      </c>
      <c r="AE1001">
        <v>5</v>
      </c>
      <c r="AF1001">
        <v>3</v>
      </c>
      <c r="AG1001">
        <v>20</v>
      </c>
      <c r="AH1001">
        <v>7</v>
      </c>
      <c r="AI1001">
        <v>0</v>
      </c>
      <c r="AJ1001">
        <v>9</v>
      </c>
    </row>
    <row r="1002" spans="1:36" x14ac:dyDescent="0.3">
      <c r="A1002">
        <v>52</v>
      </c>
      <c r="B1002" t="s">
        <v>43</v>
      </c>
      <c r="C1002" s="6">
        <f t="shared" si="15"/>
        <v>0</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t="s">
        <v>43</v>
      </c>
      <c r="Y1002">
        <v>13</v>
      </c>
      <c r="Z1002">
        <v>3</v>
      </c>
      <c r="AA1002">
        <v>3</v>
      </c>
      <c r="AB1002">
        <v>80</v>
      </c>
      <c r="AC1002">
        <v>0</v>
      </c>
      <c r="AD1002">
        <v>12</v>
      </c>
      <c r="AE1002">
        <v>2</v>
      </c>
      <c r="AF1002">
        <v>1</v>
      </c>
      <c r="AG1002">
        <v>5</v>
      </c>
      <c r="AH1002">
        <v>4</v>
      </c>
      <c r="AI1002">
        <v>0</v>
      </c>
      <c r="AJ1002">
        <v>4</v>
      </c>
    </row>
    <row r="1003" spans="1:36" x14ac:dyDescent="0.3">
      <c r="A1003">
        <v>37</v>
      </c>
      <c r="B1003" t="s">
        <v>43</v>
      </c>
      <c r="C1003" s="6">
        <f t="shared" si="15"/>
        <v>0</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t="s">
        <v>43</v>
      </c>
      <c r="Y1003">
        <v>18</v>
      </c>
      <c r="Z1003">
        <v>3</v>
      </c>
      <c r="AA1003">
        <v>1</v>
      </c>
      <c r="AB1003">
        <v>80</v>
      </c>
      <c r="AC1003">
        <v>0</v>
      </c>
      <c r="AD1003">
        <v>8</v>
      </c>
      <c r="AE1003">
        <v>6</v>
      </c>
      <c r="AF1003">
        <v>3</v>
      </c>
      <c r="AG1003">
        <v>3</v>
      </c>
      <c r="AH1003">
        <v>2</v>
      </c>
      <c r="AI1003">
        <v>0</v>
      </c>
      <c r="AJ1003">
        <v>2</v>
      </c>
    </row>
    <row r="1004" spans="1:36" x14ac:dyDescent="0.3">
      <c r="A1004">
        <v>35</v>
      </c>
      <c r="B1004" t="s">
        <v>43</v>
      </c>
      <c r="C1004" s="6">
        <f t="shared" si="15"/>
        <v>0</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t="s">
        <v>43</v>
      </c>
      <c r="Y1004">
        <v>11</v>
      </c>
      <c r="Z1004">
        <v>3</v>
      </c>
      <c r="AA1004">
        <v>3</v>
      </c>
      <c r="AB1004">
        <v>80</v>
      </c>
      <c r="AC1004">
        <v>0</v>
      </c>
      <c r="AD1004">
        <v>10</v>
      </c>
      <c r="AE1004">
        <v>2</v>
      </c>
      <c r="AF1004">
        <v>3</v>
      </c>
      <c r="AG1004">
        <v>2</v>
      </c>
      <c r="AH1004">
        <v>2</v>
      </c>
      <c r="AI1004">
        <v>2</v>
      </c>
      <c r="AJ1004">
        <v>2</v>
      </c>
    </row>
    <row r="1005" spans="1:36" x14ac:dyDescent="0.3">
      <c r="A1005">
        <v>25</v>
      </c>
      <c r="B1005" t="s">
        <v>43</v>
      </c>
      <c r="C1005" s="6">
        <f t="shared" si="15"/>
        <v>0</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t="s">
        <v>43</v>
      </c>
      <c r="Y1005">
        <v>11</v>
      </c>
      <c r="Z1005">
        <v>3</v>
      </c>
      <c r="AA1005">
        <v>2</v>
      </c>
      <c r="AB1005">
        <v>80</v>
      </c>
      <c r="AC1005">
        <v>1</v>
      </c>
      <c r="AD1005">
        <v>7</v>
      </c>
      <c r="AE1005">
        <v>2</v>
      </c>
      <c r="AF1005">
        <v>2</v>
      </c>
      <c r="AG1005">
        <v>3</v>
      </c>
      <c r="AH1005">
        <v>2</v>
      </c>
      <c r="AI1005">
        <v>0</v>
      </c>
      <c r="AJ1005">
        <v>2</v>
      </c>
    </row>
    <row r="1006" spans="1:36" x14ac:dyDescent="0.3">
      <c r="A1006">
        <v>26</v>
      </c>
      <c r="B1006" t="s">
        <v>43</v>
      </c>
      <c r="C1006" s="6">
        <f t="shared" si="15"/>
        <v>0</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t="s">
        <v>43</v>
      </c>
      <c r="Y1006">
        <v>12</v>
      </c>
      <c r="Z1006">
        <v>3</v>
      </c>
      <c r="AA1006">
        <v>4</v>
      </c>
      <c r="AB1006">
        <v>80</v>
      </c>
      <c r="AC1006">
        <v>0</v>
      </c>
      <c r="AD1006">
        <v>8</v>
      </c>
      <c r="AE1006">
        <v>2</v>
      </c>
      <c r="AF1006">
        <v>3</v>
      </c>
      <c r="AG1006">
        <v>7</v>
      </c>
      <c r="AH1006">
        <v>7</v>
      </c>
      <c r="AI1006">
        <v>0</v>
      </c>
      <c r="AJ1006">
        <v>7</v>
      </c>
    </row>
    <row r="1007" spans="1:36" x14ac:dyDescent="0.3">
      <c r="A1007">
        <v>29</v>
      </c>
      <c r="B1007" t="s">
        <v>43</v>
      </c>
      <c r="C1007" s="6">
        <f t="shared" si="15"/>
        <v>0</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t="s">
        <v>43</v>
      </c>
      <c r="Y1007">
        <v>13</v>
      </c>
      <c r="Z1007">
        <v>3</v>
      </c>
      <c r="AA1007">
        <v>1</v>
      </c>
      <c r="AB1007">
        <v>80</v>
      </c>
      <c r="AC1007">
        <v>0</v>
      </c>
      <c r="AD1007">
        <v>10</v>
      </c>
      <c r="AE1007">
        <v>3</v>
      </c>
      <c r="AF1007">
        <v>2</v>
      </c>
      <c r="AG1007">
        <v>10</v>
      </c>
      <c r="AH1007">
        <v>9</v>
      </c>
      <c r="AI1007">
        <v>0</v>
      </c>
      <c r="AJ1007">
        <v>9</v>
      </c>
    </row>
    <row r="1008" spans="1:36" x14ac:dyDescent="0.3">
      <c r="A1008">
        <v>49</v>
      </c>
      <c r="B1008" t="s">
        <v>35</v>
      </c>
      <c r="C1008" s="6">
        <f t="shared" si="15"/>
        <v>1</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t="s">
        <v>43</v>
      </c>
      <c r="Y1008">
        <v>20</v>
      </c>
      <c r="Z1008">
        <v>4</v>
      </c>
      <c r="AA1008">
        <v>1</v>
      </c>
      <c r="AB1008">
        <v>80</v>
      </c>
      <c r="AC1008">
        <v>0</v>
      </c>
      <c r="AD1008">
        <v>20</v>
      </c>
      <c r="AE1008">
        <v>2</v>
      </c>
      <c r="AF1008">
        <v>3</v>
      </c>
      <c r="AG1008">
        <v>4</v>
      </c>
      <c r="AH1008">
        <v>3</v>
      </c>
      <c r="AI1008">
        <v>1</v>
      </c>
      <c r="AJ1008">
        <v>3</v>
      </c>
    </row>
    <row r="1009" spans="1:36" x14ac:dyDescent="0.3">
      <c r="A1009">
        <v>29</v>
      </c>
      <c r="B1009" t="s">
        <v>35</v>
      </c>
      <c r="C1009" s="6">
        <f t="shared" si="15"/>
        <v>1</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t="s">
        <v>35</v>
      </c>
      <c r="Y1009">
        <v>12</v>
      </c>
      <c r="Z1009">
        <v>3</v>
      </c>
      <c r="AA1009">
        <v>1</v>
      </c>
      <c r="AB1009">
        <v>80</v>
      </c>
      <c r="AC1009">
        <v>0</v>
      </c>
      <c r="AD1009">
        <v>9</v>
      </c>
      <c r="AE1009">
        <v>1</v>
      </c>
      <c r="AF1009">
        <v>3</v>
      </c>
      <c r="AG1009">
        <v>8</v>
      </c>
      <c r="AH1009">
        <v>7</v>
      </c>
      <c r="AI1009">
        <v>7</v>
      </c>
      <c r="AJ1009">
        <v>7</v>
      </c>
    </row>
    <row r="1010" spans="1:36" x14ac:dyDescent="0.3">
      <c r="A1010">
        <v>54</v>
      </c>
      <c r="B1010" t="s">
        <v>43</v>
      </c>
      <c r="C1010" s="6">
        <f t="shared" si="15"/>
        <v>0</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t="s">
        <v>43</v>
      </c>
      <c r="Y1010">
        <v>19</v>
      </c>
      <c r="Z1010">
        <v>3</v>
      </c>
      <c r="AA1010">
        <v>4</v>
      </c>
      <c r="AB1010">
        <v>80</v>
      </c>
      <c r="AC1010">
        <v>0</v>
      </c>
      <c r="AD1010">
        <v>29</v>
      </c>
      <c r="AE1010">
        <v>3</v>
      </c>
      <c r="AF1010">
        <v>2</v>
      </c>
      <c r="AG1010">
        <v>20</v>
      </c>
      <c r="AH1010">
        <v>7</v>
      </c>
      <c r="AI1010">
        <v>12</v>
      </c>
      <c r="AJ1010">
        <v>7</v>
      </c>
    </row>
    <row r="1011" spans="1:36" x14ac:dyDescent="0.3">
      <c r="A1011">
        <v>58</v>
      </c>
      <c r="B1011" t="s">
        <v>43</v>
      </c>
      <c r="C1011" s="6">
        <f t="shared" si="15"/>
        <v>0</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t="s">
        <v>35</v>
      </c>
      <c r="Y1011">
        <v>21</v>
      </c>
      <c r="Z1011">
        <v>4</v>
      </c>
      <c r="AA1011">
        <v>3</v>
      </c>
      <c r="AB1011">
        <v>80</v>
      </c>
      <c r="AC1011">
        <v>1</v>
      </c>
      <c r="AD1011">
        <v>32</v>
      </c>
      <c r="AE1011">
        <v>3</v>
      </c>
      <c r="AF1011">
        <v>3</v>
      </c>
      <c r="AG1011">
        <v>9</v>
      </c>
      <c r="AH1011">
        <v>8</v>
      </c>
      <c r="AI1011">
        <v>1</v>
      </c>
      <c r="AJ1011">
        <v>5</v>
      </c>
    </row>
    <row r="1012" spans="1:36" x14ac:dyDescent="0.3">
      <c r="A1012">
        <v>55</v>
      </c>
      <c r="B1012" t="s">
        <v>43</v>
      </c>
      <c r="C1012" s="6">
        <f t="shared" si="15"/>
        <v>0</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t="s">
        <v>43</v>
      </c>
      <c r="Y1012">
        <v>13</v>
      </c>
      <c r="Z1012">
        <v>3</v>
      </c>
      <c r="AA1012">
        <v>4</v>
      </c>
      <c r="AB1012">
        <v>80</v>
      </c>
      <c r="AC1012">
        <v>2</v>
      </c>
      <c r="AD1012">
        <v>31</v>
      </c>
      <c r="AE1012">
        <v>4</v>
      </c>
      <c r="AF1012">
        <v>4</v>
      </c>
      <c r="AG1012">
        <v>7</v>
      </c>
      <c r="AH1012">
        <v>7</v>
      </c>
      <c r="AI1012">
        <v>0</v>
      </c>
      <c r="AJ1012">
        <v>0</v>
      </c>
    </row>
    <row r="1013" spans="1:36" x14ac:dyDescent="0.3">
      <c r="A1013">
        <v>36</v>
      </c>
      <c r="B1013" t="s">
        <v>43</v>
      </c>
      <c r="C1013" s="6">
        <f t="shared" si="15"/>
        <v>0</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t="s">
        <v>35</v>
      </c>
      <c r="Y1013">
        <v>16</v>
      </c>
      <c r="Z1013">
        <v>3</v>
      </c>
      <c r="AA1013">
        <v>4</v>
      </c>
      <c r="AB1013">
        <v>80</v>
      </c>
      <c r="AC1013">
        <v>0</v>
      </c>
      <c r="AD1013">
        <v>15</v>
      </c>
      <c r="AE1013">
        <v>3</v>
      </c>
      <c r="AF1013">
        <v>3</v>
      </c>
      <c r="AG1013">
        <v>5</v>
      </c>
      <c r="AH1013">
        <v>4</v>
      </c>
      <c r="AI1013">
        <v>0</v>
      </c>
      <c r="AJ1013">
        <v>1</v>
      </c>
    </row>
    <row r="1014" spans="1:36" x14ac:dyDescent="0.3">
      <c r="A1014">
        <v>31</v>
      </c>
      <c r="B1014" t="s">
        <v>35</v>
      </c>
      <c r="C1014" s="6">
        <f t="shared" si="15"/>
        <v>1</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t="s">
        <v>43</v>
      </c>
      <c r="Y1014">
        <v>12</v>
      </c>
      <c r="Z1014">
        <v>3</v>
      </c>
      <c r="AA1014">
        <v>2</v>
      </c>
      <c r="AB1014">
        <v>80</v>
      </c>
      <c r="AC1014">
        <v>0</v>
      </c>
      <c r="AD1014">
        <v>1</v>
      </c>
      <c r="AE1014">
        <v>3</v>
      </c>
      <c r="AF1014">
        <v>3</v>
      </c>
      <c r="AG1014">
        <v>1</v>
      </c>
      <c r="AH1014">
        <v>0</v>
      </c>
      <c r="AI1014">
        <v>0</v>
      </c>
      <c r="AJ1014">
        <v>0</v>
      </c>
    </row>
    <row r="1015" spans="1:36" x14ac:dyDescent="0.3">
      <c r="A1015">
        <v>30</v>
      </c>
      <c r="B1015" t="s">
        <v>43</v>
      </c>
      <c r="C1015" s="6">
        <f t="shared" si="15"/>
        <v>0</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t="s">
        <v>43</v>
      </c>
      <c r="Y1015">
        <v>14</v>
      </c>
      <c r="Z1015">
        <v>3</v>
      </c>
      <c r="AA1015">
        <v>2</v>
      </c>
      <c r="AB1015">
        <v>80</v>
      </c>
      <c r="AC1015">
        <v>2</v>
      </c>
      <c r="AD1015">
        <v>8</v>
      </c>
      <c r="AE1015">
        <v>3</v>
      </c>
      <c r="AF1015">
        <v>3</v>
      </c>
      <c r="AG1015">
        <v>3</v>
      </c>
      <c r="AH1015">
        <v>2</v>
      </c>
      <c r="AI1015">
        <v>0</v>
      </c>
      <c r="AJ1015">
        <v>2</v>
      </c>
    </row>
    <row r="1016" spans="1:36" x14ac:dyDescent="0.3">
      <c r="A1016">
        <v>31</v>
      </c>
      <c r="B1016" t="s">
        <v>43</v>
      </c>
      <c r="C1016" s="6">
        <f t="shared" si="15"/>
        <v>0</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t="s">
        <v>43</v>
      </c>
      <c r="Y1016">
        <v>11</v>
      </c>
      <c r="Z1016">
        <v>3</v>
      </c>
      <c r="AA1016">
        <v>3</v>
      </c>
      <c r="AB1016">
        <v>80</v>
      </c>
      <c r="AC1016">
        <v>0</v>
      </c>
      <c r="AD1016">
        <v>9</v>
      </c>
      <c r="AE1016">
        <v>3</v>
      </c>
      <c r="AF1016">
        <v>4</v>
      </c>
      <c r="AG1016">
        <v>3</v>
      </c>
      <c r="AH1016">
        <v>2</v>
      </c>
      <c r="AI1016">
        <v>1</v>
      </c>
      <c r="AJ1016">
        <v>0</v>
      </c>
    </row>
    <row r="1017" spans="1:36" x14ac:dyDescent="0.3">
      <c r="A1017">
        <v>34</v>
      </c>
      <c r="B1017" t="s">
        <v>43</v>
      </c>
      <c r="C1017" s="6">
        <f t="shared" si="15"/>
        <v>0</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t="s">
        <v>43</v>
      </c>
      <c r="Y1017">
        <v>14</v>
      </c>
      <c r="Z1017">
        <v>3</v>
      </c>
      <c r="AA1017">
        <v>3</v>
      </c>
      <c r="AB1017">
        <v>80</v>
      </c>
      <c r="AC1017">
        <v>2</v>
      </c>
      <c r="AD1017">
        <v>10</v>
      </c>
      <c r="AE1017">
        <v>2</v>
      </c>
      <c r="AF1017">
        <v>3</v>
      </c>
      <c r="AG1017">
        <v>4</v>
      </c>
      <c r="AH1017">
        <v>3</v>
      </c>
      <c r="AI1017">
        <v>1</v>
      </c>
      <c r="AJ1017">
        <v>3</v>
      </c>
    </row>
    <row r="1018" spans="1:36" x14ac:dyDescent="0.3">
      <c r="A1018">
        <v>31</v>
      </c>
      <c r="B1018" t="s">
        <v>35</v>
      </c>
      <c r="C1018" s="6">
        <f t="shared" si="15"/>
        <v>1</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t="s">
        <v>43</v>
      </c>
      <c r="Y1018">
        <v>12</v>
      </c>
      <c r="Z1018">
        <v>3</v>
      </c>
      <c r="AA1018">
        <v>3</v>
      </c>
      <c r="AB1018">
        <v>80</v>
      </c>
      <c r="AC1018">
        <v>0</v>
      </c>
      <c r="AD1018">
        <v>1</v>
      </c>
      <c r="AE1018">
        <v>3</v>
      </c>
      <c r="AF1018">
        <v>4</v>
      </c>
      <c r="AG1018">
        <v>1</v>
      </c>
      <c r="AH1018">
        <v>0</v>
      </c>
      <c r="AI1018">
        <v>0</v>
      </c>
      <c r="AJ1018">
        <v>0</v>
      </c>
    </row>
    <row r="1019" spans="1:36" x14ac:dyDescent="0.3">
      <c r="A1019">
        <v>27</v>
      </c>
      <c r="B1019" t="s">
        <v>43</v>
      </c>
      <c r="C1019" s="6">
        <f t="shared" si="15"/>
        <v>0</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t="s">
        <v>43</v>
      </c>
      <c r="Y1019">
        <v>14</v>
      </c>
      <c r="Z1019">
        <v>3</v>
      </c>
      <c r="AA1019">
        <v>2</v>
      </c>
      <c r="AB1019">
        <v>80</v>
      </c>
      <c r="AC1019">
        <v>0</v>
      </c>
      <c r="AD1019">
        <v>6</v>
      </c>
      <c r="AE1019">
        <v>3</v>
      </c>
      <c r="AF1019">
        <v>4</v>
      </c>
      <c r="AG1019">
        <v>5</v>
      </c>
      <c r="AH1019">
        <v>0</v>
      </c>
      <c r="AI1019">
        <v>1</v>
      </c>
      <c r="AJ1019">
        <v>4</v>
      </c>
    </row>
    <row r="1020" spans="1:36" x14ac:dyDescent="0.3">
      <c r="A1020">
        <v>36</v>
      </c>
      <c r="B1020" t="s">
        <v>43</v>
      </c>
      <c r="C1020" s="6">
        <f t="shared" si="15"/>
        <v>0</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t="s">
        <v>43</v>
      </c>
      <c r="Y1020">
        <v>16</v>
      </c>
      <c r="Z1020">
        <v>3</v>
      </c>
      <c r="AA1020">
        <v>3</v>
      </c>
      <c r="AB1020">
        <v>80</v>
      </c>
      <c r="AC1020">
        <v>0</v>
      </c>
      <c r="AD1020">
        <v>10</v>
      </c>
      <c r="AE1020">
        <v>2</v>
      </c>
      <c r="AF1020">
        <v>2</v>
      </c>
      <c r="AG1020">
        <v>10</v>
      </c>
      <c r="AH1020">
        <v>4</v>
      </c>
      <c r="AI1020">
        <v>1</v>
      </c>
      <c r="AJ1020">
        <v>8</v>
      </c>
    </row>
    <row r="1021" spans="1:36" x14ac:dyDescent="0.3">
      <c r="A1021">
        <v>36</v>
      </c>
      <c r="B1021" t="s">
        <v>43</v>
      </c>
      <c r="C1021" s="6">
        <f t="shared" si="15"/>
        <v>0</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t="s">
        <v>43</v>
      </c>
      <c r="Y1021">
        <v>13</v>
      </c>
      <c r="Z1021">
        <v>3</v>
      </c>
      <c r="AA1021">
        <v>1</v>
      </c>
      <c r="AB1021">
        <v>80</v>
      </c>
      <c r="AC1021">
        <v>2</v>
      </c>
      <c r="AD1021">
        <v>11</v>
      </c>
      <c r="AE1021">
        <v>3</v>
      </c>
      <c r="AF1021">
        <v>2</v>
      </c>
      <c r="AG1021">
        <v>3</v>
      </c>
      <c r="AH1021">
        <v>2</v>
      </c>
      <c r="AI1021">
        <v>0</v>
      </c>
      <c r="AJ1021">
        <v>2</v>
      </c>
    </row>
    <row r="1022" spans="1:36" x14ac:dyDescent="0.3">
      <c r="A1022">
        <v>47</v>
      </c>
      <c r="B1022" t="s">
        <v>43</v>
      </c>
      <c r="C1022" s="6">
        <f t="shared" si="15"/>
        <v>0</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t="s">
        <v>43</v>
      </c>
      <c r="Y1022">
        <v>12</v>
      </c>
      <c r="Z1022">
        <v>3</v>
      </c>
      <c r="AA1022">
        <v>3</v>
      </c>
      <c r="AB1022">
        <v>80</v>
      </c>
      <c r="AC1022">
        <v>1</v>
      </c>
      <c r="AD1022">
        <v>17</v>
      </c>
      <c r="AE1022">
        <v>2</v>
      </c>
      <c r="AF1022">
        <v>2</v>
      </c>
      <c r="AG1022">
        <v>6</v>
      </c>
      <c r="AH1022">
        <v>5</v>
      </c>
      <c r="AI1022">
        <v>1</v>
      </c>
      <c r="AJ1022">
        <v>2</v>
      </c>
    </row>
    <row r="1023" spans="1:36" x14ac:dyDescent="0.3">
      <c r="A1023">
        <v>25</v>
      </c>
      <c r="B1023" t="s">
        <v>35</v>
      </c>
      <c r="C1023" s="6">
        <f t="shared" si="15"/>
        <v>1</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t="s">
        <v>43</v>
      </c>
      <c r="Y1023">
        <v>12</v>
      </c>
      <c r="Z1023">
        <v>3</v>
      </c>
      <c r="AA1023">
        <v>1</v>
      </c>
      <c r="AB1023">
        <v>80</v>
      </c>
      <c r="AC1023">
        <v>0</v>
      </c>
      <c r="AD1023">
        <v>6</v>
      </c>
      <c r="AE1023">
        <v>2</v>
      </c>
      <c r="AF1023">
        <v>3</v>
      </c>
      <c r="AG1023">
        <v>3</v>
      </c>
      <c r="AH1023">
        <v>2</v>
      </c>
      <c r="AI1023">
        <v>2</v>
      </c>
      <c r="AJ1023">
        <v>2</v>
      </c>
    </row>
    <row r="1024" spans="1:36" x14ac:dyDescent="0.3">
      <c r="A1024">
        <v>37</v>
      </c>
      <c r="B1024" t="s">
        <v>43</v>
      </c>
      <c r="C1024" s="6">
        <f t="shared" si="15"/>
        <v>0</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t="s">
        <v>43</v>
      </c>
      <c r="Y1024">
        <v>14</v>
      </c>
      <c r="Z1024">
        <v>3</v>
      </c>
      <c r="AA1024">
        <v>1</v>
      </c>
      <c r="AB1024">
        <v>80</v>
      </c>
      <c r="AC1024">
        <v>0</v>
      </c>
      <c r="AD1024">
        <v>7</v>
      </c>
      <c r="AE1024">
        <v>2</v>
      </c>
      <c r="AF1024">
        <v>1</v>
      </c>
      <c r="AG1024">
        <v>6</v>
      </c>
      <c r="AH1024">
        <v>5</v>
      </c>
      <c r="AI1024">
        <v>1</v>
      </c>
      <c r="AJ1024">
        <v>3</v>
      </c>
    </row>
    <row r="1025" spans="1:36" x14ac:dyDescent="0.3">
      <c r="A1025">
        <v>56</v>
      </c>
      <c r="B1025" t="s">
        <v>43</v>
      </c>
      <c r="C1025" s="6">
        <f t="shared" si="15"/>
        <v>0</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t="s">
        <v>43</v>
      </c>
      <c r="Y1025">
        <v>22</v>
      </c>
      <c r="Z1025">
        <v>4</v>
      </c>
      <c r="AA1025">
        <v>4</v>
      </c>
      <c r="AB1025">
        <v>80</v>
      </c>
      <c r="AC1025">
        <v>1</v>
      </c>
      <c r="AD1025">
        <v>5</v>
      </c>
      <c r="AE1025">
        <v>3</v>
      </c>
      <c r="AF1025">
        <v>4</v>
      </c>
      <c r="AG1025">
        <v>3</v>
      </c>
      <c r="AH1025">
        <v>2</v>
      </c>
      <c r="AI1025">
        <v>1</v>
      </c>
      <c r="AJ1025">
        <v>0</v>
      </c>
    </row>
    <row r="1026" spans="1:36" x14ac:dyDescent="0.3">
      <c r="A1026">
        <v>47</v>
      </c>
      <c r="B1026" t="s">
        <v>43</v>
      </c>
      <c r="C1026" s="6">
        <f t="shared" si="15"/>
        <v>0</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t="s">
        <v>43</v>
      </c>
      <c r="Y1026">
        <v>19</v>
      </c>
      <c r="Z1026">
        <v>3</v>
      </c>
      <c r="AA1026">
        <v>2</v>
      </c>
      <c r="AB1026">
        <v>80</v>
      </c>
      <c r="AC1026">
        <v>2</v>
      </c>
      <c r="AD1026">
        <v>26</v>
      </c>
      <c r="AE1026">
        <v>2</v>
      </c>
      <c r="AF1026">
        <v>4</v>
      </c>
      <c r="AG1026">
        <v>20</v>
      </c>
      <c r="AH1026">
        <v>17</v>
      </c>
      <c r="AI1026">
        <v>5</v>
      </c>
      <c r="AJ1026">
        <v>6</v>
      </c>
    </row>
    <row r="1027" spans="1:36" x14ac:dyDescent="0.3">
      <c r="A1027">
        <v>24</v>
      </c>
      <c r="B1027" t="s">
        <v>43</v>
      </c>
      <c r="C1027" s="6">
        <f t="shared" ref="C1027:C1090" si="16">IF(B1027="Yes",1,0)</f>
        <v>0</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t="s">
        <v>35</v>
      </c>
      <c r="Y1027">
        <v>12</v>
      </c>
      <c r="Z1027">
        <v>3</v>
      </c>
      <c r="AA1027">
        <v>3</v>
      </c>
      <c r="AB1027">
        <v>80</v>
      </c>
      <c r="AC1027">
        <v>2</v>
      </c>
      <c r="AD1027">
        <v>5</v>
      </c>
      <c r="AE1027">
        <v>3</v>
      </c>
      <c r="AF1027">
        <v>3</v>
      </c>
      <c r="AG1027">
        <v>5</v>
      </c>
      <c r="AH1027">
        <v>4</v>
      </c>
      <c r="AI1027">
        <v>0</v>
      </c>
      <c r="AJ1027">
        <v>3</v>
      </c>
    </row>
    <row r="1028" spans="1:36" x14ac:dyDescent="0.3">
      <c r="A1028">
        <v>32</v>
      </c>
      <c r="B1028" t="s">
        <v>43</v>
      </c>
      <c r="C1028" s="6">
        <f t="shared" si="16"/>
        <v>0</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t="s">
        <v>43</v>
      </c>
      <c r="Y1028">
        <v>12</v>
      </c>
      <c r="Z1028">
        <v>3</v>
      </c>
      <c r="AA1028">
        <v>3</v>
      </c>
      <c r="AB1028">
        <v>80</v>
      </c>
      <c r="AC1028">
        <v>1</v>
      </c>
      <c r="AD1028">
        <v>7</v>
      </c>
      <c r="AE1028">
        <v>3</v>
      </c>
      <c r="AF1028">
        <v>2</v>
      </c>
      <c r="AG1028">
        <v>4</v>
      </c>
      <c r="AH1028">
        <v>3</v>
      </c>
      <c r="AI1028">
        <v>0</v>
      </c>
      <c r="AJ1028">
        <v>3</v>
      </c>
    </row>
    <row r="1029" spans="1:36" x14ac:dyDescent="0.3">
      <c r="A1029">
        <v>34</v>
      </c>
      <c r="B1029" t="s">
        <v>43</v>
      </c>
      <c r="C1029" s="6">
        <f t="shared" si="16"/>
        <v>0</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t="s">
        <v>43</v>
      </c>
      <c r="Y1029">
        <v>17</v>
      </c>
      <c r="Z1029">
        <v>3</v>
      </c>
      <c r="AA1029">
        <v>1</v>
      </c>
      <c r="AB1029">
        <v>80</v>
      </c>
      <c r="AC1029">
        <v>1</v>
      </c>
      <c r="AD1029">
        <v>7</v>
      </c>
      <c r="AE1029">
        <v>2</v>
      </c>
      <c r="AF1029">
        <v>2</v>
      </c>
      <c r="AG1029">
        <v>5</v>
      </c>
      <c r="AH1029">
        <v>4</v>
      </c>
      <c r="AI1029">
        <v>0</v>
      </c>
      <c r="AJ1029">
        <v>2</v>
      </c>
    </row>
    <row r="1030" spans="1:36" x14ac:dyDescent="0.3">
      <c r="A1030">
        <v>41</v>
      </c>
      <c r="B1030" t="s">
        <v>43</v>
      </c>
      <c r="C1030" s="6">
        <f t="shared" si="16"/>
        <v>0</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t="s">
        <v>35</v>
      </c>
      <c r="Y1030">
        <v>12</v>
      </c>
      <c r="Z1030">
        <v>3</v>
      </c>
      <c r="AA1030">
        <v>1</v>
      </c>
      <c r="AB1030">
        <v>80</v>
      </c>
      <c r="AC1030">
        <v>0</v>
      </c>
      <c r="AD1030">
        <v>7</v>
      </c>
      <c r="AE1030">
        <v>5</v>
      </c>
      <c r="AF1030">
        <v>2</v>
      </c>
      <c r="AG1030">
        <v>4</v>
      </c>
      <c r="AH1030">
        <v>2</v>
      </c>
      <c r="AI1030">
        <v>0</v>
      </c>
      <c r="AJ1030">
        <v>3</v>
      </c>
    </row>
    <row r="1031" spans="1:36" x14ac:dyDescent="0.3">
      <c r="A1031">
        <v>40</v>
      </c>
      <c r="B1031" t="s">
        <v>43</v>
      </c>
      <c r="C1031" s="6">
        <f t="shared" si="16"/>
        <v>0</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t="s">
        <v>43</v>
      </c>
      <c r="Y1031">
        <v>11</v>
      </c>
      <c r="Z1031">
        <v>3</v>
      </c>
      <c r="AA1031">
        <v>3</v>
      </c>
      <c r="AB1031">
        <v>80</v>
      </c>
      <c r="AC1031">
        <v>2</v>
      </c>
      <c r="AD1031">
        <v>11</v>
      </c>
      <c r="AE1031">
        <v>2</v>
      </c>
      <c r="AF1031">
        <v>4</v>
      </c>
      <c r="AG1031">
        <v>8</v>
      </c>
      <c r="AH1031">
        <v>7</v>
      </c>
      <c r="AI1031">
        <v>0</v>
      </c>
      <c r="AJ1031">
        <v>7</v>
      </c>
    </row>
    <row r="1032" spans="1:36" x14ac:dyDescent="0.3">
      <c r="A1032">
        <v>31</v>
      </c>
      <c r="B1032" t="s">
        <v>43</v>
      </c>
      <c r="C1032" s="6">
        <f t="shared" si="16"/>
        <v>0</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t="s">
        <v>43</v>
      </c>
      <c r="Y1032">
        <v>18</v>
      </c>
      <c r="Z1032">
        <v>3</v>
      </c>
      <c r="AA1032">
        <v>1</v>
      </c>
      <c r="AB1032">
        <v>80</v>
      </c>
      <c r="AC1032">
        <v>1</v>
      </c>
      <c r="AD1032">
        <v>13</v>
      </c>
      <c r="AE1032">
        <v>5</v>
      </c>
      <c r="AF1032">
        <v>3</v>
      </c>
      <c r="AG1032">
        <v>13</v>
      </c>
      <c r="AH1032">
        <v>7</v>
      </c>
      <c r="AI1032">
        <v>9</v>
      </c>
      <c r="AJ1032">
        <v>9</v>
      </c>
    </row>
    <row r="1033" spans="1:36" x14ac:dyDescent="0.3">
      <c r="A1033">
        <v>46</v>
      </c>
      <c r="B1033" t="s">
        <v>35</v>
      </c>
      <c r="C1033" s="6">
        <f t="shared" si="16"/>
        <v>1</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t="s">
        <v>43</v>
      </c>
      <c r="Y1033">
        <v>11</v>
      </c>
      <c r="Z1033">
        <v>3</v>
      </c>
      <c r="AA1033">
        <v>1</v>
      </c>
      <c r="AB1033">
        <v>80</v>
      </c>
      <c r="AC1033">
        <v>1</v>
      </c>
      <c r="AD1033">
        <v>28</v>
      </c>
      <c r="AE1033">
        <v>1</v>
      </c>
      <c r="AF1033">
        <v>4</v>
      </c>
      <c r="AG1033">
        <v>7</v>
      </c>
      <c r="AH1033">
        <v>7</v>
      </c>
      <c r="AI1033">
        <v>4</v>
      </c>
      <c r="AJ1033">
        <v>3</v>
      </c>
    </row>
    <row r="1034" spans="1:36" x14ac:dyDescent="0.3">
      <c r="A1034">
        <v>39</v>
      </c>
      <c r="B1034" t="s">
        <v>35</v>
      </c>
      <c r="C1034" s="6">
        <f t="shared" si="16"/>
        <v>1</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t="s">
        <v>35</v>
      </c>
      <c r="Y1034">
        <v>23</v>
      </c>
      <c r="Z1034">
        <v>4</v>
      </c>
      <c r="AA1034">
        <v>2</v>
      </c>
      <c r="AB1034">
        <v>80</v>
      </c>
      <c r="AC1034">
        <v>0</v>
      </c>
      <c r="AD1034">
        <v>11</v>
      </c>
      <c r="AE1034">
        <v>2</v>
      </c>
      <c r="AF1034">
        <v>4</v>
      </c>
      <c r="AG1034">
        <v>1</v>
      </c>
      <c r="AH1034">
        <v>0</v>
      </c>
      <c r="AI1034">
        <v>0</v>
      </c>
      <c r="AJ1034">
        <v>0</v>
      </c>
    </row>
    <row r="1035" spans="1:36" x14ac:dyDescent="0.3">
      <c r="A1035">
        <v>31</v>
      </c>
      <c r="B1035" t="s">
        <v>35</v>
      </c>
      <c r="C1035" s="6">
        <f t="shared" si="16"/>
        <v>1</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t="s">
        <v>43</v>
      </c>
      <c r="Y1035">
        <v>11</v>
      </c>
      <c r="Z1035">
        <v>3</v>
      </c>
      <c r="AA1035">
        <v>1</v>
      </c>
      <c r="AB1035">
        <v>80</v>
      </c>
      <c r="AC1035">
        <v>0</v>
      </c>
      <c r="AD1035">
        <v>10</v>
      </c>
      <c r="AE1035">
        <v>2</v>
      </c>
      <c r="AF1035">
        <v>3</v>
      </c>
      <c r="AG1035">
        <v>10</v>
      </c>
      <c r="AH1035">
        <v>8</v>
      </c>
      <c r="AI1035">
        <v>4</v>
      </c>
      <c r="AJ1035">
        <v>7</v>
      </c>
    </row>
    <row r="1036" spans="1:36" x14ac:dyDescent="0.3">
      <c r="A1036">
        <v>45</v>
      </c>
      <c r="B1036" t="s">
        <v>43</v>
      </c>
      <c r="C1036" s="6">
        <f t="shared" si="16"/>
        <v>0</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t="s">
        <v>35</v>
      </c>
      <c r="Y1036">
        <v>18</v>
      </c>
      <c r="Z1036">
        <v>3</v>
      </c>
      <c r="AA1036">
        <v>2</v>
      </c>
      <c r="AB1036">
        <v>80</v>
      </c>
      <c r="AC1036">
        <v>1</v>
      </c>
      <c r="AD1036">
        <v>24</v>
      </c>
      <c r="AE1036">
        <v>2</v>
      </c>
      <c r="AF1036">
        <v>3</v>
      </c>
      <c r="AG1036">
        <v>7</v>
      </c>
      <c r="AH1036">
        <v>7</v>
      </c>
      <c r="AI1036">
        <v>0</v>
      </c>
      <c r="AJ1036">
        <v>7</v>
      </c>
    </row>
    <row r="1037" spans="1:36" x14ac:dyDescent="0.3">
      <c r="A1037">
        <v>31</v>
      </c>
      <c r="B1037" t="s">
        <v>43</v>
      </c>
      <c r="C1037" s="6">
        <f t="shared" si="16"/>
        <v>0</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t="s">
        <v>43</v>
      </c>
      <c r="Y1037">
        <v>18</v>
      </c>
      <c r="Z1037">
        <v>3</v>
      </c>
      <c r="AA1037">
        <v>4</v>
      </c>
      <c r="AB1037">
        <v>80</v>
      </c>
      <c r="AC1037">
        <v>0</v>
      </c>
      <c r="AD1037">
        <v>8</v>
      </c>
      <c r="AE1037">
        <v>3</v>
      </c>
      <c r="AF1037">
        <v>3</v>
      </c>
      <c r="AG1037">
        <v>3</v>
      </c>
      <c r="AH1037">
        <v>2</v>
      </c>
      <c r="AI1037">
        <v>0</v>
      </c>
      <c r="AJ1037">
        <v>2</v>
      </c>
    </row>
    <row r="1038" spans="1:36" x14ac:dyDescent="0.3">
      <c r="A1038">
        <v>31</v>
      </c>
      <c r="B1038" t="s">
        <v>35</v>
      </c>
      <c r="C1038" s="6">
        <f t="shared" si="16"/>
        <v>1</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t="s">
        <v>35</v>
      </c>
      <c r="Y1038">
        <v>13</v>
      </c>
      <c r="Z1038">
        <v>3</v>
      </c>
      <c r="AA1038">
        <v>3</v>
      </c>
      <c r="AB1038">
        <v>80</v>
      </c>
      <c r="AC1038">
        <v>1</v>
      </c>
      <c r="AD1038">
        <v>7</v>
      </c>
      <c r="AE1038">
        <v>2</v>
      </c>
      <c r="AF1038">
        <v>1</v>
      </c>
      <c r="AG1038">
        <v>2</v>
      </c>
      <c r="AH1038">
        <v>2</v>
      </c>
      <c r="AI1038">
        <v>2</v>
      </c>
      <c r="AJ1038">
        <v>2</v>
      </c>
    </row>
    <row r="1039" spans="1:36" x14ac:dyDescent="0.3">
      <c r="A1039">
        <v>45</v>
      </c>
      <c r="B1039" t="s">
        <v>43</v>
      </c>
      <c r="C1039" s="6">
        <f t="shared" si="16"/>
        <v>0</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t="s">
        <v>35</v>
      </c>
      <c r="Y1039">
        <v>18</v>
      </c>
      <c r="Z1039">
        <v>3</v>
      </c>
      <c r="AA1039">
        <v>4</v>
      </c>
      <c r="AB1039">
        <v>80</v>
      </c>
      <c r="AC1039">
        <v>2</v>
      </c>
      <c r="AD1039">
        <v>10</v>
      </c>
      <c r="AE1039">
        <v>4</v>
      </c>
      <c r="AF1039">
        <v>4</v>
      </c>
      <c r="AG1039">
        <v>3</v>
      </c>
      <c r="AH1039">
        <v>1</v>
      </c>
      <c r="AI1039">
        <v>1</v>
      </c>
      <c r="AJ1039">
        <v>2</v>
      </c>
    </row>
    <row r="1040" spans="1:36" x14ac:dyDescent="0.3">
      <c r="A1040">
        <v>48</v>
      </c>
      <c r="B1040" t="s">
        <v>43</v>
      </c>
      <c r="C1040" s="6">
        <f t="shared" si="16"/>
        <v>0</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t="s">
        <v>43</v>
      </c>
      <c r="Y1040">
        <v>11</v>
      </c>
      <c r="Z1040">
        <v>3</v>
      </c>
      <c r="AA1040">
        <v>1</v>
      </c>
      <c r="AB1040">
        <v>80</v>
      </c>
      <c r="AC1040">
        <v>3</v>
      </c>
      <c r="AD1040">
        <v>15</v>
      </c>
      <c r="AE1040">
        <v>3</v>
      </c>
      <c r="AF1040">
        <v>3</v>
      </c>
      <c r="AG1040">
        <v>2</v>
      </c>
      <c r="AH1040">
        <v>2</v>
      </c>
      <c r="AI1040">
        <v>2</v>
      </c>
      <c r="AJ1040">
        <v>2</v>
      </c>
    </row>
    <row r="1041" spans="1:36" x14ac:dyDescent="0.3">
      <c r="A1041">
        <v>34</v>
      </c>
      <c r="B1041" t="s">
        <v>35</v>
      </c>
      <c r="C1041" s="6">
        <f t="shared" si="16"/>
        <v>1</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t="s">
        <v>43</v>
      </c>
      <c r="Y1041">
        <v>15</v>
      </c>
      <c r="Z1041">
        <v>3</v>
      </c>
      <c r="AA1041">
        <v>4</v>
      </c>
      <c r="AB1041">
        <v>80</v>
      </c>
      <c r="AC1041">
        <v>0</v>
      </c>
      <c r="AD1041">
        <v>2</v>
      </c>
      <c r="AE1041">
        <v>0</v>
      </c>
      <c r="AF1041">
        <v>3</v>
      </c>
      <c r="AG1041">
        <v>2</v>
      </c>
      <c r="AH1041">
        <v>2</v>
      </c>
      <c r="AI1041">
        <v>2</v>
      </c>
      <c r="AJ1041">
        <v>2</v>
      </c>
    </row>
    <row r="1042" spans="1:36" x14ac:dyDescent="0.3">
      <c r="A1042">
        <v>40</v>
      </c>
      <c r="B1042" t="s">
        <v>43</v>
      </c>
      <c r="C1042" s="6">
        <f t="shared" si="16"/>
        <v>0</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t="s">
        <v>43</v>
      </c>
      <c r="Y1042">
        <v>11</v>
      </c>
      <c r="Z1042">
        <v>3</v>
      </c>
      <c r="AA1042">
        <v>3</v>
      </c>
      <c r="AB1042">
        <v>80</v>
      </c>
      <c r="AC1042">
        <v>1</v>
      </c>
      <c r="AD1042">
        <v>16</v>
      </c>
      <c r="AE1042">
        <v>5</v>
      </c>
      <c r="AF1042">
        <v>3</v>
      </c>
      <c r="AG1042">
        <v>9</v>
      </c>
      <c r="AH1042">
        <v>8</v>
      </c>
      <c r="AI1042">
        <v>4</v>
      </c>
      <c r="AJ1042">
        <v>8</v>
      </c>
    </row>
    <row r="1043" spans="1:36" x14ac:dyDescent="0.3">
      <c r="A1043">
        <v>28</v>
      </c>
      <c r="B1043" t="s">
        <v>43</v>
      </c>
      <c r="C1043" s="6">
        <f t="shared" si="16"/>
        <v>0</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t="s">
        <v>43</v>
      </c>
      <c r="Y1043">
        <v>18</v>
      </c>
      <c r="Z1043">
        <v>3</v>
      </c>
      <c r="AA1043">
        <v>4</v>
      </c>
      <c r="AB1043">
        <v>80</v>
      </c>
      <c r="AC1043">
        <v>0</v>
      </c>
      <c r="AD1043">
        <v>6</v>
      </c>
      <c r="AE1043">
        <v>4</v>
      </c>
      <c r="AF1043">
        <v>3</v>
      </c>
      <c r="AG1043">
        <v>5</v>
      </c>
      <c r="AH1043">
        <v>4</v>
      </c>
      <c r="AI1043">
        <v>1</v>
      </c>
      <c r="AJ1043">
        <v>3</v>
      </c>
    </row>
    <row r="1044" spans="1:36" x14ac:dyDescent="0.3">
      <c r="A1044">
        <v>44</v>
      </c>
      <c r="B1044" t="s">
        <v>43</v>
      </c>
      <c r="C1044" s="6">
        <f t="shared" si="16"/>
        <v>0</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t="s">
        <v>43</v>
      </c>
      <c r="Y1044">
        <v>14</v>
      </c>
      <c r="Z1044">
        <v>3</v>
      </c>
      <c r="AA1044">
        <v>4</v>
      </c>
      <c r="AB1044">
        <v>80</v>
      </c>
      <c r="AC1044">
        <v>0</v>
      </c>
      <c r="AD1044">
        <v>7</v>
      </c>
      <c r="AE1044">
        <v>5</v>
      </c>
      <c r="AF1044">
        <v>3</v>
      </c>
      <c r="AG1044">
        <v>5</v>
      </c>
      <c r="AH1044">
        <v>2</v>
      </c>
      <c r="AI1044">
        <v>0</v>
      </c>
      <c r="AJ1044">
        <v>3</v>
      </c>
    </row>
    <row r="1045" spans="1:36" x14ac:dyDescent="0.3">
      <c r="A1045">
        <v>53</v>
      </c>
      <c r="B1045" t="s">
        <v>43</v>
      </c>
      <c r="C1045" s="6">
        <f t="shared" si="16"/>
        <v>0</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t="s">
        <v>43</v>
      </c>
      <c r="Y1045">
        <v>12</v>
      </c>
      <c r="Z1045">
        <v>3</v>
      </c>
      <c r="AA1045">
        <v>2</v>
      </c>
      <c r="AB1045">
        <v>80</v>
      </c>
      <c r="AC1045">
        <v>0</v>
      </c>
      <c r="AD1045">
        <v>35</v>
      </c>
      <c r="AE1045">
        <v>2</v>
      </c>
      <c r="AF1045">
        <v>2</v>
      </c>
      <c r="AG1045">
        <v>9</v>
      </c>
      <c r="AH1045">
        <v>8</v>
      </c>
      <c r="AI1045">
        <v>8</v>
      </c>
      <c r="AJ1045">
        <v>8</v>
      </c>
    </row>
    <row r="1046" spans="1:36" x14ac:dyDescent="0.3">
      <c r="A1046">
        <v>49</v>
      </c>
      <c r="B1046" t="s">
        <v>43</v>
      </c>
      <c r="C1046" s="6">
        <f t="shared" si="16"/>
        <v>0</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t="s">
        <v>43</v>
      </c>
      <c r="Y1046">
        <v>14</v>
      </c>
      <c r="Z1046">
        <v>3</v>
      </c>
      <c r="AA1046">
        <v>2</v>
      </c>
      <c r="AB1046">
        <v>80</v>
      </c>
      <c r="AC1046">
        <v>1</v>
      </c>
      <c r="AD1046">
        <v>20</v>
      </c>
      <c r="AE1046">
        <v>0</v>
      </c>
      <c r="AF1046">
        <v>2</v>
      </c>
      <c r="AG1046">
        <v>3</v>
      </c>
      <c r="AH1046">
        <v>2</v>
      </c>
      <c r="AI1046">
        <v>1</v>
      </c>
      <c r="AJ1046">
        <v>2</v>
      </c>
    </row>
    <row r="1047" spans="1:36" x14ac:dyDescent="0.3">
      <c r="A1047">
        <v>40</v>
      </c>
      <c r="B1047" t="s">
        <v>43</v>
      </c>
      <c r="C1047" s="6">
        <f t="shared" si="16"/>
        <v>0</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t="s">
        <v>43</v>
      </c>
      <c r="Y1047">
        <v>14</v>
      </c>
      <c r="Z1047">
        <v>3</v>
      </c>
      <c r="AA1047">
        <v>3</v>
      </c>
      <c r="AB1047">
        <v>80</v>
      </c>
      <c r="AC1047">
        <v>1</v>
      </c>
      <c r="AD1047">
        <v>8</v>
      </c>
      <c r="AE1047">
        <v>3</v>
      </c>
      <c r="AF1047">
        <v>4</v>
      </c>
      <c r="AG1047">
        <v>3</v>
      </c>
      <c r="AH1047">
        <v>1</v>
      </c>
      <c r="AI1047">
        <v>1</v>
      </c>
      <c r="AJ1047">
        <v>2</v>
      </c>
    </row>
    <row r="1048" spans="1:36" x14ac:dyDescent="0.3">
      <c r="A1048">
        <v>44</v>
      </c>
      <c r="B1048" t="s">
        <v>43</v>
      </c>
      <c r="C1048" s="6">
        <f t="shared" si="16"/>
        <v>0</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t="s">
        <v>43</v>
      </c>
      <c r="Y1048">
        <v>13</v>
      </c>
      <c r="Z1048">
        <v>3</v>
      </c>
      <c r="AA1048">
        <v>3</v>
      </c>
      <c r="AB1048">
        <v>80</v>
      </c>
      <c r="AC1048">
        <v>0</v>
      </c>
      <c r="AD1048">
        <v>6</v>
      </c>
      <c r="AE1048">
        <v>3</v>
      </c>
      <c r="AF1048">
        <v>2</v>
      </c>
      <c r="AG1048">
        <v>5</v>
      </c>
      <c r="AH1048">
        <v>2</v>
      </c>
      <c r="AI1048">
        <v>1</v>
      </c>
      <c r="AJ1048">
        <v>3</v>
      </c>
    </row>
    <row r="1049" spans="1:36" x14ac:dyDescent="0.3">
      <c r="A1049">
        <v>33</v>
      </c>
      <c r="B1049" t="s">
        <v>43</v>
      </c>
      <c r="C1049" s="6">
        <f t="shared" si="16"/>
        <v>0</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t="s">
        <v>43</v>
      </c>
      <c r="Y1049">
        <v>14</v>
      </c>
      <c r="Z1049">
        <v>3</v>
      </c>
      <c r="AA1049">
        <v>1</v>
      </c>
      <c r="AB1049">
        <v>80</v>
      </c>
      <c r="AC1049">
        <v>2</v>
      </c>
      <c r="AD1049">
        <v>5</v>
      </c>
      <c r="AE1049">
        <v>2</v>
      </c>
      <c r="AF1049">
        <v>3</v>
      </c>
      <c r="AG1049">
        <v>4</v>
      </c>
      <c r="AH1049">
        <v>3</v>
      </c>
      <c r="AI1049">
        <v>0</v>
      </c>
      <c r="AJ1049">
        <v>3</v>
      </c>
    </row>
    <row r="1050" spans="1:36" x14ac:dyDescent="0.3">
      <c r="A1050">
        <v>34</v>
      </c>
      <c r="B1050" t="s">
        <v>43</v>
      </c>
      <c r="C1050" s="6">
        <f t="shared" si="16"/>
        <v>0</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t="s">
        <v>43</v>
      </c>
      <c r="Y1050">
        <v>18</v>
      </c>
      <c r="Z1050">
        <v>3</v>
      </c>
      <c r="AA1050">
        <v>4</v>
      </c>
      <c r="AB1050">
        <v>80</v>
      </c>
      <c r="AC1050">
        <v>0</v>
      </c>
      <c r="AD1050">
        <v>15</v>
      </c>
      <c r="AE1050">
        <v>2</v>
      </c>
      <c r="AF1050">
        <v>3</v>
      </c>
      <c r="AG1050">
        <v>13</v>
      </c>
      <c r="AH1050">
        <v>9</v>
      </c>
      <c r="AI1050">
        <v>3</v>
      </c>
      <c r="AJ1050">
        <v>12</v>
      </c>
    </row>
    <row r="1051" spans="1:36" x14ac:dyDescent="0.3">
      <c r="A1051">
        <v>30</v>
      </c>
      <c r="B1051" t="s">
        <v>43</v>
      </c>
      <c r="C1051" s="6">
        <f t="shared" si="16"/>
        <v>0</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t="s">
        <v>43</v>
      </c>
      <c r="Y1051">
        <v>15</v>
      </c>
      <c r="Z1051">
        <v>3</v>
      </c>
      <c r="AA1051">
        <v>3</v>
      </c>
      <c r="AB1051">
        <v>80</v>
      </c>
      <c r="AC1051">
        <v>2</v>
      </c>
      <c r="AD1051">
        <v>4</v>
      </c>
      <c r="AE1051">
        <v>2</v>
      </c>
      <c r="AF1051">
        <v>2</v>
      </c>
      <c r="AG1051">
        <v>2</v>
      </c>
      <c r="AH1051">
        <v>1</v>
      </c>
      <c r="AI1051">
        <v>2</v>
      </c>
      <c r="AJ1051">
        <v>2</v>
      </c>
    </row>
    <row r="1052" spans="1:36" x14ac:dyDescent="0.3">
      <c r="A1052">
        <v>42</v>
      </c>
      <c r="B1052" t="s">
        <v>43</v>
      </c>
      <c r="C1052" s="6">
        <f t="shared" si="16"/>
        <v>0</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t="s">
        <v>43</v>
      </c>
      <c r="Y1052">
        <v>13</v>
      </c>
      <c r="Z1052">
        <v>3</v>
      </c>
      <c r="AA1052">
        <v>3</v>
      </c>
      <c r="AB1052">
        <v>80</v>
      </c>
      <c r="AC1052">
        <v>0</v>
      </c>
      <c r="AD1052">
        <v>12</v>
      </c>
      <c r="AE1052">
        <v>3</v>
      </c>
      <c r="AF1052">
        <v>3</v>
      </c>
      <c r="AG1052">
        <v>12</v>
      </c>
      <c r="AH1052">
        <v>9</v>
      </c>
      <c r="AI1052">
        <v>5</v>
      </c>
      <c r="AJ1052">
        <v>8</v>
      </c>
    </row>
    <row r="1053" spans="1:36" x14ac:dyDescent="0.3">
      <c r="A1053">
        <v>44</v>
      </c>
      <c r="B1053" t="s">
        <v>43</v>
      </c>
      <c r="C1053" s="6">
        <f t="shared" si="16"/>
        <v>0</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t="s">
        <v>43</v>
      </c>
      <c r="Y1053">
        <v>12</v>
      </c>
      <c r="Z1053">
        <v>3</v>
      </c>
      <c r="AA1053">
        <v>3</v>
      </c>
      <c r="AB1053">
        <v>80</v>
      </c>
      <c r="AC1053">
        <v>1</v>
      </c>
      <c r="AD1053">
        <v>11</v>
      </c>
      <c r="AE1053">
        <v>4</v>
      </c>
      <c r="AF1053">
        <v>2</v>
      </c>
      <c r="AG1053">
        <v>1</v>
      </c>
      <c r="AH1053">
        <v>0</v>
      </c>
      <c r="AI1053">
        <v>0</v>
      </c>
      <c r="AJ1053">
        <v>0</v>
      </c>
    </row>
    <row r="1054" spans="1:36" x14ac:dyDescent="0.3">
      <c r="A1054">
        <v>30</v>
      </c>
      <c r="B1054" t="s">
        <v>43</v>
      </c>
      <c r="C1054" s="6">
        <f t="shared" si="16"/>
        <v>0</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t="s">
        <v>43</v>
      </c>
      <c r="Y1054">
        <v>13</v>
      </c>
      <c r="Z1054">
        <v>3</v>
      </c>
      <c r="AA1054">
        <v>2</v>
      </c>
      <c r="AB1054">
        <v>80</v>
      </c>
      <c r="AC1054">
        <v>2</v>
      </c>
      <c r="AD1054">
        <v>1</v>
      </c>
      <c r="AE1054">
        <v>2</v>
      </c>
      <c r="AF1054">
        <v>2</v>
      </c>
      <c r="AG1054">
        <v>1</v>
      </c>
      <c r="AH1054">
        <v>0</v>
      </c>
      <c r="AI1054">
        <v>0</v>
      </c>
      <c r="AJ1054">
        <v>0</v>
      </c>
    </row>
    <row r="1055" spans="1:36" x14ac:dyDescent="0.3">
      <c r="A1055">
        <v>57</v>
      </c>
      <c r="B1055" t="s">
        <v>43</v>
      </c>
      <c r="C1055" s="6">
        <f t="shared" si="16"/>
        <v>0</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t="s">
        <v>43</v>
      </c>
      <c r="Y1055">
        <v>24</v>
      </c>
      <c r="Z1055">
        <v>4</v>
      </c>
      <c r="AA1055">
        <v>1</v>
      </c>
      <c r="AB1055">
        <v>80</v>
      </c>
      <c r="AC1055">
        <v>1</v>
      </c>
      <c r="AD1055">
        <v>13</v>
      </c>
      <c r="AE1055">
        <v>2</v>
      </c>
      <c r="AF1055">
        <v>2</v>
      </c>
      <c r="AG1055">
        <v>12</v>
      </c>
      <c r="AH1055">
        <v>9</v>
      </c>
      <c r="AI1055">
        <v>2</v>
      </c>
      <c r="AJ1055">
        <v>8</v>
      </c>
    </row>
    <row r="1056" spans="1:36" x14ac:dyDescent="0.3">
      <c r="A1056">
        <v>49</v>
      </c>
      <c r="B1056" t="s">
        <v>43</v>
      </c>
      <c r="C1056" s="6">
        <f t="shared" si="16"/>
        <v>0</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t="s">
        <v>43</v>
      </c>
      <c r="Y1056">
        <v>14</v>
      </c>
      <c r="Z1056">
        <v>3</v>
      </c>
      <c r="AA1056">
        <v>2</v>
      </c>
      <c r="AB1056">
        <v>80</v>
      </c>
      <c r="AC1056">
        <v>2</v>
      </c>
      <c r="AD1056">
        <v>29</v>
      </c>
      <c r="AE1056">
        <v>3</v>
      </c>
      <c r="AF1056">
        <v>3</v>
      </c>
      <c r="AG1056">
        <v>8</v>
      </c>
      <c r="AH1056">
        <v>7</v>
      </c>
      <c r="AI1056">
        <v>0</v>
      </c>
      <c r="AJ1056">
        <v>7</v>
      </c>
    </row>
    <row r="1057" spans="1:36" x14ac:dyDescent="0.3">
      <c r="A1057">
        <v>34</v>
      </c>
      <c r="B1057" t="s">
        <v>43</v>
      </c>
      <c r="C1057" s="6">
        <f t="shared" si="16"/>
        <v>0</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t="s">
        <v>43</v>
      </c>
      <c r="Y1057">
        <v>14</v>
      </c>
      <c r="Z1057">
        <v>3</v>
      </c>
      <c r="AA1057">
        <v>4</v>
      </c>
      <c r="AB1057">
        <v>80</v>
      </c>
      <c r="AC1057">
        <v>2</v>
      </c>
      <c r="AD1057">
        <v>16</v>
      </c>
      <c r="AE1057">
        <v>3</v>
      </c>
      <c r="AF1057">
        <v>2</v>
      </c>
      <c r="AG1057">
        <v>14</v>
      </c>
      <c r="AH1057">
        <v>8</v>
      </c>
      <c r="AI1057">
        <v>6</v>
      </c>
      <c r="AJ1057">
        <v>9</v>
      </c>
    </row>
    <row r="1058" spans="1:36" x14ac:dyDescent="0.3">
      <c r="A1058">
        <v>28</v>
      </c>
      <c r="B1058" t="s">
        <v>35</v>
      </c>
      <c r="C1058" s="6">
        <f t="shared" si="16"/>
        <v>1</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t="s">
        <v>43</v>
      </c>
      <c r="Y1058">
        <v>15</v>
      </c>
      <c r="Z1058">
        <v>3</v>
      </c>
      <c r="AA1058">
        <v>4</v>
      </c>
      <c r="AB1058">
        <v>80</v>
      </c>
      <c r="AC1058">
        <v>1</v>
      </c>
      <c r="AD1058">
        <v>5</v>
      </c>
      <c r="AE1058">
        <v>3</v>
      </c>
      <c r="AF1058">
        <v>4</v>
      </c>
      <c r="AG1058">
        <v>3</v>
      </c>
      <c r="AH1058">
        <v>2</v>
      </c>
      <c r="AI1058">
        <v>1</v>
      </c>
      <c r="AJ1058">
        <v>2</v>
      </c>
    </row>
    <row r="1059" spans="1:36" x14ac:dyDescent="0.3">
      <c r="A1059">
        <v>29</v>
      </c>
      <c r="B1059" t="s">
        <v>35</v>
      </c>
      <c r="C1059" s="6">
        <f t="shared" si="16"/>
        <v>1</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t="s">
        <v>43</v>
      </c>
      <c r="Y1059">
        <v>11</v>
      </c>
      <c r="Z1059">
        <v>3</v>
      </c>
      <c r="AA1059">
        <v>1</v>
      </c>
      <c r="AB1059">
        <v>80</v>
      </c>
      <c r="AC1059">
        <v>0</v>
      </c>
      <c r="AD1059">
        <v>7</v>
      </c>
      <c r="AE1059">
        <v>4</v>
      </c>
      <c r="AF1059">
        <v>1</v>
      </c>
      <c r="AG1059">
        <v>5</v>
      </c>
      <c r="AH1059">
        <v>3</v>
      </c>
      <c r="AI1059">
        <v>0</v>
      </c>
      <c r="AJ1059">
        <v>0</v>
      </c>
    </row>
    <row r="1060" spans="1:36" x14ac:dyDescent="0.3">
      <c r="A1060">
        <v>34</v>
      </c>
      <c r="B1060" t="s">
        <v>35</v>
      </c>
      <c r="C1060" s="6">
        <f t="shared" si="16"/>
        <v>1</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t="s">
        <v>35</v>
      </c>
      <c r="Y1060">
        <v>23</v>
      </c>
      <c r="Z1060">
        <v>4</v>
      </c>
      <c r="AA1060">
        <v>3</v>
      </c>
      <c r="AB1060">
        <v>80</v>
      </c>
      <c r="AC1060">
        <v>0</v>
      </c>
      <c r="AD1060">
        <v>16</v>
      </c>
      <c r="AE1060">
        <v>2</v>
      </c>
      <c r="AF1060">
        <v>4</v>
      </c>
      <c r="AG1060">
        <v>15</v>
      </c>
      <c r="AH1060">
        <v>9</v>
      </c>
      <c r="AI1060">
        <v>10</v>
      </c>
      <c r="AJ1060">
        <v>10</v>
      </c>
    </row>
    <row r="1061" spans="1:36" x14ac:dyDescent="0.3">
      <c r="A1061">
        <v>35</v>
      </c>
      <c r="B1061" t="s">
        <v>43</v>
      </c>
      <c r="C1061" s="6">
        <f t="shared" si="16"/>
        <v>0</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t="s">
        <v>43</v>
      </c>
      <c r="Y1061">
        <v>13</v>
      </c>
      <c r="Z1061">
        <v>3</v>
      </c>
      <c r="AA1061">
        <v>1</v>
      </c>
      <c r="AB1061">
        <v>80</v>
      </c>
      <c r="AC1061">
        <v>1</v>
      </c>
      <c r="AD1061">
        <v>1</v>
      </c>
      <c r="AE1061">
        <v>3</v>
      </c>
      <c r="AF1061">
        <v>3</v>
      </c>
      <c r="AG1061">
        <v>1</v>
      </c>
      <c r="AH1061">
        <v>0</v>
      </c>
      <c r="AI1061">
        <v>0</v>
      </c>
      <c r="AJ1061">
        <v>0</v>
      </c>
    </row>
    <row r="1062" spans="1:36" x14ac:dyDescent="0.3">
      <c r="A1062">
        <v>24</v>
      </c>
      <c r="B1062" t="s">
        <v>35</v>
      </c>
      <c r="C1062" s="6">
        <f t="shared" si="16"/>
        <v>1</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t="s">
        <v>35</v>
      </c>
      <c r="Y1062">
        <v>11</v>
      </c>
      <c r="Z1062">
        <v>3</v>
      </c>
      <c r="AA1062">
        <v>3</v>
      </c>
      <c r="AB1062">
        <v>80</v>
      </c>
      <c r="AC1062">
        <v>0</v>
      </c>
      <c r="AD1062">
        <v>4</v>
      </c>
      <c r="AE1062">
        <v>2</v>
      </c>
      <c r="AF1062">
        <v>2</v>
      </c>
      <c r="AG1062">
        <v>0</v>
      </c>
      <c r="AH1062">
        <v>0</v>
      </c>
      <c r="AI1062">
        <v>0</v>
      </c>
      <c r="AJ1062">
        <v>0</v>
      </c>
    </row>
    <row r="1063" spans="1:36" x14ac:dyDescent="0.3">
      <c r="A1063">
        <v>24</v>
      </c>
      <c r="B1063" t="s">
        <v>43</v>
      </c>
      <c r="C1063" s="6">
        <f t="shared" si="16"/>
        <v>0</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t="s">
        <v>43</v>
      </c>
      <c r="Y1063">
        <v>13</v>
      </c>
      <c r="Z1063">
        <v>3</v>
      </c>
      <c r="AA1063">
        <v>3</v>
      </c>
      <c r="AB1063">
        <v>80</v>
      </c>
      <c r="AC1063">
        <v>1</v>
      </c>
      <c r="AD1063">
        <v>1</v>
      </c>
      <c r="AE1063">
        <v>2</v>
      </c>
      <c r="AF1063">
        <v>3</v>
      </c>
      <c r="AG1063">
        <v>1</v>
      </c>
      <c r="AH1063">
        <v>0</v>
      </c>
      <c r="AI1063">
        <v>0</v>
      </c>
      <c r="AJ1063">
        <v>0</v>
      </c>
    </row>
    <row r="1064" spans="1:36" x14ac:dyDescent="0.3">
      <c r="A1064">
        <v>44</v>
      </c>
      <c r="B1064" t="s">
        <v>43</v>
      </c>
      <c r="C1064" s="6">
        <f t="shared" si="16"/>
        <v>0</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t="s">
        <v>35</v>
      </c>
      <c r="Y1064">
        <v>18</v>
      </c>
      <c r="Z1064">
        <v>3</v>
      </c>
      <c r="AA1064">
        <v>2</v>
      </c>
      <c r="AB1064">
        <v>80</v>
      </c>
      <c r="AC1064">
        <v>0</v>
      </c>
      <c r="AD1064">
        <v>16</v>
      </c>
      <c r="AE1064">
        <v>2</v>
      </c>
      <c r="AF1064">
        <v>2</v>
      </c>
      <c r="AG1064">
        <v>2</v>
      </c>
      <c r="AH1064">
        <v>2</v>
      </c>
      <c r="AI1064">
        <v>2</v>
      </c>
      <c r="AJ1064">
        <v>2</v>
      </c>
    </row>
    <row r="1065" spans="1:36" x14ac:dyDescent="0.3">
      <c r="A1065">
        <v>29</v>
      </c>
      <c r="B1065" t="s">
        <v>43</v>
      </c>
      <c r="C1065" s="6">
        <f t="shared" si="16"/>
        <v>0</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t="s">
        <v>43</v>
      </c>
      <c r="Y1065">
        <v>14</v>
      </c>
      <c r="Z1065">
        <v>3</v>
      </c>
      <c r="AA1065">
        <v>3</v>
      </c>
      <c r="AB1065">
        <v>80</v>
      </c>
      <c r="AC1065">
        <v>2</v>
      </c>
      <c r="AD1065">
        <v>10</v>
      </c>
      <c r="AE1065">
        <v>3</v>
      </c>
      <c r="AF1065">
        <v>3</v>
      </c>
      <c r="AG1065">
        <v>10</v>
      </c>
      <c r="AH1065">
        <v>7</v>
      </c>
      <c r="AI1065">
        <v>0</v>
      </c>
      <c r="AJ1065">
        <v>4</v>
      </c>
    </row>
    <row r="1066" spans="1:36" x14ac:dyDescent="0.3">
      <c r="A1066">
        <v>30</v>
      </c>
      <c r="B1066" t="s">
        <v>43</v>
      </c>
      <c r="C1066" s="6">
        <f t="shared" si="16"/>
        <v>0</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t="s">
        <v>43</v>
      </c>
      <c r="Y1066">
        <v>21</v>
      </c>
      <c r="Z1066">
        <v>4</v>
      </c>
      <c r="AA1066">
        <v>1</v>
      </c>
      <c r="AB1066">
        <v>80</v>
      </c>
      <c r="AC1066">
        <v>1</v>
      </c>
      <c r="AD1066">
        <v>6</v>
      </c>
      <c r="AE1066">
        <v>3</v>
      </c>
      <c r="AF1066">
        <v>4</v>
      </c>
      <c r="AG1066">
        <v>5</v>
      </c>
      <c r="AH1066">
        <v>3</v>
      </c>
      <c r="AI1066">
        <v>1</v>
      </c>
      <c r="AJ1066">
        <v>3</v>
      </c>
    </row>
    <row r="1067" spans="1:36" x14ac:dyDescent="0.3">
      <c r="A1067">
        <v>55</v>
      </c>
      <c r="B1067" t="s">
        <v>43</v>
      </c>
      <c r="C1067" s="6">
        <f t="shared" si="16"/>
        <v>0</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t="s">
        <v>35</v>
      </c>
      <c r="Y1067">
        <v>16</v>
      </c>
      <c r="Z1067">
        <v>3</v>
      </c>
      <c r="AA1067">
        <v>2</v>
      </c>
      <c r="AB1067">
        <v>80</v>
      </c>
      <c r="AC1067">
        <v>0</v>
      </c>
      <c r="AD1067">
        <v>4</v>
      </c>
      <c r="AE1067">
        <v>2</v>
      </c>
      <c r="AF1067">
        <v>3</v>
      </c>
      <c r="AG1067">
        <v>3</v>
      </c>
      <c r="AH1067">
        <v>2</v>
      </c>
      <c r="AI1067">
        <v>1</v>
      </c>
      <c r="AJ1067">
        <v>2</v>
      </c>
    </row>
    <row r="1068" spans="1:36" x14ac:dyDescent="0.3">
      <c r="A1068">
        <v>33</v>
      </c>
      <c r="B1068" t="s">
        <v>43</v>
      </c>
      <c r="C1068" s="6">
        <f t="shared" si="16"/>
        <v>0</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t="s">
        <v>43</v>
      </c>
      <c r="Y1068">
        <v>11</v>
      </c>
      <c r="Z1068">
        <v>3</v>
      </c>
      <c r="AA1068">
        <v>4</v>
      </c>
      <c r="AB1068">
        <v>80</v>
      </c>
      <c r="AC1068">
        <v>0</v>
      </c>
      <c r="AD1068">
        <v>8</v>
      </c>
      <c r="AE1068">
        <v>5</v>
      </c>
      <c r="AF1068">
        <v>3</v>
      </c>
      <c r="AG1068">
        <v>5</v>
      </c>
      <c r="AH1068">
        <v>4</v>
      </c>
      <c r="AI1068">
        <v>0</v>
      </c>
      <c r="AJ1068">
        <v>2</v>
      </c>
    </row>
    <row r="1069" spans="1:36" x14ac:dyDescent="0.3">
      <c r="A1069">
        <v>47</v>
      </c>
      <c r="B1069" t="s">
        <v>43</v>
      </c>
      <c r="C1069" s="6">
        <f t="shared" si="16"/>
        <v>0</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t="s">
        <v>35</v>
      </c>
      <c r="Y1069">
        <v>17</v>
      </c>
      <c r="Z1069">
        <v>3</v>
      </c>
      <c r="AA1069">
        <v>3</v>
      </c>
      <c r="AB1069">
        <v>80</v>
      </c>
      <c r="AC1069">
        <v>1</v>
      </c>
      <c r="AD1069">
        <v>11</v>
      </c>
      <c r="AE1069">
        <v>4</v>
      </c>
      <c r="AF1069">
        <v>2</v>
      </c>
      <c r="AG1069">
        <v>5</v>
      </c>
      <c r="AH1069">
        <v>4</v>
      </c>
      <c r="AI1069">
        <v>1</v>
      </c>
      <c r="AJ1069">
        <v>2</v>
      </c>
    </row>
    <row r="1070" spans="1:36" x14ac:dyDescent="0.3">
      <c r="A1070">
        <v>28</v>
      </c>
      <c r="B1070" t="s">
        <v>35</v>
      </c>
      <c r="C1070" s="6">
        <f t="shared" si="16"/>
        <v>1</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t="s">
        <v>43</v>
      </c>
      <c r="Y1070">
        <v>11</v>
      </c>
      <c r="Z1070">
        <v>3</v>
      </c>
      <c r="AA1070">
        <v>3</v>
      </c>
      <c r="AB1070">
        <v>80</v>
      </c>
      <c r="AC1070">
        <v>0</v>
      </c>
      <c r="AD1070">
        <v>8</v>
      </c>
      <c r="AE1070">
        <v>2</v>
      </c>
      <c r="AF1070">
        <v>2</v>
      </c>
      <c r="AG1070">
        <v>0</v>
      </c>
      <c r="AH1070">
        <v>0</v>
      </c>
      <c r="AI1070">
        <v>0</v>
      </c>
      <c r="AJ1070">
        <v>0</v>
      </c>
    </row>
    <row r="1071" spans="1:36" x14ac:dyDescent="0.3">
      <c r="A1071">
        <v>28</v>
      </c>
      <c r="B1071" t="s">
        <v>43</v>
      </c>
      <c r="C1071" s="6">
        <f t="shared" si="16"/>
        <v>0</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t="s">
        <v>43</v>
      </c>
      <c r="Y1071">
        <v>14</v>
      </c>
      <c r="Z1071">
        <v>3</v>
      </c>
      <c r="AA1071">
        <v>4</v>
      </c>
      <c r="AB1071">
        <v>80</v>
      </c>
      <c r="AC1071">
        <v>1</v>
      </c>
      <c r="AD1071">
        <v>1</v>
      </c>
      <c r="AE1071">
        <v>2</v>
      </c>
      <c r="AF1071">
        <v>1</v>
      </c>
      <c r="AG1071">
        <v>1</v>
      </c>
      <c r="AH1071">
        <v>0</v>
      </c>
      <c r="AI1071">
        <v>0</v>
      </c>
      <c r="AJ1071">
        <v>0</v>
      </c>
    </row>
    <row r="1072" spans="1:36" x14ac:dyDescent="0.3">
      <c r="A1072">
        <v>28</v>
      </c>
      <c r="B1072" t="s">
        <v>43</v>
      </c>
      <c r="C1072" s="6">
        <f t="shared" si="16"/>
        <v>0</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t="s">
        <v>43</v>
      </c>
      <c r="Y1072">
        <v>14</v>
      </c>
      <c r="Z1072">
        <v>3</v>
      </c>
      <c r="AA1072">
        <v>4</v>
      </c>
      <c r="AB1072">
        <v>80</v>
      </c>
      <c r="AC1072">
        <v>0</v>
      </c>
      <c r="AD1072">
        <v>5</v>
      </c>
      <c r="AE1072">
        <v>5</v>
      </c>
      <c r="AF1072">
        <v>3</v>
      </c>
      <c r="AG1072">
        <v>4</v>
      </c>
      <c r="AH1072">
        <v>2</v>
      </c>
      <c r="AI1072">
        <v>1</v>
      </c>
      <c r="AJ1072">
        <v>3</v>
      </c>
    </row>
    <row r="1073" spans="1:36" x14ac:dyDescent="0.3">
      <c r="A1073">
        <v>49</v>
      </c>
      <c r="B1073" t="s">
        <v>43</v>
      </c>
      <c r="C1073" s="6">
        <f t="shared" si="16"/>
        <v>0</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t="s">
        <v>43</v>
      </c>
      <c r="Y1073">
        <v>25</v>
      </c>
      <c r="Z1073">
        <v>4</v>
      </c>
      <c r="AA1073">
        <v>1</v>
      </c>
      <c r="AB1073">
        <v>80</v>
      </c>
      <c r="AC1073">
        <v>1</v>
      </c>
      <c r="AD1073">
        <v>10</v>
      </c>
      <c r="AE1073">
        <v>3</v>
      </c>
      <c r="AF1073">
        <v>3</v>
      </c>
      <c r="AG1073">
        <v>3</v>
      </c>
      <c r="AH1073">
        <v>2</v>
      </c>
      <c r="AI1073">
        <v>1</v>
      </c>
      <c r="AJ1073">
        <v>2</v>
      </c>
    </row>
    <row r="1074" spans="1:36" x14ac:dyDescent="0.3">
      <c r="A1074">
        <v>29</v>
      </c>
      <c r="B1074" t="s">
        <v>43</v>
      </c>
      <c r="C1074" s="6">
        <f t="shared" si="16"/>
        <v>0</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t="s">
        <v>43</v>
      </c>
      <c r="Y1074">
        <v>13</v>
      </c>
      <c r="Z1074">
        <v>3</v>
      </c>
      <c r="AA1074">
        <v>3</v>
      </c>
      <c r="AB1074">
        <v>80</v>
      </c>
      <c r="AC1074">
        <v>3</v>
      </c>
      <c r="AD1074">
        <v>4</v>
      </c>
      <c r="AE1074">
        <v>3</v>
      </c>
      <c r="AF1074">
        <v>3</v>
      </c>
      <c r="AG1074">
        <v>3</v>
      </c>
      <c r="AH1074">
        <v>2</v>
      </c>
      <c r="AI1074">
        <v>0</v>
      </c>
      <c r="AJ1074">
        <v>2</v>
      </c>
    </row>
    <row r="1075" spans="1:36" x14ac:dyDescent="0.3">
      <c r="A1075">
        <v>28</v>
      </c>
      <c r="B1075" t="s">
        <v>43</v>
      </c>
      <c r="C1075" s="6">
        <f t="shared" si="16"/>
        <v>0</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t="s">
        <v>43</v>
      </c>
      <c r="Y1075">
        <v>14</v>
      </c>
      <c r="Z1075">
        <v>3</v>
      </c>
      <c r="AA1075">
        <v>2</v>
      </c>
      <c r="AB1075">
        <v>80</v>
      </c>
      <c r="AC1075">
        <v>2</v>
      </c>
      <c r="AD1075">
        <v>8</v>
      </c>
      <c r="AE1075">
        <v>2</v>
      </c>
      <c r="AF1075">
        <v>2</v>
      </c>
      <c r="AG1075">
        <v>8</v>
      </c>
      <c r="AH1075">
        <v>6</v>
      </c>
      <c r="AI1075">
        <v>1</v>
      </c>
      <c r="AJ1075">
        <v>7</v>
      </c>
    </row>
    <row r="1076" spans="1:36" x14ac:dyDescent="0.3">
      <c r="A1076">
        <v>33</v>
      </c>
      <c r="B1076" t="s">
        <v>43</v>
      </c>
      <c r="C1076" s="6">
        <f t="shared" si="16"/>
        <v>0</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t="s">
        <v>35</v>
      </c>
      <c r="Y1076">
        <v>17</v>
      </c>
      <c r="Z1076">
        <v>3</v>
      </c>
      <c r="AA1076">
        <v>1</v>
      </c>
      <c r="AB1076">
        <v>80</v>
      </c>
      <c r="AC1076">
        <v>0</v>
      </c>
      <c r="AD1076">
        <v>14</v>
      </c>
      <c r="AE1076">
        <v>6</v>
      </c>
      <c r="AF1076">
        <v>3</v>
      </c>
      <c r="AG1076">
        <v>0</v>
      </c>
      <c r="AH1076">
        <v>0</v>
      </c>
      <c r="AI1076">
        <v>0</v>
      </c>
      <c r="AJ1076">
        <v>0</v>
      </c>
    </row>
    <row r="1077" spans="1:36" x14ac:dyDescent="0.3">
      <c r="A1077">
        <v>32</v>
      </c>
      <c r="B1077" t="s">
        <v>43</v>
      </c>
      <c r="C1077" s="6">
        <f t="shared" si="16"/>
        <v>0</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t="s">
        <v>43</v>
      </c>
      <c r="Y1077">
        <v>25</v>
      </c>
      <c r="Z1077">
        <v>4</v>
      </c>
      <c r="AA1077">
        <v>2</v>
      </c>
      <c r="AB1077">
        <v>80</v>
      </c>
      <c r="AC1077">
        <v>0</v>
      </c>
      <c r="AD1077">
        <v>10</v>
      </c>
      <c r="AE1077">
        <v>5</v>
      </c>
      <c r="AF1077">
        <v>4</v>
      </c>
      <c r="AG1077">
        <v>5</v>
      </c>
      <c r="AH1077">
        <v>2</v>
      </c>
      <c r="AI1077">
        <v>0</v>
      </c>
      <c r="AJ1077">
        <v>0</v>
      </c>
    </row>
    <row r="1078" spans="1:36" x14ac:dyDescent="0.3">
      <c r="A1078">
        <v>54</v>
      </c>
      <c r="B1078" t="s">
        <v>43</v>
      </c>
      <c r="C1078" s="6">
        <f t="shared" si="16"/>
        <v>0</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t="s">
        <v>43</v>
      </c>
      <c r="Y1078">
        <v>20</v>
      </c>
      <c r="Z1078">
        <v>4</v>
      </c>
      <c r="AA1078">
        <v>1</v>
      </c>
      <c r="AB1078">
        <v>80</v>
      </c>
      <c r="AC1078">
        <v>1</v>
      </c>
      <c r="AD1078">
        <v>26</v>
      </c>
      <c r="AE1078">
        <v>2</v>
      </c>
      <c r="AF1078">
        <v>3</v>
      </c>
      <c r="AG1078">
        <v>14</v>
      </c>
      <c r="AH1078">
        <v>9</v>
      </c>
      <c r="AI1078">
        <v>1</v>
      </c>
      <c r="AJ1078">
        <v>12</v>
      </c>
    </row>
    <row r="1079" spans="1:36" x14ac:dyDescent="0.3">
      <c r="A1079">
        <v>29</v>
      </c>
      <c r="B1079" t="s">
        <v>35</v>
      </c>
      <c r="C1079" s="6">
        <f t="shared" si="16"/>
        <v>1</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t="s">
        <v>43</v>
      </c>
      <c r="Y1079">
        <v>13</v>
      </c>
      <c r="Z1079">
        <v>3</v>
      </c>
      <c r="AA1079">
        <v>3</v>
      </c>
      <c r="AB1079">
        <v>80</v>
      </c>
      <c r="AC1079">
        <v>0</v>
      </c>
      <c r="AD1079">
        <v>11</v>
      </c>
      <c r="AE1079">
        <v>2</v>
      </c>
      <c r="AF1079">
        <v>1</v>
      </c>
      <c r="AG1079">
        <v>9</v>
      </c>
      <c r="AH1079">
        <v>7</v>
      </c>
      <c r="AI1079">
        <v>0</v>
      </c>
      <c r="AJ1079">
        <v>7</v>
      </c>
    </row>
    <row r="1080" spans="1:36" x14ac:dyDescent="0.3">
      <c r="A1080">
        <v>44</v>
      </c>
      <c r="B1080" t="s">
        <v>43</v>
      </c>
      <c r="C1080" s="6">
        <f t="shared" si="16"/>
        <v>0</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t="s">
        <v>43</v>
      </c>
      <c r="Y1080">
        <v>13</v>
      </c>
      <c r="Z1080">
        <v>3</v>
      </c>
      <c r="AA1080">
        <v>3</v>
      </c>
      <c r="AB1080">
        <v>80</v>
      </c>
      <c r="AC1080">
        <v>1</v>
      </c>
      <c r="AD1080">
        <v>24</v>
      </c>
      <c r="AE1080">
        <v>1</v>
      </c>
      <c r="AF1080">
        <v>4</v>
      </c>
      <c r="AG1080">
        <v>20</v>
      </c>
      <c r="AH1080">
        <v>6</v>
      </c>
      <c r="AI1080">
        <v>14</v>
      </c>
      <c r="AJ1080">
        <v>17</v>
      </c>
    </row>
    <row r="1081" spans="1:36" x14ac:dyDescent="0.3">
      <c r="A1081">
        <v>39</v>
      </c>
      <c r="B1081" t="s">
        <v>43</v>
      </c>
      <c r="C1081" s="6">
        <f t="shared" si="16"/>
        <v>0</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t="s">
        <v>43</v>
      </c>
      <c r="Y1081">
        <v>18</v>
      </c>
      <c r="Z1081">
        <v>3</v>
      </c>
      <c r="AA1081">
        <v>4</v>
      </c>
      <c r="AB1081">
        <v>80</v>
      </c>
      <c r="AC1081">
        <v>0</v>
      </c>
      <c r="AD1081">
        <v>9</v>
      </c>
      <c r="AE1081">
        <v>3</v>
      </c>
      <c r="AF1081">
        <v>3</v>
      </c>
      <c r="AG1081">
        <v>2</v>
      </c>
      <c r="AH1081">
        <v>0</v>
      </c>
      <c r="AI1081">
        <v>2</v>
      </c>
      <c r="AJ1081">
        <v>2</v>
      </c>
    </row>
    <row r="1082" spans="1:36" x14ac:dyDescent="0.3">
      <c r="A1082">
        <v>46</v>
      </c>
      <c r="B1082" t="s">
        <v>43</v>
      </c>
      <c r="C1082" s="6">
        <f t="shared" si="16"/>
        <v>0</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t="s">
        <v>43</v>
      </c>
      <c r="Y1082">
        <v>12</v>
      </c>
      <c r="Z1082">
        <v>3</v>
      </c>
      <c r="AA1082">
        <v>4</v>
      </c>
      <c r="AB1082">
        <v>80</v>
      </c>
      <c r="AC1082">
        <v>1</v>
      </c>
      <c r="AD1082">
        <v>23</v>
      </c>
      <c r="AE1082">
        <v>2</v>
      </c>
      <c r="AF1082">
        <v>4</v>
      </c>
      <c r="AG1082">
        <v>13</v>
      </c>
      <c r="AH1082">
        <v>12</v>
      </c>
      <c r="AI1082">
        <v>5</v>
      </c>
      <c r="AJ1082">
        <v>1</v>
      </c>
    </row>
    <row r="1083" spans="1:36" x14ac:dyDescent="0.3">
      <c r="A1083">
        <v>35</v>
      </c>
      <c r="B1083" t="s">
        <v>43</v>
      </c>
      <c r="C1083" s="6">
        <f t="shared" si="16"/>
        <v>0</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t="s">
        <v>43</v>
      </c>
      <c r="Y1083">
        <v>19</v>
      </c>
      <c r="Z1083">
        <v>3</v>
      </c>
      <c r="AA1083">
        <v>4</v>
      </c>
      <c r="AB1083">
        <v>80</v>
      </c>
      <c r="AC1083">
        <v>0</v>
      </c>
      <c r="AD1083">
        <v>11</v>
      </c>
      <c r="AE1083">
        <v>3</v>
      </c>
      <c r="AF1083">
        <v>1</v>
      </c>
      <c r="AG1083">
        <v>11</v>
      </c>
      <c r="AH1083">
        <v>8</v>
      </c>
      <c r="AI1083">
        <v>3</v>
      </c>
      <c r="AJ1083">
        <v>3</v>
      </c>
    </row>
    <row r="1084" spans="1:36" x14ac:dyDescent="0.3">
      <c r="A1084">
        <v>23</v>
      </c>
      <c r="B1084" t="s">
        <v>43</v>
      </c>
      <c r="C1084" s="6">
        <f t="shared" si="16"/>
        <v>0</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t="s">
        <v>43</v>
      </c>
      <c r="Y1084">
        <v>14</v>
      </c>
      <c r="Z1084">
        <v>3</v>
      </c>
      <c r="AA1084">
        <v>2</v>
      </c>
      <c r="AB1084">
        <v>80</v>
      </c>
      <c r="AC1084">
        <v>0</v>
      </c>
      <c r="AD1084">
        <v>5</v>
      </c>
      <c r="AE1084">
        <v>2</v>
      </c>
      <c r="AF1084">
        <v>3</v>
      </c>
      <c r="AG1084">
        <v>4</v>
      </c>
      <c r="AH1084">
        <v>3</v>
      </c>
      <c r="AI1084">
        <v>1</v>
      </c>
      <c r="AJ1084">
        <v>2</v>
      </c>
    </row>
    <row r="1085" spans="1:36" x14ac:dyDescent="0.3">
      <c r="A1085">
        <v>40</v>
      </c>
      <c r="B1085" t="s">
        <v>35</v>
      </c>
      <c r="C1085" s="6">
        <f t="shared" si="16"/>
        <v>1</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t="s">
        <v>43</v>
      </c>
      <c r="Y1085">
        <v>14</v>
      </c>
      <c r="Z1085">
        <v>3</v>
      </c>
      <c r="AA1085">
        <v>2</v>
      </c>
      <c r="AB1085">
        <v>80</v>
      </c>
      <c r="AC1085">
        <v>0</v>
      </c>
      <c r="AD1085">
        <v>15</v>
      </c>
      <c r="AE1085">
        <v>3</v>
      </c>
      <c r="AF1085">
        <v>1</v>
      </c>
      <c r="AG1085">
        <v>5</v>
      </c>
      <c r="AH1085">
        <v>4</v>
      </c>
      <c r="AI1085">
        <v>1</v>
      </c>
      <c r="AJ1085">
        <v>0</v>
      </c>
    </row>
    <row r="1086" spans="1:36" x14ac:dyDescent="0.3">
      <c r="A1086">
        <v>34</v>
      </c>
      <c r="B1086" t="s">
        <v>43</v>
      </c>
      <c r="C1086" s="6">
        <f t="shared" si="16"/>
        <v>0</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t="s">
        <v>35</v>
      </c>
      <c r="Y1086">
        <v>14</v>
      </c>
      <c r="Z1086">
        <v>3</v>
      </c>
      <c r="AA1086">
        <v>4</v>
      </c>
      <c r="AB1086">
        <v>80</v>
      </c>
      <c r="AC1086">
        <v>0</v>
      </c>
      <c r="AD1086">
        <v>10</v>
      </c>
      <c r="AE1086">
        <v>3</v>
      </c>
      <c r="AF1086">
        <v>3</v>
      </c>
      <c r="AG1086">
        <v>10</v>
      </c>
      <c r="AH1086">
        <v>9</v>
      </c>
      <c r="AI1086">
        <v>8</v>
      </c>
      <c r="AJ1086">
        <v>6</v>
      </c>
    </row>
    <row r="1087" spans="1:36" x14ac:dyDescent="0.3">
      <c r="A1087">
        <v>31</v>
      </c>
      <c r="B1087" t="s">
        <v>35</v>
      </c>
      <c r="C1087" s="6">
        <f t="shared" si="16"/>
        <v>1</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t="s">
        <v>43</v>
      </c>
      <c r="Y1087">
        <v>12</v>
      </c>
      <c r="Z1087">
        <v>3</v>
      </c>
      <c r="AA1087">
        <v>1</v>
      </c>
      <c r="AB1087">
        <v>80</v>
      </c>
      <c r="AC1087">
        <v>0</v>
      </c>
      <c r="AD1087">
        <v>7</v>
      </c>
      <c r="AE1087">
        <v>2</v>
      </c>
      <c r="AF1087">
        <v>1</v>
      </c>
      <c r="AG1087">
        <v>7</v>
      </c>
      <c r="AH1087">
        <v>2</v>
      </c>
      <c r="AI1087">
        <v>7</v>
      </c>
      <c r="AJ1087">
        <v>7</v>
      </c>
    </row>
    <row r="1088" spans="1:36" x14ac:dyDescent="0.3">
      <c r="A1088">
        <v>50</v>
      </c>
      <c r="B1088" t="s">
        <v>43</v>
      </c>
      <c r="C1088" s="6">
        <f t="shared" si="16"/>
        <v>0</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t="s">
        <v>35</v>
      </c>
      <c r="Y1088">
        <v>13</v>
      </c>
      <c r="Z1088">
        <v>3</v>
      </c>
      <c r="AA1088">
        <v>4</v>
      </c>
      <c r="AB1088">
        <v>80</v>
      </c>
      <c r="AC1088">
        <v>0</v>
      </c>
      <c r="AD1088">
        <v>32</v>
      </c>
      <c r="AE1088">
        <v>2</v>
      </c>
      <c r="AF1088">
        <v>3</v>
      </c>
      <c r="AG1088">
        <v>32</v>
      </c>
      <c r="AH1088">
        <v>6</v>
      </c>
      <c r="AI1088">
        <v>13</v>
      </c>
      <c r="AJ1088">
        <v>9</v>
      </c>
    </row>
    <row r="1089" spans="1:36" x14ac:dyDescent="0.3">
      <c r="A1089">
        <v>34</v>
      </c>
      <c r="B1089" t="s">
        <v>43</v>
      </c>
      <c r="C1089" s="6">
        <f t="shared" si="16"/>
        <v>0</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t="s">
        <v>35</v>
      </c>
      <c r="Y1089">
        <v>25</v>
      </c>
      <c r="Z1089">
        <v>4</v>
      </c>
      <c r="AA1089">
        <v>2</v>
      </c>
      <c r="AB1089">
        <v>80</v>
      </c>
      <c r="AC1089">
        <v>1</v>
      </c>
      <c r="AD1089">
        <v>12</v>
      </c>
      <c r="AE1089">
        <v>4</v>
      </c>
      <c r="AF1089">
        <v>3</v>
      </c>
      <c r="AG1089">
        <v>11</v>
      </c>
      <c r="AH1089">
        <v>10</v>
      </c>
      <c r="AI1089">
        <v>5</v>
      </c>
      <c r="AJ1089">
        <v>7</v>
      </c>
    </row>
    <row r="1090" spans="1:36" x14ac:dyDescent="0.3">
      <c r="A1090">
        <v>42</v>
      </c>
      <c r="B1090" t="s">
        <v>43</v>
      </c>
      <c r="C1090" s="6">
        <f t="shared" si="16"/>
        <v>0</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t="s">
        <v>43</v>
      </c>
      <c r="Y1090">
        <v>14</v>
      </c>
      <c r="Z1090">
        <v>3</v>
      </c>
      <c r="AA1090">
        <v>2</v>
      </c>
      <c r="AB1090">
        <v>80</v>
      </c>
      <c r="AC1090">
        <v>1</v>
      </c>
      <c r="AD1090">
        <v>4</v>
      </c>
      <c r="AE1090">
        <v>3</v>
      </c>
      <c r="AF1090">
        <v>3</v>
      </c>
      <c r="AG1090">
        <v>1</v>
      </c>
      <c r="AH1090">
        <v>0</v>
      </c>
      <c r="AI1090">
        <v>0</v>
      </c>
      <c r="AJ1090">
        <v>0</v>
      </c>
    </row>
    <row r="1091" spans="1:36" x14ac:dyDescent="0.3">
      <c r="A1091">
        <v>37</v>
      </c>
      <c r="B1091" t="s">
        <v>43</v>
      </c>
      <c r="C1091" s="6">
        <f t="shared" ref="C1091:C1154" si="17">IF(B1091="Yes",1,0)</f>
        <v>0</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t="s">
        <v>43</v>
      </c>
      <c r="Y1091">
        <v>17</v>
      </c>
      <c r="Z1091">
        <v>3</v>
      </c>
      <c r="AA1091">
        <v>1</v>
      </c>
      <c r="AB1091">
        <v>80</v>
      </c>
      <c r="AC1091">
        <v>0</v>
      </c>
      <c r="AD1091">
        <v>10</v>
      </c>
      <c r="AE1091">
        <v>2</v>
      </c>
      <c r="AF1091">
        <v>3</v>
      </c>
      <c r="AG1091">
        <v>10</v>
      </c>
      <c r="AH1091">
        <v>8</v>
      </c>
      <c r="AI1091">
        <v>3</v>
      </c>
      <c r="AJ1091">
        <v>7</v>
      </c>
    </row>
    <row r="1092" spans="1:36" x14ac:dyDescent="0.3">
      <c r="A1092">
        <v>29</v>
      </c>
      <c r="B1092" t="s">
        <v>43</v>
      </c>
      <c r="C1092" s="6">
        <f t="shared" si="17"/>
        <v>0</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t="s">
        <v>43</v>
      </c>
      <c r="Y1092">
        <v>13</v>
      </c>
      <c r="Z1092">
        <v>3</v>
      </c>
      <c r="AA1092">
        <v>3</v>
      </c>
      <c r="AB1092">
        <v>80</v>
      </c>
      <c r="AC1092">
        <v>1</v>
      </c>
      <c r="AD1092">
        <v>9</v>
      </c>
      <c r="AE1092">
        <v>3</v>
      </c>
      <c r="AF1092">
        <v>3</v>
      </c>
      <c r="AG1092">
        <v>7</v>
      </c>
      <c r="AH1092">
        <v>7</v>
      </c>
      <c r="AI1092">
        <v>0</v>
      </c>
      <c r="AJ1092">
        <v>7</v>
      </c>
    </row>
    <row r="1093" spans="1:36" x14ac:dyDescent="0.3">
      <c r="A1093">
        <v>33</v>
      </c>
      <c r="B1093" t="s">
        <v>43</v>
      </c>
      <c r="C1093" s="6">
        <f t="shared" si="17"/>
        <v>0</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t="s">
        <v>43</v>
      </c>
      <c r="Y1093">
        <v>13</v>
      </c>
      <c r="Z1093">
        <v>3</v>
      </c>
      <c r="AA1093">
        <v>4</v>
      </c>
      <c r="AB1093">
        <v>80</v>
      </c>
      <c r="AC1093">
        <v>0</v>
      </c>
      <c r="AD1093">
        <v>5</v>
      </c>
      <c r="AE1093">
        <v>2</v>
      </c>
      <c r="AF1093">
        <v>3</v>
      </c>
      <c r="AG1093">
        <v>5</v>
      </c>
      <c r="AH1093">
        <v>3</v>
      </c>
      <c r="AI1093">
        <v>0</v>
      </c>
      <c r="AJ1093">
        <v>2</v>
      </c>
    </row>
    <row r="1094" spans="1:36" x14ac:dyDescent="0.3">
      <c r="A1094">
        <v>45</v>
      </c>
      <c r="B1094" t="s">
        <v>43</v>
      </c>
      <c r="C1094" s="6">
        <f t="shared" si="17"/>
        <v>0</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t="s">
        <v>43</v>
      </c>
      <c r="Y1094">
        <v>20</v>
      </c>
      <c r="Z1094">
        <v>4</v>
      </c>
      <c r="AA1094">
        <v>4</v>
      </c>
      <c r="AB1094">
        <v>80</v>
      </c>
      <c r="AC1094">
        <v>1</v>
      </c>
      <c r="AD1094">
        <v>8</v>
      </c>
      <c r="AE1094">
        <v>3</v>
      </c>
      <c r="AF1094">
        <v>3</v>
      </c>
      <c r="AG1094">
        <v>5</v>
      </c>
      <c r="AH1094">
        <v>4</v>
      </c>
      <c r="AI1094">
        <v>0</v>
      </c>
      <c r="AJ1094">
        <v>3</v>
      </c>
    </row>
    <row r="1095" spans="1:36" x14ac:dyDescent="0.3">
      <c r="A1095">
        <v>42</v>
      </c>
      <c r="B1095" t="s">
        <v>43</v>
      </c>
      <c r="C1095" s="6">
        <f t="shared" si="17"/>
        <v>0</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t="s">
        <v>35</v>
      </c>
      <c r="Y1095">
        <v>14</v>
      </c>
      <c r="Z1095">
        <v>3</v>
      </c>
      <c r="AA1095">
        <v>3</v>
      </c>
      <c r="AB1095">
        <v>80</v>
      </c>
      <c r="AC1095">
        <v>1</v>
      </c>
      <c r="AD1095">
        <v>24</v>
      </c>
      <c r="AE1095">
        <v>3</v>
      </c>
      <c r="AF1095">
        <v>1</v>
      </c>
      <c r="AG1095">
        <v>20</v>
      </c>
      <c r="AH1095">
        <v>8</v>
      </c>
      <c r="AI1095">
        <v>13</v>
      </c>
      <c r="AJ1095">
        <v>9</v>
      </c>
    </row>
    <row r="1096" spans="1:36" x14ac:dyDescent="0.3">
      <c r="A1096">
        <v>40</v>
      </c>
      <c r="B1096" t="s">
        <v>43</v>
      </c>
      <c r="C1096" s="6">
        <f t="shared" si="17"/>
        <v>0</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t="s">
        <v>43</v>
      </c>
      <c r="Y1096">
        <v>12</v>
      </c>
      <c r="Z1096">
        <v>3</v>
      </c>
      <c r="AA1096">
        <v>4</v>
      </c>
      <c r="AB1096">
        <v>80</v>
      </c>
      <c r="AC1096">
        <v>0</v>
      </c>
      <c r="AD1096">
        <v>9</v>
      </c>
      <c r="AE1096">
        <v>5</v>
      </c>
      <c r="AF1096">
        <v>4</v>
      </c>
      <c r="AG1096">
        <v>8</v>
      </c>
      <c r="AH1096">
        <v>4</v>
      </c>
      <c r="AI1096">
        <v>7</v>
      </c>
      <c r="AJ1096">
        <v>1</v>
      </c>
    </row>
    <row r="1097" spans="1:36" x14ac:dyDescent="0.3">
      <c r="A1097">
        <v>33</v>
      </c>
      <c r="B1097" t="s">
        <v>43</v>
      </c>
      <c r="C1097" s="6">
        <f t="shared" si="17"/>
        <v>0</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t="s">
        <v>35</v>
      </c>
      <c r="Y1097">
        <v>12</v>
      </c>
      <c r="Z1097">
        <v>3</v>
      </c>
      <c r="AA1097">
        <v>2</v>
      </c>
      <c r="AB1097">
        <v>80</v>
      </c>
      <c r="AC1097">
        <v>1</v>
      </c>
      <c r="AD1097">
        <v>15</v>
      </c>
      <c r="AE1097">
        <v>3</v>
      </c>
      <c r="AF1097">
        <v>3</v>
      </c>
      <c r="AG1097">
        <v>15</v>
      </c>
      <c r="AH1097">
        <v>14</v>
      </c>
      <c r="AI1097">
        <v>5</v>
      </c>
      <c r="AJ1097">
        <v>7</v>
      </c>
    </row>
    <row r="1098" spans="1:36" x14ac:dyDescent="0.3">
      <c r="A1098">
        <v>40</v>
      </c>
      <c r="B1098" t="s">
        <v>43</v>
      </c>
      <c r="C1098" s="6">
        <f t="shared" si="17"/>
        <v>0</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t="s">
        <v>35</v>
      </c>
      <c r="Y1098">
        <v>21</v>
      </c>
      <c r="Z1098">
        <v>4</v>
      </c>
      <c r="AA1098">
        <v>4</v>
      </c>
      <c r="AB1098">
        <v>80</v>
      </c>
      <c r="AC1098">
        <v>0</v>
      </c>
      <c r="AD1098">
        <v>21</v>
      </c>
      <c r="AE1098">
        <v>2</v>
      </c>
      <c r="AF1098">
        <v>3</v>
      </c>
      <c r="AG1098">
        <v>21</v>
      </c>
      <c r="AH1098">
        <v>7</v>
      </c>
      <c r="AI1098">
        <v>7</v>
      </c>
      <c r="AJ1098">
        <v>7</v>
      </c>
    </row>
    <row r="1099" spans="1:36" x14ac:dyDescent="0.3">
      <c r="A1099">
        <v>24</v>
      </c>
      <c r="B1099" t="s">
        <v>43</v>
      </c>
      <c r="C1099" s="6">
        <f t="shared" si="17"/>
        <v>0</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t="s">
        <v>43</v>
      </c>
      <c r="Y1099">
        <v>14</v>
      </c>
      <c r="Z1099">
        <v>3</v>
      </c>
      <c r="AA1099">
        <v>2</v>
      </c>
      <c r="AB1099">
        <v>80</v>
      </c>
      <c r="AC1099">
        <v>3</v>
      </c>
      <c r="AD1099">
        <v>2</v>
      </c>
      <c r="AE1099">
        <v>3</v>
      </c>
      <c r="AF1099">
        <v>3</v>
      </c>
      <c r="AG1099">
        <v>1</v>
      </c>
      <c r="AH1099">
        <v>1</v>
      </c>
      <c r="AI1099">
        <v>0</v>
      </c>
      <c r="AJ1099">
        <v>0</v>
      </c>
    </row>
    <row r="1100" spans="1:36" x14ac:dyDescent="0.3">
      <c r="A1100">
        <v>40</v>
      </c>
      <c r="B1100" t="s">
        <v>43</v>
      </c>
      <c r="C1100" s="6">
        <f t="shared" si="17"/>
        <v>0</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t="s">
        <v>35</v>
      </c>
      <c r="Y1100">
        <v>18</v>
      </c>
      <c r="Z1100">
        <v>3</v>
      </c>
      <c r="AA1100">
        <v>3</v>
      </c>
      <c r="AB1100">
        <v>80</v>
      </c>
      <c r="AC1100">
        <v>0</v>
      </c>
      <c r="AD1100">
        <v>8</v>
      </c>
      <c r="AE1100">
        <v>2</v>
      </c>
      <c r="AF1100">
        <v>3</v>
      </c>
      <c r="AG1100">
        <v>2</v>
      </c>
      <c r="AH1100">
        <v>2</v>
      </c>
      <c r="AI1100">
        <v>2</v>
      </c>
      <c r="AJ1100">
        <v>2</v>
      </c>
    </row>
    <row r="1101" spans="1:36" x14ac:dyDescent="0.3">
      <c r="A1101">
        <v>45</v>
      </c>
      <c r="B1101" t="s">
        <v>43</v>
      </c>
      <c r="C1101" s="6">
        <f t="shared" si="17"/>
        <v>0</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t="s">
        <v>43</v>
      </c>
      <c r="Y1101">
        <v>12</v>
      </c>
      <c r="Z1101">
        <v>3</v>
      </c>
      <c r="AA1101">
        <v>1</v>
      </c>
      <c r="AB1101">
        <v>80</v>
      </c>
      <c r="AC1101">
        <v>3</v>
      </c>
      <c r="AD1101">
        <v>10</v>
      </c>
      <c r="AE1101">
        <v>4</v>
      </c>
      <c r="AF1101">
        <v>3</v>
      </c>
      <c r="AG1101">
        <v>10</v>
      </c>
      <c r="AH1101">
        <v>8</v>
      </c>
      <c r="AI1101">
        <v>7</v>
      </c>
      <c r="AJ1101">
        <v>7</v>
      </c>
    </row>
    <row r="1102" spans="1:36" x14ac:dyDescent="0.3">
      <c r="A1102">
        <v>35</v>
      </c>
      <c r="B1102" t="s">
        <v>43</v>
      </c>
      <c r="C1102" s="6">
        <f t="shared" si="17"/>
        <v>0</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t="s">
        <v>43</v>
      </c>
      <c r="Y1102">
        <v>23</v>
      </c>
      <c r="Z1102">
        <v>4</v>
      </c>
      <c r="AA1102">
        <v>1</v>
      </c>
      <c r="AB1102">
        <v>80</v>
      </c>
      <c r="AC1102">
        <v>2</v>
      </c>
      <c r="AD1102">
        <v>6</v>
      </c>
      <c r="AE1102">
        <v>5</v>
      </c>
      <c r="AF1102">
        <v>3</v>
      </c>
      <c r="AG1102">
        <v>5</v>
      </c>
      <c r="AH1102">
        <v>3</v>
      </c>
      <c r="AI1102">
        <v>4</v>
      </c>
      <c r="AJ1102">
        <v>2</v>
      </c>
    </row>
    <row r="1103" spans="1:36" x14ac:dyDescent="0.3">
      <c r="A1103">
        <v>32</v>
      </c>
      <c r="B1103" t="s">
        <v>43</v>
      </c>
      <c r="C1103" s="6">
        <f t="shared" si="17"/>
        <v>0</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t="s">
        <v>43</v>
      </c>
      <c r="Y1103">
        <v>12</v>
      </c>
      <c r="Z1103">
        <v>3</v>
      </c>
      <c r="AA1103">
        <v>1</v>
      </c>
      <c r="AB1103">
        <v>80</v>
      </c>
      <c r="AC1103">
        <v>1</v>
      </c>
      <c r="AD1103">
        <v>12</v>
      </c>
      <c r="AE1103">
        <v>2</v>
      </c>
      <c r="AF1103">
        <v>3</v>
      </c>
      <c r="AG1103">
        <v>7</v>
      </c>
      <c r="AH1103">
        <v>1</v>
      </c>
      <c r="AI1103">
        <v>2</v>
      </c>
      <c r="AJ1103">
        <v>5</v>
      </c>
    </row>
    <row r="1104" spans="1:36" x14ac:dyDescent="0.3">
      <c r="A1104">
        <v>36</v>
      </c>
      <c r="B1104" t="s">
        <v>43</v>
      </c>
      <c r="C1104" s="6">
        <f t="shared" si="17"/>
        <v>0</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t="s">
        <v>35</v>
      </c>
      <c r="Y1104">
        <v>21</v>
      </c>
      <c r="Z1104">
        <v>4</v>
      </c>
      <c r="AA1104">
        <v>4</v>
      </c>
      <c r="AB1104">
        <v>80</v>
      </c>
      <c r="AC1104">
        <v>0</v>
      </c>
      <c r="AD1104">
        <v>7</v>
      </c>
      <c r="AE1104">
        <v>3</v>
      </c>
      <c r="AF1104">
        <v>2</v>
      </c>
      <c r="AG1104">
        <v>3</v>
      </c>
      <c r="AH1104">
        <v>2</v>
      </c>
      <c r="AI1104">
        <v>1</v>
      </c>
      <c r="AJ1104">
        <v>2</v>
      </c>
    </row>
    <row r="1105" spans="1:36" x14ac:dyDescent="0.3">
      <c r="A1105">
        <v>48</v>
      </c>
      <c r="B1105" t="s">
        <v>43</v>
      </c>
      <c r="C1105" s="6">
        <f t="shared" si="17"/>
        <v>0</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t="s">
        <v>43</v>
      </c>
      <c r="Y1105">
        <v>14</v>
      </c>
      <c r="Z1105">
        <v>3</v>
      </c>
      <c r="AA1105">
        <v>3</v>
      </c>
      <c r="AB1105">
        <v>80</v>
      </c>
      <c r="AC1105">
        <v>1</v>
      </c>
      <c r="AD1105">
        <v>18</v>
      </c>
      <c r="AE1105">
        <v>2</v>
      </c>
      <c r="AF1105">
        <v>3</v>
      </c>
      <c r="AG1105">
        <v>8</v>
      </c>
      <c r="AH1105">
        <v>7</v>
      </c>
      <c r="AI1105">
        <v>7</v>
      </c>
      <c r="AJ1105">
        <v>7</v>
      </c>
    </row>
    <row r="1106" spans="1:36" x14ac:dyDescent="0.3">
      <c r="A1106">
        <v>29</v>
      </c>
      <c r="B1106" t="s">
        <v>43</v>
      </c>
      <c r="C1106" s="6">
        <f t="shared" si="17"/>
        <v>0</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t="s">
        <v>43</v>
      </c>
      <c r="Y1106">
        <v>18</v>
      </c>
      <c r="Z1106">
        <v>3</v>
      </c>
      <c r="AA1106">
        <v>1</v>
      </c>
      <c r="AB1106">
        <v>80</v>
      </c>
      <c r="AC1106">
        <v>2</v>
      </c>
      <c r="AD1106">
        <v>5</v>
      </c>
      <c r="AE1106">
        <v>2</v>
      </c>
      <c r="AF1106">
        <v>2</v>
      </c>
      <c r="AG1106">
        <v>1</v>
      </c>
      <c r="AH1106">
        <v>0</v>
      </c>
      <c r="AI1106">
        <v>0</v>
      </c>
      <c r="AJ1106">
        <v>0</v>
      </c>
    </row>
    <row r="1107" spans="1:36" x14ac:dyDescent="0.3">
      <c r="A1107">
        <v>33</v>
      </c>
      <c r="B1107" t="s">
        <v>43</v>
      </c>
      <c r="C1107" s="6">
        <f t="shared" si="17"/>
        <v>0</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t="s">
        <v>43</v>
      </c>
      <c r="Y1107">
        <v>13</v>
      </c>
      <c r="Z1107">
        <v>3</v>
      </c>
      <c r="AA1107">
        <v>4</v>
      </c>
      <c r="AB1107">
        <v>80</v>
      </c>
      <c r="AC1107">
        <v>1</v>
      </c>
      <c r="AD1107">
        <v>8</v>
      </c>
      <c r="AE1107">
        <v>6</v>
      </c>
      <c r="AF1107">
        <v>1</v>
      </c>
      <c r="AG1107">
        <v>2</v>
      </c>
      <c r="AH1107">
        <v>2</v>
      </c>
      <c r="AI1107">
        <v>2</v>
      </c>
      <c r="AJ1107">
        <v>2</v>
      </c>
    </row>
    <row r="1108" spans="1:36" x14ac:dyDescent="0.3">
      <c r="A1108">
        <v>30</v>
      </c>
      <c r="B1108" t="s">
        <v>35</v>
      </c>
      <c r="C1108" s="6">
        <f t="shared" si="17"/>
        <v>1</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t="s">
        <v>43</v>
      </c>
      <c r="Y1108">
        <v>11</v>
      </c>
      <c r="Z1108">
        <v>3</v>
      </c>
      <c r="AA1108">
        <v>4</v>
      </c>
      <c r="AB1108">
        <v>80</v>
      </c>
      <c r="AC1108">
        <v>1</v>
      </c>
      <c r="AD1108">
        <v>10</v>
      </c>
      <c r="AE1108">
        <v>4</v>
      </c>
      <c r="AF1108">
        <v>3</v>
      </c>
      <c r="AG1108">
        <v>10</v>
      </c>
      <c r="AH1108">
        <v>8</v>
      </c>
      <c r="AI1108">
        <v>6</v>
      </c>
      <c r="AJ1108">
        <v>7</v>
      </c>
    </row>
    <row r="1109" spans="1:36" x14ac:dyDescent="0.3">
      <c r="A1109">
        <v>38</v>
      </c>
      <c r="B1109" t="s">
        <v>43</v>
      </c>
      <c r="C1109" s="6">
        <f t="shared" si="17"/>
        <v>0</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t="s">
        <v>43</v>
      </c>
      <c r="Y1109">
        <v>11</v>
      </c>
      <c r="Z1109">
        <v>3</v>
      </c>
      <c r="AA1109">
        <v>3</v>
      </c>
      <c r="AB1109">
        <v>80</v>
      </c>
      <c r="AC1109">
        <v>0</v>
      </c>
      <c r="AD1109">
        <v>10</v>
      </c>
      <c r="AE1109">
        <v>2</v>
      </c>
      <c r="AF1109">
        <v>3</v>
      </c>
      <c r="AG1109">
        <v>6</v>
      </c>
      <c r="AH1109">
        <v>3</v>
      </c>
      <c r="AI1109">
        <v>1</v>
      </c>
      <c r="AJ1109">
        <v>2</v>
      </c>
    </row>
    <row r="1110" spans="1:36" x14ac:dyDescent="0.3">
      <c r="A1110">
        <v>35</v>
      </c>
      <c r="B1110" t="s">
        <v>43</v>
      </c>
      <c r="C1110" s="6">
        <f t="shared" si="17"/>
        <v>0</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t="s">
        <v>43</v>
      </c>
      <c r="Y1110">
        <v>19</v>
      </c>
      <c r="Z1110">
        <v>3</v>
      </c>
      <c r="AA1110">
        <v>2</v>
      </c>
      <c r="AB1110">
        <v>80</v>
      </c>
      <c r="AC1110">
        <v>0</v>
      </c>
      <c r="AD1110">
        <v>3</v>
      </c>
      <c r="AE1110">
        <v>3</v>
      </c>
      <c r="AF1110">
        <v>3</v>
      </c>
      <c r="AG1110">
        <v>3</v>
      </c>
      <c r="AH1110">
        <v>0</v>
      </c>
      <c r="AI1110">
        <v>1</v>
      </c>
      <c r="AJ1110">
        <v>2</v>
      </c>
    </row>
    <row r="1111" spans="1:36" x14ac:dyDescent="0.3">
      <c r="A1111">
        <v>30</v>
      </c>
      <c r="B1111" t="s">
        <v>43</v>
      </c>
      <c r="C1111" s="6">
        <f t="shared" si="17"/>
        <v>0</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t="s">
        <v>43</v>
      </c>
      <c r="Y1111">
        <v>12</v>
      </c>
      <c r="Z1111">
        <v>3</v>
      </c>
      <c r="AA1111">
        <v>2</v>
      </c>
      <c r="AB1111">
        <v>80</v>
      </c>
      <c r="AC1111">
        <v>1</v>
      </c>
      <c r="AD1111">
        <v>9</v>
      </c>
      <c r="AE1111">
        <v>3</v>
      </c>
      <c r="AF1111">
        <v>3</v>
      </c>
      <c r="AG1111">
        <v>4</v>
      </c>
      <c r="AH1111">
        <v>2</v>
      </c>
      <c r="AI1111">
        <v>1</v>
      </c>
      <c r="AJ1111">
        <v>3</v>
      </c>
    </row>
    <row r="1112" spans="1:36" x14ac:dyDescent="0.3">
      <c r="A1112">
        <v>35</v>
      </c>
      <c r="B1112" t="s">
        <v>35</v>
      </c>
      <c r="C1112" s="6">
        <f t="shared" si="17"/>
        <v>1</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t="s">
        <v>35</v>
      </c>
      <c r="Y1112">
        <v>12</v>
      </c>
      <c r="Z1112">
        <v>3</v>
      </c>
      <c r="AA1112">
        <v>4</v>
      </c>
      <c r="AB1112">
        <v>80</v>
      </c>
      <c r="AC1112">
        <v>1</v>
      </c>
      <c r="AD1112">
        <v>1</v>
      </c>
      <c r="AE1112">
        <v>2</v>
      </c>
      <c r="AF1112">
        <v>3</v>
      </c>
      <c r="AG1112">
        <v>1</v>
      </c>
      <c r="AH1112">
        <v>0</v>
      </c>
      <c r="AI1112">
        <v>0</v>
      </c>
      <c r="AJ1112">
        <v>0</v>
      </c>
    </row>
    <row r="1113" spans="1:36" x14ac:dyDescent="0.3">
      <c r="A1113">
        <v>53</v>
      </c>
      <c r="B1113" t="s">
        <v>35</v>
      </c>
      <c r="C1113" s="6">
        <f t="shared" si="17"/>
        <v>1</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t="s">
        <v>43</v>
      </c>
      <c r="Y1113">
        <v>16</v>
      </c>
      <c r="Z1113">
        <v>3</v>
      </c>
      <c r="AA1113">
        <v>2</v>
      </c>
      <c r="AB1113">
        <v>80</v>
      </c>
      <c r="AC1113">
        <v>1</v>
      </c>
      <c r="AD1113">
        <v>34</v>
      </c>
      <c r="AE1113">
        <v>4</v>
      </c>
      <c r="AF1113">
        <v>3</v>
      </c>
      <c r="AG1113">
        <v>33</v>
      </c>
      <c r="AH1113">
        <v>7</v>
      </c>
      <c r="AI1113">
        <v>1</v>
      </c>
      <c r="AJ1113">
        <v>9</v>
      </c>
    </row>
    <row r="1114" spans="1:36" x14ac:dyDescent="0.3">
      <c r="A1114">
        <v>38</v>
      </c>
      <c r="B1114" t="s">
        <v>35</v>
      </c>
      <c r="C1114" s="6">
        <f t="shared" si="17"/>
        <v>1</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t="s">
        <v>43</v>
      </c>
      <c r="Y1114">
        <v>11</v>
      </c>
      <c r="Z1114">
        <v>3</v>
      </c>
      <c r="AA1114">
        <v>1</v>
      </c>
      <c r="AB1114">
        <v>80</v>
      </c>
      <c r="AC1114">
        <v>2</v>
      </c>
      <c r="AD1114">
        <v>7</v>
      </c>
      <c r="AE1114">
        <v>2</v>
      </c>
      <c r="AF1114">
        <v>3</v>
      </c>
      <c r="AG1114">
        <v>5</v>
      </c>
      <c r="AH1114">
        <v>2</v>
      </c>
      <c r="AI1114">
        <v>1</v>
      </c>
      <c r="AJ1114">
        <v>4</v>
      </c>
    </row>
    <row r="1115" spans="1:36" x14ac:dyDescent="0.3">
      <c r="A1115">
        <v>32</v>
      </c>
      <c r="B1115" t="s">
        <v>43</v>
      </c>
      <c r="C1115" s="6">
        <f t="shared" si="17"/>
        <v>0</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t="s">
        <v>43</v>
      </c>
      <c r="Y1115">
        <v>14</v>
      </c>
      <c r="Z1115">
        <v>3</v>
      </c>
      <c r="AA1115">
        <v>2</v>
      </c>
      <c r="AB1115">
        <v>80</v>
      </c>
      <c r="AC1115">
        <v>1</v>
      </c>
      <c r="AD1115">
        <v>9</v>
      </c>
      <c r="AE1115">
        <v>3</v>
      </c>
      <c r="AF1115">
        <v>2</v>
      </c>
      <c r="AG1115">
        <v>6</v>
      </c>
      <c r="AH1115">
        <v>5</v>
      </c>
      <c r="AI1115">
        <v>1</v>
      </c>
      <c r="AJ1115">
        <v>2</v>
      </c>
    </row>
    <row r="1116" spans="1:36" x14ac:dyDescent="0.3">
      <c r="A1116">
        <v>48</v>
      </c>
      <c r="B1116" t="s">
        <v>43</v>
      </c>
      <c r="C1116" s="6">
        <f t="shared" si="17"/>
        <v>0</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t="s">
        <v>43</v>
      </c>
      <c r="Y1116">
        <v>12</v>
      </c>
      <c r="Z1116">
        <v>3</v>
      </c>
      <c r="AA1116">
        <v>4</v>
      </c>
      <c r="AB1116">
        <v>80</v>
      </c>
      <c r="AC1116">
        <v>1</v>
      </c>
      <c r="AD1116">
        <v>10</v>
      </c>
      <c r="AE1116">
        <v>3</v>
      </c>
      <c r="AF1116">
        <v>2</v>
      </c>
      <c r="AG1116">
        <v>8</v>
      </c>
      <c r="AH1116">
        <v>2</v>
      </c>
      <c r="AI1116">
        <v>7</v>
      </c>
      <c r="AJ1116">
        <v>6</v>
      </c>
    </row>
    <row r="1117" spans="1:36" x14ac:dyDescent="0.3">
      <c r="A1117">
        <v>34</v>
      </c>
      <c r="B1117" t="s">
        <v>43</v>
      </c>
      <c r="C1117" s="6">
        <f t="shared" si="17"/>
        <v>0</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t="s">
        <v>43</v>
      </c>
      <c r="Y1117">
        <v>13</v>
      </c>
      <c r="Z1117">
        <v>3</v>
      </c>
      <c r="AA1117">
        <v>3</v>
      </c>
      <c r="AB1117">
        <v>80</v>
      </c>
      <c r="AC1117">
        <v>0</v>
      </c>
      <c r="AD1117">
        <v>1</v>
      </c>
      <c r="AE1117">
        <v>4</v>
      </c>
      <c r="AF1117">
        <v>1</v>
      </c>
      <c r="AG1117">
        <v>1</v>
      </c>
      <c r="AH1117">
        <v>0</v>
      </c>
      <c r="AI1117">
        <v>0</v>
      </c>
      <c r="AJ1117">
        <v>0</v>
      </c>
    </row>
    <row r="1118" spans="1:36" x14ac:dyDescent="0.3">
      <c r="A1118">
        <v>55</v>
      </c>
      <c r="B1118" t="s">
        <v>43</v>
      </c>
      <c r="C1118" s="6">
        <f t="shared" si="17"/>
        <v>0</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t="s">
        <v>43</v>
      </c>
      <c r="Y1118">
        <v>21</v>
      </c>
      <c r="Z1118">
        <v>4</v>
      </c>
      <c r="AA1118">
        <v>3</v>
      </c>
      <c r="AB1118">
        <v>80</v>
      </c>
      <c r="AC1118">
        <v>1</v>
      </c>
      <c r="AD1118">
        <v>36</v>
      </c>
      <c r="AE1118">
        <v>3</v>
      </c>
      <c r="AF1118">
        <v>3</v>
      </c>
      <c r="AG1118">
        <v>36</v>
      </c>
      <c r="AH1118">
        <v>6</v>
      </c>
      <c r="AI1118">
        <v>2</v>
      </c>
      <c r="AJ1118">
        <v>13</v>
      </c>
    </row>
    <row r="1119" spans="1:36" x14ac:dyDescent="0.3">
      <c r="A1119">
        <v>34</v>
      </c>
      <c r="B1119" t="s">
        <v>43</v>
      </c>
      <c r="C1119" s="6">
        <f t="shared" si="17"/>
        <v>0</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t="s">
        <v>43</v>
      </c>
      <c r="Y1119">
        <v>17</v>
      </c>
      <c r="Z1119">
        <v>3</v>
      </c>
      <c r="AA1119">
        <v>2</v>
      </c>
      <c r="AB1119">
        <v>80</v>
      </c>
      <c r="AC1119">
        <v>1</v>
      </c>
      <c r="AD1119">
        <v>9</v>
      </c>
      <c r="AE1119">
        <v>3</v>
      </c>
      <c r="AF1119">
        <v>2</v>
      </c>
      <c r="AG1119">
        <v>2</v>
      </c>
      <c r="AH1119">
        <v>2</v>
      </c>
      <c r="AI1119">
        <v>2</v>
      </c>
      <c r="AJ1119">
        <v>1</v>
      </c>
    </row>
    <row r="1120" spans="1:36" x14ac:dyDescent="0.3">
      <c r="A1120">
        <v>26</v>
      </c>
      <c r="B1120" t="s">
        <v>43</v>
      </c>
      <c r="C1120" s="6">
        <f t="shared" si="17"/>
        <v>0</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t="s">
        <v>43</v>
      </c>
      <c r="Y1120">
        <v>21</v>
      </c>
      <c r="Z1120">
        <v>4</v>
      </c>
      <c r="AA1120">
        <v>1</v>
      </c>
      <c r="AB1120">
        <v>80</v>
      </c>
      <c r="AC1120">
        <v>0</v>
      </c>
      <c r="AD1120">
        <v>1</v>
      </c>
      <c r="AE1120">
        <v>5</v>
      </c>
      <c r="AF1120">
        <v>3</v>
      </c>
      <c r="AG1120">
        <v>1</v>
      </c>
      <c r="AH1120">
        <v>0</v>
      </c>
      <c r="AI1120">
        <v>0</v>
      </c>
      <c r="AJ1120">
        <v>0</v>
      </c>
    </row>
    <row r="1121" spans="1:36" x14ac:dyDescent="0.3">
      <c r="A1121">
        <v>38</v>
      </c>
      <c r="B1121" t="s">
        <v>43</v>
      </c>
      <c r="C1121" s="6">
        <f t="shared" si="17"/>
        <v>0</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t="s">
        <v>43</v>
      </c>
      <c r="Y1121">
        <v>11</v>
      </c>
      <c r="Z1121">
        <v>3</v>
      </c>
      <c r="AA1121">
        <v>4</v>
      </c>
      <c r="AB1121">
        <v>80</v>
      </c>
      <c r="AC1121">
        <v>1</v>
      </c>
      <c r="AD1121">
        <v>10</v>
      </c>
      <c r="AE1121">
        <v>3</v>
      </c>
      <c r="AF1121">
        <v>3</v>
      </c>
      <c r="AG1121">
        <v>9</v>
      </c>
      <c r="AH1121">
        <v>8</v>
      </c>
      <c r="AI1121">
        <v>7</v>
      </c>
      <c r="AJ1121">
        <v>7</v>
      </c>
    </row>
    <row r="1122" spans="1:36" x14ac:dyDescent="0.3">
      <c r="A1122">
        <v>38</v>
      </c>
      <c r="B1122" t="s">
        <v>43</v>
      </c>
      <c r="C1122" s="6">
        <f t="shared" si="17"/>
        <v>0</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t="s">
        <v>43</v>
      </c>
      <c r="Y1122">
        <v>12</v>
      </c>
      <c r="Z1122">
        <v>3</v>
      </c>
      <c r="AA1122">
        <v>2</v>
      </c>
      <c r="AB1122">
        <v>80</v>
      </c>
      <c r="AC1122">
        <v>0</v>
      </c>
      <c r="AD1122">
        <v>8</v>
      </c>
      <c r="AE1122">
        <v>5</v>
      </c>
      <c r="AF1122">
        <v>4</v>
      </c>
      <c r="AG1122">
        <v>3</v>
      </c>
      <c r="AH1122">
        <v>2</v>
      </c>
      <c r="AI1122">
        <v>1</v>
      </c>
      <c r="AJ1122">
        <v>2</v>
      </c>
    </row>
    <row r="1123" spans="1:36" x14ac:dyDescent="0.3">
      <c r="A1123">
        <v>36</v>
      </c>
      <c r="B1123" t="s">
        <v>43</v>
      </c>
      <c r="C1123" s="6">
        <f t="shared" si="17"/>
        <v>0</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t="s">
        <v>43</v>
      </c>
      <c r="Y1123">
        <v>13</v>
      </c>
      <c r="Z1123">
        <v>3</v>
      </c>
      <c r="AA1123">
        <v>1</v>
      </c>
      <c r="AB1123">
        <v>80</v>
      </c>
      <c r="AC1123">
        <v>0</v>
      </c>
      <c r="AD1123">
        <v>15</v>
      </c>
      <c r="AE1123">
        <v>5</v>
      </c>
      <c r="AF1123">
        <v>3</v>
      </c>
      <c r="AG1123">
        <v>1</v>
      </c>
      <c r="AH1123">
        <v>0</v>
      </c>
      <c r="AI1123">
        <v>0</v>
      </c>
      <c r="AJ1123">
        <v>0</v>
      </c>
    </row>
    <row r="1124" spans="1:36" x14ac:dyDescent="0.3">
      <c r="A1124">
        <v>29</v>
      </c>
      <c r="B1124" t="s">
        <v>43</v>
      </c>
      <c r="C1124" s="6">
        <f t="shared" si="17"/>
        <v>0</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t="s">
        <v>35</v>
      </c>
      <c r="Y1124">
        <v>18</v>
      </c>
      <c r="Z1124">
        <v>3</v>
      </c>
      <c r="AA1124">
        <v>4</v>
      </c>
      <c r="AB1124">
        <v>80</v>
      </c>
      <c r="AC1124">
        <v>0</v>
      </c>
      <c r="AD1124">
        <v>10</v>
      </c>
      <c r="AE1124">
        <v>3</v>
      </c>
      <c r="AF1124">
        <v>3</v>
      </c>
      <c r="AG1124">
        <v>10</v>
      </c>
      <c r="AH1124">
        <v>9</v>
      </c>
      <c r="AI1124">
        <v>1</v>
      </c>
      <c r="AJ1124">
        <v>5</v>
      </c>
    </row>
    <row r="1125" spans="1:36" x14ac:dyDescent="0.3">
      <c r="A1125">
        <v>35</v>
      </c>
      <c r="B1125" t="s">
        <v>43</v>
      </c>
      <c r="C1125" s="6">
        <f t="shared" si="17"/>
        <v>0</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t="s">
        <v>35</v>
      </c>
      <c r="Y1125">
        <v>16</v>
      </c>
      <c r="Z1125">
        <v>3</v>
      </c>
      <c r="AA1125">
        <v>3</v>
      </c>
      <c r="AB1125">
        <v>80</v>
      </c>
      <c r="AC1125">
        <v>0</v>
      </c>
      <c r="AD1125">
        <v>10</v>
      </c>
      <c r="AE1125">
        <v>4</v>
      </c>
      <c r="AF1125">
        <v>3</v>
      </c>
      <c r="AG1125">
        <v>5</v>
      </c>
      <c r="AH1125">
        <v>2</v>
      </c>
      <c r="AI1125">
        <v>0</v>
      </c>
      <c r="AJ1125">
        <v>4</v>
      </c>
    </row>
    <row r="1126" spans="1:36" x14ac:dyDescent="0.3">
      <c r="A1126">
        <v>39</v>
      </c>
      <c r="B1126" t="s">
        <v>43</v>
      </c>
      <c r="C1126" s="6">
        <f t="shared" si="17"/>
        <v>0</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t="s">
        <v>43</v>
      </c>
      <c r="Y1126">
        <v>11</v>
      </c>
      <c r="Z1126">
        <v>3</v>
      </c>
      <c r="AA1126">
        <v>1</v>
      </c>
      <c r="AB1126">
        <v>80</v>
      </c>
      <c r="AC1126">
        <v>1</v>
      </c>
      <c r="AD1126">
        <v>11</v>
      </c>
      <c r="AE1126">
        <v>3</v>
      </c>
      <c r="AF1126">
        <v>3</v>
      </c>
      <c r="AG1126">
        <v>7</v>
      </c>
      <c r="AH1126">
        <v>6</v>
      </c>
      <c r="AI1126">
        <v>7</v>
      </c>
      <c r="AJ1126">
        <v>6</v>
      </c>
    </row>
    <row r="1127" spans="1:36" x14ac:dyDescent="0.3">
      <c r="A1127">
        <v>29</v>
      </c>
      <c r="B1127" t="s">
        <v>43</v>
      </c>
      <c r="C1127" s="6">
        <f t="shared" si="17"/>
        <v>0</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t="s">
        <v>43</v>
      </c>
      <c r="Y1127">
        <v>19</v>
      </c>
      <c r="Z1127">
        <v>3</v>
      </c>
      <c r="AA1127">
        <v>4</v>
      </c>
      <c r="AB1127">
        <v>80</v>
      </c>
      <c r="AC1127">
        <v>1</v>
      </c>
      <c r="AD1127">
        <v>6</v>
      </c>
      <c r="AE1127">
        <v>0</v>
      </c>
      <c r="AF1127">
        <v>4</v>
      </c>
      <c r="AG1127">
        <v>6</v>
      </c>
      <c r="AH1127">
        <v>4</v>
      </c>
      <c r="AI1127">
        <v>1</v>
      </c>
      <c r="AJ1127">
        <v>3</v>
      </c>
    </row>
    <row r="1128" spans="1:36" x14ac:dyDescent="0.3">
      <c r="A1128">
        <v>50</v>
      </c>
      <c r="B1128" t="s">
        <v>43</v>
      </c>
      <c r="C1128" s="6">
        <f t="shared" si="17"/>
        <v>0</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t="s">
        <v>35</v>
      </c>
      <c r="Y1128">
        <v>16</v>
      </c>
      <c r="Z1128">
        <v>3</v>
      </c>
      <c r="AA1128">
        <v>3</v>
      </c>
      <c r="AB1128">
        <v>80</v>
      </c>
      <c r="AC1128">
        <v>1</v>
      </c>
      <c r="AD1128">
        <v>27</v>
      </c>
      <c r="AE1128">
        <v>2</v>
      </c>
      <c r="AF1128">
        <v>3</v>
      </c>
      <c r="AG1128">
        <v>1</v>
      </c>
      <c r="AH1128">
        <v>0</v>
      </c>
      <c r="AI1128">
        <v>0</v>
      </c>
      <c r="AJ1128">
        <v>0</v>
      </c>
    </row>
    <row r="1129" spans="1:36" x14ac:dyDescent="0.3">
      <c r="A1129">
        <v>23</v>
      </c>
      <c r="B1129" t="s">
        <v>43</v>
      </c>
      <c r="C1129" s="6">
        <f t="shared" si="17"/>
        <v>0</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t="s">
        <v>43</v>
      </c>
      <c r="Y1129">
        <v>16</v>
      </c>
      <c r="Z1129">
        <v>3</v>
      </c>
      <c r="AA1129">
        <v>4</v>
      </c>
      <c r="AB1129">
        <v>80</v>
      </c>
      <c r="AC1129">
        <v>1</v>
      </c>
      <c r="AD1129">
        <v>4</v>
      </c>
      <c r="AE1129">
        <v>2</v>
      </c>
      <c r="AF1129">
        <v>3</v>
      </c>
      <c r="AG1129">
        <v>2</v>
      </c>
      <c r="AH1129">
        <v>2</v>
      </c>
      <c r="AI1129">
        <v>2</v>
      </c>
      <c r="AJ1129">
        <v>2</v>
      </c>
    </row>
    <row r="1130" spans="1:36" x14ac:dyDescent="0.3">
      <c r="A1130">
        <v>36</v>
      </c>
      <c r="B1130" t="s">
        <v>43</v>
      </c>
      <c r="C1130" s="6">
        <f t="shared" si="17"/>
        <v>0</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t="s">
        <v>35</v>
      </c>
      <c r="Y1130">
        <v>13</v>
      </c>
      <c r="Z1130">
        <v>3</v>
      </c>
      <c r="AA1130">
        <v>4</v>
      </c>
      <c r="AB1130">
        <v>80</v>
      </c>
      <c r="AC1130">
        <v>1</v>
      </c>
      <c r="AD1130">
        <v>9</v>
      </c>
      <c r="AE1130">
        <v>3</v>
      </c>
      <c r="AF1130">
        <v>3</v>
      </c>
      <c r="AG1130">
        <v>3</v>
      </c>
      <c r="AH1130">
        <v>2</v>
      </c>
      <c r="AI1130">
        <v>0</v>
      </c>
      <c r="AJ1130">
        <v>2</v>
      </c>
    </row>
    <row r="1131" spans="1:36" x14ac:dyDescent="0.3">
      <c r="A1131">
        <v>42</v>
      </c>
      <c r="B1131" t="s">
        <v>43</v>
      </c>
      <c r="C1131" s="6">
        <f t="shared" si="17"/>
        <v>0</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t="s">
        <v>43</v>
      </c>
      <c r="Y1131">
        <v>22</v>
      </c>
      <c r="Z1131">
        <v>4</v>
      </c>
      <c r="AA1131">
        <v>4</v>
      </c>
      <c r="AB1131">
        <v>80</v>
      </c>
      <c r="AC1131">
        <v>0</v>
      </c>
      <c r="AD1131">
        <v>24</v>
      </c>
      <c r="AE1131">
        <v>2</v>
      </c>
      <c r="AF1131">
        <v>3</v>
      </c>
      <c r="AG1131">
        <v>1</v>
      </c>
      <c r="AH1131">
        <v>0</v>
      </c>
      <c r="AI1131">
        <v>0</v>
      </c>
      <c r="AJ1131">
        <v>1</v>
      </c>
    </row>
    <row r="1132" spans="1:36" x14ac:dyDescent="0.3">
      <c r="A1132">
        <v>35</v>
      </c>
      <c r="B1132" t="s">
        <v>43</v>
      </c>
      <c r="C1132" s="6">
        <f t="shared" si="17"/>
        <v>0</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t="s">
        <v>43</v>
      </c>
      <c r="Y1132">
        <v>17</v>
      </c>
      <c r="Z1132">
        <v>3</v>
      </c>
      <c r="AA1132">
        <v>4</v>
      </c>
      <c r="AB1132">
        <v>80</v>
      </c>
      <c r="AC1132">
        <v>2</v>
      </c>
      <c r="AD1132">
        <v>10</v>
      </c>
      <c r="AE1132">
        <v>3</v>
      </c>
      <c r="AF1132">
        <v>2</v>
      </c>
      <c r="AG1132">
        <v>10</v>
      </c>
      <c r="AH1132">
        <v>9</v>
      </c>
      <c r="AI1132">
        <v>6</v>
      </c>
      <c r="AJ1132">
        <v>8</v>
      </c>
    </row>
    <row r="1133" spans="1:36" x14ac:dyDescent="0.3">
      <c r="A1133">
        <v>34</v>
      </c>
      <c r="B1133" t="s">
        <v>43</v>
      </c>
      <c r="C1133" s="6">
        <f t="shared" si="17"/>
        <v>0</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t="s">
        <v>43</v>
      </c>
      <c r="Y1133">
        <v>14</v>
      </c>
      <c r="Z1133">
        <v>3</v>
      </c>
      <c r="AA1133">
        <v>2</v>
      </c>
      <c r="AB1133">
        <v>80</v>
      </c>
      <c r="AC1133">
        <v>1</v>
      </c>
      <c r="AD1133">
        <v>8</v>
      </c>
      <c r="AE1133">
        <v>3</v>
      </c>
      <c r="AF1133">
        <v>2</v>
      </c>
      <c r="AG1133">
        <v>8</v>
      </c>
      <c r="AH1133">
        <v>2</v>
      </c>
      <c r="AI1133">
        <v>7</v>
      </c>
      <c r="AJ1133">
        <v>7</v>
      </c>
    </row>
    <row r="1134" spans="1:36" x14ac:dyDescent="0.3">
      <c r="A1134">
        <v>40</v>
      </c>
      <c r="B1134" t="s">
        <v>43</v>
      </c>
      <c r="C1134" s="6">
        <f t="shared" si="17"/>
        <v>0</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t="s">
        <v>43</v>
      </c>
      <c r="Y1134">
        <v>15</v>
      </c>
      <c r="Z1134">
        <v>3</v>
      </c>
      <c r="AA1134">
        <v>3</v>
      </c>
      <c r="AB1134">
        <v>80</v>
      </c>
      <c r="AC1134">
        <v>1</v>
      </c>
      <c r="AD1134">
        <v>5</v>
      </c>
      <c r="AE1134">
        <v>2</v>
      </c>
      <c r="AF1134">
        <v>3</v>
      </c>
      <c r="AG1134">
        <v>5</v>
      </c>
      <c r="AH1134">
        <v>4</v>
      </c>
      <c r="AI1134">
        <v>1</v>
      </c>
      <c r="AJ1134">
        <v>2</v>
      </c>
    </row>
    <row r="1135" spans="1:36" x14ac:dyDescent="0.3">
      <c r="A1135">
        <v>43</v>
      </c>
      <c r="B1135" t="s">
        <v>43</v>
      </c>
      <c r="C1135" s="6">
        <f t="shared" si="17"/>
        <v>0</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t="s">
        <v>43</v>
      </c>
      <c r="Y1135">
        <v>12</v>
      </c>
      <c r="Z1135">
        <v>3</v>
      </c>
      <c r="AA1135">
        <v>3</v>
      </c>
      <c r="AB1135">
        <v>80</v>
      </c>
      <c r="AC1135">
        <v>1</v>
      </c>
      <c r="AD1135">
        <v>8</v>
      </c>
      <c r="AE1135">
        <v>0</v>
      </c>
      <c r="AF1135">
        <v>3</v>
      </c>
      <c r="AG1135">
        <v>6</v>
      </c>
      <c r="AH1135">
        <v>4</v>
      </c>
      <c r="AI1135">
        <v>0</v>
      </c>
      <c r="AJ1135">
        <v>2</v>
      </c>
    </row>
    <row r="1136" spans="1:36" x14ac:dyDescent="0.3">
      <c r="A1136">
        <v>35</v>
      </c>
      <c r="B1136" t="s">
        <v>43</v>
      </c>
      <c r="C1136" s="6">
        <f t="shared" si="17"/>
        <v>0</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t="s">
        <v>43</v>
      </c>
      <c r="Y1136">
        <v>18</v>
      </c>
      <c r="Z1136">
        <v>3</v>
      </c>
      <c r="AA1136">
        <v>4</v>
      </c>
      <c r="AB1136">
        <v>80</v>
      </c>
      <c r="AC1136">
        <v>1</v>
      </c>
      <c r="AD1136">
        <v>1</v>
      </c>
      <c r="AE1136">
        <v>5</v>
      </c>
      <c r="AF1136">
        <v>2</v>
      </c>
      <c r="AG1136">
        <v>1</v>
      </c>
      <c r="AH1136">
        <v>0</v>
      </c>
      <c r="AI1136">
        <v>0</v>
      </c>
      <c r="AJ1136">
        <v>1</v>
      </c>
    </row>
    <row r="1137" spans="1:36" x14ac:dyDescent="0.3">
      <c r="A1137">
        <v>46</v>
      </c>
      <c r="B1137" t="s">
        <v>43</v>
      </c>
      <c r="C1137" s="6">
        <f t="shared" si="17"/>
        <v>0</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t="s">
        <v>43</v>
      </c>
      <c r="Y1137">
        <v>15</v>
      </c>
      <c r="Z1137">
        <v>3</v>
      </c>
      <c r="AA1137">
        <v>2</v>
      </c>
      <c r="AB1137">
        <v>80</v>
      </c>
      <c r="AC1137">
        <v>0</v>
      </c>
      <c r="AD1137">
        <v>27</v>
      </c>
      <c r="AE1137">
        <v>5</v>
      </c>
      <c r="AF1137">
        <v>1</v>
      </c>
      <c r="AG1137">
        <v>26</v>
      </c>
      <c r="AH1137">
        <v>0</v>
      </c>
      <c r="AI1137">
        <v>0</v>
      </c>
      <c r="AJ1137">
        <v>12</v>
      </c>
    </row>
    <row r="1138" spans="1:36" x14ac:dyDescent="0.3">
      <c r="A1138">
        <v>28</v>
      </c>
      <c r="B1138" t="s">
        <v>35</v>
      </c>
      <c r="C1138" s="6">
        <f t="shared" si="17"/>
        <v>1</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t="s">
        <v>35</v>
      </c>
      <c r="Y1138">
        <v>17</v>
      </c>
      <c r="Z1138">
        <v>3</v>
      </c>
      <c r="AA1138">
        <v>3</v>
      </c>
      <c r="AB1138">
        <v>80</v>
      </c>
      <c r="AC1138">
        <v>3</v>
      </c>
      <c r="AD1138">
        <v>1</v>
      </c>
      <c r="AE1138">
        <v>3</v>
      </c>
      <c r="AF1138">
        <v>3</v>
      </c>
      <c r="AG1138">
        <v>1</v>
      </c>
      <c r="AH1138">
        <v>1</v>
      </c>
      <c r="AI1138">
        <v>0</v>
      </c>
      <c r="AJ1138">
        <v>0</v>
      </c>
    </row>
    <row r="1139" spans="1:36" x14ac:dyDescent="0.3">
      <c r="A1139">
        <v>22</v>
      </c>
      <c r="B1139" t="s">
        <v>43</v>
      </c>
      <c r="C1139" s="6">
        <f t="shared" si="17"/>
        <v>0</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t="s">
        <v>35</v>
      </c>
      <c r="Y1139">
        <v>14</v>
      </c>
      <c r="Z1139">
        <v>3</v>
      </c>
      <c r="AA1139">
        <v>2</v>
      </c>
      <c r="AB1139">
        <v>80</v>
      </c>
      <c r="AC1139">
        <v>0</v>
      </c>
      <c r="AD1139">
        <v>4</v>
      </c>
      <c r="AE1139">
        <v>2</v>
      </c>
      <c r="AF1139">
        <v>2</v>
      </c>
      <c r="AG1139">
        <v>4</v>
      </c>
      <c r="AH1139">
        <v>2</v>
      </c>
      <c r="AI1139">
        <v>1</v>
      </c>
      <c r="AJ1139">
        <v>3</v>
      </c>
    </row>
    <row r="1140" spans="1:36" x14ac:dyDescent="0.3">
      <c r="A1140">
        <v>50</v>
      </c>
      <c r="B1140" t="s">
        <v>43</v>
      </c>
      <c r="C1140" s="6">
        <f t="shared" si="17"/>
        <v>0</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t="s">
        <v>35</v>
      </c>
      <c r="Y1140">
        <v>15</v>
      </c>
      <c r="Z1140">
        <v>3</v>
      </c>
      <c r="AA1140">
        <v>3</v>
      </c>
      <c r="AB1140">
        <v>80</v>
      </c>
      <c r="AC1140">
        <v>1</v>
      </c>
      <c r="AD1140">
        <v>32</v>
      </c>
      <c r="AE1140">
        <v>3</v>
      </c>
      <c r="AF1140">
        <v>3</v>
      </c>
      <c r="AG1140">
        <v>30</v>
      </c>
      <c r="AH1140">
        <v>8</v>
      </c>
      <c r="AI1140">
        <v>12</v>
      </c>
      <c r="AJ1140">
        <v>13</v>
      </c>
    </row>
    <row r="1141" spans="1:36" x14ac:dyDescent="0.3">
      <c r="A1141">
        <v>32</v>
      </c>
      <c r="B1141" t="s">
        <v>43</v>
      </c>
      <c r="C1141" s="6">
        <f t="shared" si="17"/>
        <v>0</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t="s">
        <v>43</v>
      </c>
      <c r="Y1141">
        <v>17</v>
      </c>
      <c r="Z1141">
        <v>3</v>
      </c>
      <c r="AA1141">
        <v>4</v>
      </c>
      <c r="AB1141">
        <v>80</v>
      </c>
      <c r="AC1141">
        <v>2</v>
      </c>
      <c r="AD1141">
        <v>6</v>
      </c>
      <c r="AE1141">
        <v>3</v>
      </c>
      <c r="AF1141">
        <v>3</v>
      </c>
      <c r="AG1141">
        <v>3</v>
      </c>
      <c r="AH1141">
        <v>2</v>
      </c>
      <c r="AI1141">
        <v>0</v>
      </c>
      <c r="AJ1141">
        <v>2</v>
      </c>
    </row>
    <row r="1142" spans="1:36" x14ac:dyDescent="0.3">
      <c r="A1142">
        <v>44</v>
      </c>
      <c r="B1142" t="s">
        <v>43</v>
      </c>
      <c r="C1142" s="6">
        <f t="shared" si="17"/>
        <v>0</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t="s">
        <v>35</v>
      </c>
      <c r="Y1142">
        <v>14</v>
      </c>
      <c r="Z1142">
        <v>3</v>
      </c>
      <c r="AA1142">
        <v>4</v>
      </c>
      <c r="AB1142">
        <v>80</v>
      </c>
      <c r="AC1142">
        <v>1</v>
      </c>
      <c r="AD1142">
        <v>23</v>
      </c>
      <c r="AE1142">
        <v>4</v>
      </c>
      <c r="AF1142">
        <v>2</v>
      </c>
      <c r="AG1142">
        <v>22</v>
      </c>
      <c r="AH1142">
        <v>7</v>
      </c>
      <c r="AI1142">
        <v>1</v>
      </c>
      <c r="AJ1142">
        <v>10</v>
      </c>
    </row>
    <row r="1143" spans="1:36" x14ac:dyDescent="0.3">
      <c r="A1143">
        <v>30</v>
      </c>
      <c r="B1143" t="s">
        <v>43</v>
      </c>
      <c r="C1143" s="6">
        <f t="shared" si="17"/>
        <v>0</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t="s">
        <v>43</v>
      </c>
      <c r="Y1143">
        <v>12</v>
      </c>
      <c r="Z1143">
        <v>3</v>
      </c>
      <c r="AA1143">
        <v>2</v>
      </c>
      <c r="AB1143">
        <v>80</v>
      </c>
      <c r="AC1143">
        <v>1</v>
      </c>
      <c r="AD1143">
        <v>6</v>
      </c>
      <c r="AE1143">
        <v>3</v>
      </c>
      <c r="AF1143">
        <v>2</v>
      </c>
      <c r="AG1143">
        <v>6</v>
      </c>
      <c r="AH1143">
        <v>4</v>
      </c>
      <c r="AI1143">
        <v>1</v>
      </c>
      <c r="AJ1143">
        <v>1</v>
      </c>
    </row>
    <row r="1144" spans="1:36" x14ac:dyDescent="0.3">
      <c r="A1144">
        <v>45</v>
      </c>
      <c r="B1144" t="s">
        <v>43</v>
      </c>
      <c r="C1144" s="6">
        <f t="shared" si="17"/>
        <v>0</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t="s">
        <v>35</v>
      </c>
      <c r="Y1144">
        <v>14</v>
      </c>
      <c r="Z1144">
        <v>3</v>
      </c>
      <c r="AA1144">
        <v>1</v>
      </c>
      <c r="AB1144">
        <v>80</v>
      </c>
      <c r="AC1144">
        <v>0</v>
      </c>
      <c r="AD1144">
        <v>10</v>
      </c>
      <c r="AE1144">
        <v>3</v>
      </c>
      <c r="AF1144">
        <v>3</v>
      </c>
      <c r="AG1144">
        <v>10</v>
      </c>
      <c r="AH1144">
        <v>7</v>
      </c>
      <c r="AI1144">
        <v>1</v>
      </c>
      <c r="AJ1144">
        <v>4</v>
      </c>
    </row>
    <row r="1145" spans="1:36" x14ac:dyDescent="0.3">
      <c r="A1145">
        <v>45</v>
      </c>
      <c r="B1145" t="s">
        <v>43</v>
      </c>
      <c r="C1145" s="6">
        <f t="shared" si="17"/>
        <v>0</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t="s">
        <v>43</v>
      </c>
      <c r="Y1145">
        <v>15</v>
      </c>
      <c r="Z1145">
        <v>3</v>
      </c>
      <c r="AA1145">
        <v>1</v>
      </c>
      <c r="AB1145">
        <v>80</v>
      </c>
      <c r="AC1145">
        <v>1</v>
      </c>
      <c r="AD1145">
        <v>10</v>
      </c>
      <c r="AE1145">
        <v>2</v>
      </c>
      <c r="AF1145">
        <v>3</v>
      </c>
      <c r="AG1145">
        <v>10</v>
      </c>
      <c r="AH1145">
        <v>7</v>
      </c>
      <c r="AI1145">
        <v>4</v>
      </c>
      <c r="AJ1145">
        <v>5</v>
      </c>
    </row>
    <row r="1146" spans="1:36" x14ac:dyDescent="0.3">
      <c r="A1146">
        <v>31</v>
      </c>
      <c r="B1146" t="s">
        <v>43</v>
      </c>
      <c r="C1146" s="6">
        <f t="shared" si="17"/>
        <v>0</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t="s">
        <v>43</v>
      </c>
      <c r="Y1146">
        <v>13</v>
      </c>
      <c r="Z1146">
        <v>3</v>
      </c>
      <c r="AA1146">
        <v>4</v>
      </c>
      <c r="AB1146">
        <v>80</v>
      </c>
      <c r="AC1146">
        <v>0</v>
      </c>
      <c r="AD1146">
        <v>10</v>
      </c>
      <c r="AE1146">
        <v>3</v>
      </c>
      <c r="AF1146">
        <v>3</v>
      </c>
      <c r="AG1146">
        <v>5</v>
      </c>
      <c r="AH1146">
        <v>2</v>
      </c>
      <c r="AI1146">
        <v>0</v>
      </c>
      <c r="AJ1146">
        <v>3</v>
      </c>
    </row>
    <row r="1147" spans="1:36" x14ac:dyDescent="0.3">
      <c r="A1147">
        <v>36</v>
      </c>
      <c r="B1147" t="s">
        <v>43</v>
      </c>
      <c r="C1147" s="6">
        <f t="shared" si="17"/>
        <v>0</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t="s">
        <v>35</v>
      </c>
      <c r="Y1147">
        <v>12</v>
      </c>
      <c r="Z1147">
        <v>3</v>
      </c>
      <c r="AA1147">
        <v>2</v>
      </c>
      <c r="AB1147">
        <v>80</v>
      </c>
      <c r="AC1147">
        <v>2</v>
      </c>
      <c r="AD1147">
        <v>7</v>
      </c>
      <c r="AE1147">
        <v>2</v>
      </c>
      <c r="AF1147">
        <v>3</v>
      </c>
      <c r="AG1147">
        <v>3</v>
      </c>
      <c r="AH1147">
        <v>2</v>
      </c>
      <c r="AI1147">
        <v>1</v>
      </c>
      <c r="AJ1147">
        <v>1</v>
      </c>
    </row>
    <row r="1148" spans="1:36" x14ac:dyDescent="0.3">
      <c r="A1148">
        <v>34</v>
      </c>
      <c r="B1148" t="s">
        <v>43</v>
      </c>
      <c r="C1148" s="6">
        <f t="shared" si="17"/>
        <v>0</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t="s">
        <v>43</v>
      </c>
      <c r="Y1148">
        <v>13</v>
      </c>
      <c r="Z1148">
        <v>3</v>
      </c>
      <c r="AA1148">
        <v>1</v>
      </c>
      <c r="AB1148">
        <v>80</v>
      </c>
      <c r="AC1148">
        <v>1</v>
      </c>
      <c r="AD1148">
        <v>9</v>
      </c>
      <c r="AE1148">
        <v>3</v>
      </c>
      <c r="AF1148">
        <v>3</v>
      </c>
      <c r="AG1148">
        <v>9</v>
      </c>
      <c r="AH1148">
        <v>7</v>
      </c>
      <c r="AI1148">
        <v>7</v>
      </c>
      <c r="AJ1148">
        <v>2</v>
      </c>
    </row>
    <row r="1149" spans="1:36" x14ac:dyDescent="0.3">
      <c r="A1149">
        <v>49</v>
      </c>
      <c r="B1149" t="s">
        <v>43</v>
      </c>
      <c r="C1149" s="6">
        <f t="shared" si="17"/>
        <v>0</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t="s">
        <v>43</v>
      </c>
      <c r="Y1149">
        <v>14</v>
      </c>
      <c r="Z1149">
        <v>3</v>
      </c>
      <c r="AA1149">
        <v>4</v>
      </c>
      <c r="AB1149">
        <v>80</v>
      </c>
      <c r="AC1149">
        <v>1</v>
      </c>
      <c r="AD1149">
        <v>10</v>
      </c>
      <c r="AE1149">
        <v>3</v>
      </c>
      <c r="AF1149">
        <v>2</v>
      </c>
      <c r="AG1149">
        <v>9</v>
      </c>
      <c r="AH1149">
        <v>6</v>
      </c>
      <c r="AI1149">
        <v>1</v>
      </c>
      <c r="AJ1149">
        <v>4</v>
      </c>
    </row>
    <row r="1150" spans="1:36" x14ac:dyDescent="0.3">
      <c r="A1150">
        <v>39</v>
      </c>
      <c r="B1150" t="s">
        <v>43</v>
      </c>
      <c r="C1150" s="6">
        <f t="shared" si="17"/>
        <v>0</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t="s">
        <v>43</v>
      </c>
      <c r="Y1150">
        <v>13</v>
      </c>
      <c r="Z1150">
        <v>3</v>
      </c>
      <c r="AA1150">
        <v>4</v>
      </c>
      <c r="AB1150">
        <v>80</v>
      </c>
      <c r="AC1150">
        <v>3</v>
      </c>
      <c r="AD1150">
        <v>10</v>
      </c>
      <c r="AE1150">
        <v>3</v>
      </c>
      <c r="AF1150">
        <v>3</v>
      </c>
      <c r="AG1150">
        <v>7</v>
      </c>
      <c r="AH1150">
        <v>7</v>
      </c>
      <c r="AI1150">
        <v>7</v>
      </c>
      <c r="AJ1150">
        <v>7</v>
      </c>
    </row>
    <row r="1151" spans="1:36" x14ac:dyDescent="0.3">
      <c r="A1151">
        <v>27</v>
      </c>
      <c r="B1151" t="s">
        <v>43</v>
      </c>
      <c r="C1151" s="6">
        <f t="shared" si="17"/>
        <v>0</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t="s">
        <v>43</v>
      </c>
      <c r="Y1151">
        <v>11</v>
      </c>
      <c r="Z1151">
        <v>3</v>
      </c>
      <c r="AA1151">
        <v>1</v>
      </c>
      <c r="AB1151">
        <v>80</v>
      </c>
      <c r="AC1151">
        <v>2</v>
      </c>
      <c r="AD1151">
        <v>7</v>
      </c>
      <c r="AE1151">
        <v>3</v>
      </c>
      <c r="AF1151">
        <v>3</v>
      </c>
      <c r="AG1151">
        <v>7</v>
      </c>
      <c r="AH1151">
        <v>7</v>
      </c>
      <c r="AI1151">
        <v>0</v>
      </c>
      <c r="AJ1151">
        <v>7</v>
      </c>
    </row>
    <row r="1152" spans="1:36" x14ac:dyDescent="0.3">
      <c r="A1152">
        <v>35</v>
      </c>
      <c r="B1152" t="s">
        <v>43</v>
      </c>
      <c r="C1152" s="6">
        <f t="shared" si="17"/>
        <v>0</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t="s">
        <v>43</v>
      </c>
      <c r="Y1152">
        <v>11</v>
      </c>
      <c r="Z1152">
        <v>3</v>
      </c>
      <c r="AA1152">
        <v>4</v>
      </c>
      <c r="AB1152">
        <v>80</v>
      </c>
      <c r="AC1152">
        <v>0</v>
      </c>
      <c r="AD1152">
        <v>16</v>
      </c>
      <c r="AE1152">
        <v>2</v>
      </c>
      <c r="AF1152">
        <v>3</v>
      </c>
      <c r="AG1152">
        <v>16</v>
      </c>
      <c r="AH1152">
        <v>15</v>
      </c>
      <c r="AI1152">
        <v>1</v>
      </c>
      <c r="AJ1152">
        <v>10</v>
      </c>
    </row>
    <row r="1153" spans="1:36" x14ac:dyDescent="0.3">
      <c r="A1153">
        <v>28</v>
      </c>
      <c r="B1153" t="s">
        <v>43</v>
      </c>
      <c r="C1153" s="6">
        <f t="shared" si="17"/>
        <v>0</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t="s">
        <v>43</v>
      </c>
      <c r="Y1153">
        <v>21</v>
      </c>
      <c r="Z1153">
        <v>4</v>
      </c>
      <c r="AA1153">
        <v>2</v>
      </c>
      <c r="AB1153">
        <v>80</v>
      </c>
      <c r="AC1153">
        <v>1</v>
      </c>
      <c r="AD1153">
        <v>6</v>
      </c>
      <c r="AE1153">
        <v>5</v>
      </c>
      <c r="AF1153">
        <v>2</v>
      </c>
      <c r="AG1153">
        <v>5</v>
      </c>
      <c r="AH1153">
        <v>3</v>
      </c>
      <c r="AI1153">
        <v>0</v>
      </c>
      <c r="AJ1153">
        <v>0</v>
      </c>
    </row>
    <row r="1154" spans="1:36" x14ac:dyDescent="0.3">
      <c r="A1154">
        <v>21</v>
      </c>
      <c r="B1154" t="s">
        <v>43</v>
      </c>
      <c r="C1154" s="6">
        <f t="shared" si="17"/>
        <v>0</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t="s">
        <v>43</v>
      </c>
      <c r="Y1154">
        <v>18</v>
      </c>
      <c r="Z1154">
        <v>3</v>
      </c>
      <c r="AA1154">
        <v>3</v>
      </c>
      <c r="AB1154">
        <v>80</v>
      </c>
      <c r="AC1154">
        <v>0</v>
      </c>
      <c r="AD1154">
        <v>3</v>
      </c>
      <c r="AE1154">
        <v>2</v>
      </c>
      <c r="AF1154">
        <v>3</v>
      </c>
      <c r="AG1154">
        <v>2</v>
      </c>
      <c r="AH1154">
        <v>2</v>
      </c>
      <c r="AI1154">
        <v>2</v>
      </c>
      <c r="AJ1154">
        <v>2</v>
      </c>
    </row>
    <row r="1155" spans="1:36" x14ac:dyDescent="0.3">
      <c r="A1155">
        <v>18</v>
      </c>
      <c r="B1155" t="s">
        <v>35</v>
      </c>
      <c r="C1155" s="6">
        <f t="shared" ref="C1155:C1218" si="18">IF(B1155="Yes",1,0)</f>
        <v>1</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t="s">
        <v>35</v>
      </c>
      <c r="Y1155">
        <v>12</v>
      </c>
      <c r="Z1155">
        <v>3</v>
      </c>
      <c r="AA1155">
        <v>3</v>
      </c>
      <c r="AB1155">
        <v>80</v>
      </c>
      <c r="AC1155">
        <v>0</v>
      </c>
      <c r="AD1155">
        <v>0</v>
      </c>
      <c r="AE1155">
        <v>2</v>
      </c>
      <c r="AF1155">
        <v>4</v>
      </c>
      <c r="AG1155">
        <v>0</v>
      </c>
      <c r="AH1155">
        <v>0</v>
      </c>
      <c r="AI1155">
        <v>0</v>
      </c>
      <c r="AJ1155">
        <v>0</v>
      </c>
    </row>
    <row r="1156" spans="1:36" x14ac:dyDescent="0.3">
      <c r="A1156">
        <v>47</v>
      </c>
      <c r="B1156" t="s">
        <v>43</v>
      </c>
      <c r="C1156" s="6">
        <f t="shared" si="18"/>
        <v>0</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t="s">
        <v>43</v>
      </c>
      <c r="Y1156">
        <v>11</v>
      </c>
      <c r="Z1156">
        <v>3</v>
      </c>
      <c r="AA1156">
        <v>3</v>
      </c>
      <c r="AB1156">
        <v>80</v>
      </c>
      <c r="AC1156">
        <v>1</v>
      </c>
      <c r="AD1156">
        <v>27</v>
      </c>
      <c r="AE1156">
        <v>2</v>
      </c>
      <c r="AF1156">
        <v>3</v>
      </c>
      <c r="AG1156">
        <v>5</v>
      </c>
      <c r="AH1156">
        <v>2</v>
      </c>
      <c r="AI1156">
        <v>1</v>
      </c>
      <c r="AJ1156">
        <v>0</v>
      </c>
    </row>
    <row r="1157" spans="1:36" x14ac:dyDescent="0.3">
      <c r="A1157">
        <v>39</v>
      </c>
      <c r="B1157" t="s">
        <v>43</v>
      </c>
      <c r="C1157" s="6">
        <f t="shared" si="18"/>
        <v>0</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t="s">
        <v>43</v>
      </c>
      <c r="Y1157">
        <v>15</v>
      </c>
      <c r="Z1157">
        <v>3</v>
      </c>
      <c r="AA1157">
        <v>4</v>
      </c>
      <c r="AB1157">
        <v>80</v>
      </c>
      <c r="AC1157">
        <v>1</v>
      </c>
      <c r="AD1157">
        <v>11</v>
      </c>
      <c r="AE1157">
        <v>3</v>
      </c>
      <c r="AF1157">
        <v>3</v>
      </c>
      <c r="AG1157">
        <v>10</v>
      </c>
      <c r="AH1157">
        <v>8</v>
      </c>
      <c r="AI1157">
        <v>0</v>
      </c>
      <c r="AJ1157">
        <v>7</v>
      </c>
    </row>
    <row r="1158" spans="1:36" x14ac:dyDescent="0.3">
      <c r="A1158">
        <v>40</v>
      </c>
      <c r="B1158" t="s">
        <v>43</v>
      </c>
      <c r="C1158" s="6">
        <f t="shared" si="18"/>
        <v>0</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t="s">
        <v>43</v>
      </c>
      <c r="Y1158">
        <v>13</v>
      </c>
      <c r="Z1158">
        <v>3</v>
      </c>
      <c r="AA1158">
        <v>4</v>
      </c>
      <c r="AB1158">
        <v>80</v>
      </c>
      <c r="AC1158">
        <v>2</v>
      </c>
      <c r="AD1158">
        <v>18</v>
      </c>
      <c r="AE1158">
        <v>2</v>
      </c>
      <c r="AF1158">
        <v>3</v>
      </c>
      <c r="AG1158">
        <v>18</v>
      </c>
      <c r="AH1158">
        <v>15</v>
      </c>
      <c r="AI1158">
        <v>14</v>
      </c>
      <c r="AJ1158">
        <v>12</v>
      </c>
    </row>
    <row r="1159" spans="1:36" x14ac:dyDescent="0.3">
      <c r="A1159">
        <v>35</v>
      </c>
      <c r="B1159" t="s">
        <v>43</v>
      </c>
      <c r="C1159" s="6">
        <f t="shared" si="18"/>
        <v>0</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t="s">
        <v>43</v>
      </c>
      <c r="Y1159">
        <v>12</v>
      </c>
      <c r="Z1159">
        <v>3</v>
      </c>
      <c r="AA1159">
        <v>4</v>
      </c>
      <c r="AB1159">
        <v>80</v>
      </c>
      <c r="AC1159">
        <v>1</v>
      </c>
      <c r="AD1159">
        <v>15</v>
      </c>
      <c r="AE1159">
        <v>5</v>
      </c>
      <c r="AF1159">
        <v>3</v>
      </c>
      <c r="AG1159">
        <v>14</v>
      </c>
      <c r="AH1159">
        <v>11</v>
      </c>
      <c r="AI1159">
        <v>2</v>
      </c>
      <c r="AJ1159">
        <v>9</v>
      </c>
    </row>
    <row r="1160" spans="1:36" x14ac:dyDescent="0.3">
      <c r="A1160">
        <v>37</v>
      </c>
      <c r="B1160" t="s">
        <v>43</v>
      </c>
      <c r="C1160" s="6">
        <f t="shared" si="18"/>
        <v>0</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t="s">
        <v>43</v>
      </c>
      <c r="Y1160">
        <v>17</v>
      </c>
      <c r="Z1160">
        <v>3</v>
      </c>
      <c r="AA1160">
        <v>1</v>
      </c>
      <c r="AB1160">
        <v>80</v>
      </c>
      <c r="AC1160">
        <v>3</v>
      </c>
      <c r="AD1160">
        <v>9</v>
      </c>
      <c r="AE1160">
        <v>2</v>
      </c>
      <c r="AF1160">
        <v>2</v>
      </c>
      <c r="AG1160">
        <v>4</v>
      </c>
      <c r="AH1160">
        <v>3</v>
      </c>
      <c r="AI1160">
        <v>0</v>
      </c>
      <c r="AJ1160">
        <v>2</v>
      </c>
    </row>
    <row r="1161" spans="1:36" x14ac:dyDescent="0.3">
      <c r="A1161">
        <v>39</v>
      </c>
      <c r="B1161" t="s">
        <v>43</v>
      </c>
      <c r="C1161" s="6">
        <f t="shared" si="18"/>
        <v>0</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t="s">
        <v>43</v>
      </c>
      <c r="Y1161">
        <v>13</v>
      </c>
      <c r="Z1161">
        <v>3</v>
      </c>
      <c r="AA1161">
        <v>4</v>
      </c>
      <c r="AB1161">
        <v>80</v>
      </c>
      <c r="AC1161">
        <v>0</v>
      </c>
      <c r="AD1161">
        <v>10</v>
      </c>
      <c r="AE1161">
        <v>2</v>
      </c>
      <c r="AF1161">
        <v>1</v>
      </c>
      <c r="AG1161">
        <v>9</v>
      </c>
      <c r="AH1161">
        <v>2</v>
      </c>
      <c r="AI1161">
        <v>3</v>
      </c>
      <c r="AJ1161">
        <v>8</v>
      </c>
    </row>
    <row r="1162" spans="1:36" x14ac:dyDescent="0.3">
      <c r="A1162">
        <v>45</v>
      </c>
      <c r="B1162" t="s">
        <v>43</v>
      </c>
      <c r="C1162" s="6">
        <f t="shared" si="18"/>
        <v>0</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t="s">
        <v>43</v>
      </c>
      <c r="Y1162">
        <v>19</v>
      </c>
      <c r="Z1162">
        <v>3</v>
      </c>
      <c r="AA1162">
        <v>1</v>
      </c>
      <c r="AB1162">
        <v>80</v>
      </c>
      <c r="AC1162">
        <v>2</v>
      </c>
      <c r="AD1162">
        <v>10</v>
      </c>
      <c r="AE1162">
        <v>3</v>
      </c>
      <c r="AF1162">
        <v>3</v>
      </c>
      <c r="AG1162">
        <v>10</v>
      </c>
      <c r="AH1162">
        <v>7</v>
      </c>
      <c r="AI1162">
        <v>3</v>
      </c>
      <c r="AJ1162">
        <v>9</v>
      </c>
    </row>
    <row r="1163" spans="1:36" x14ac:dyDescent="0.3">
      <c r="A1163">
        <v>38</v>
      </c>
      <c r="B1163" t="s">
        <v>43</v>
      </c>
      <c r="C1163" s="6">
        <f t="shared" si="18"/>
        <v>0</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t="s">
        <v>35</v>
      </c>
      <c r="Y1163">
        <v>19</v>
      </c>
      <c r="Z1163">
        <v>3</v>
      </c>
      <c r="AA1163">
        <v>4</v>
      </c>
      <c r="AB1163">
        <v>80</v>
      </c>
      <c r="AC1163">
        <v>1</v>
      </c>
      <c r="AD1163">
        <v>10</v>
      </c>
      <c r="AE1163">
        <v>6</v>
      </c>
      <c r="AF1163">
        <v>4</v>
      </c>
      <c r="AG1163">
        <v>5</v>
      </c>
      <c r="AH1163">
        <v>4</v>
      </c>
      <c r="AI1163">
        <v>0</v>
      </c>
      <c r="AJ1163">
        <v>2</v>
      </c>
    </row>
    <row r="1164" spans="1:36" x14ac:dyDescent="0.3">
      <c r="A1164">
        <v>35</v>
      </c>
      <c r="B1164" t="s">
        <v>35</v>
      </c>
      <c r="C1164" s="6">
        <f t="shared" si="18"/>
        <v>1</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t="s">
        <v>43</v>
      </c>
      <c r="Y1164">
        <v>17</v>
      </c>
      <c r="Z1164">
        <v>3</v>
      </c>
      <c r="AA1164">
        <v>3</v>
      </c>
      <c r="AB1164">
        <v>80</v>
      </c>
      <c r="AC1164">
        <v>0</v>
      </c>
      <c r="AD1164">
        <v>15</v>
      </c>
      <c r="AE1164">
        <v>3</v>
      </c>
      <c r="AF1164">
        <v>3</v>
      </c>
      <c r="AG1164">
        <v>13</v>
      </c>
      <c r="AH1164">
        <v>12</v>
      </c>
      <c r="AI1164">
        <v>6</v>
      </c>
      <c r="AJ1164">
        <v>0</v>
      </c>
    </row>
    <row r="1165" spans="1:36" x14ac:dyDescent="0.3">
      <c r="A1165">
        <v>37</v>
      </c>
      <c r="B1165" t="s">
        <v>43</v>
      </c>
      <c r="C1165" s="6">
        <f t="shared" si="18"/>
        <v>0</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t="s">
        <v>43</v>
      </c>
      <c r="Y1165">
        <v>11</v>
      </c>
      <c r="Z1165">
        <v>3</v>
      </c>
      <c r="AA1165">
        <v>1</v>
      </c>
      <c r="AB1165">
        <v>80</v>
      </c>
      <c r="AC1165">
        <v>1</v>
      </c>
      <c r="AD1165">
        <v>8</v>
      </c>
      <c r="AE1165">
        <v>2</v>
      </c>
      <c r="AF1165">
        <v>1</v>
      </c>
      <c r="AG1165">
        <v>8</v>
      </c>
      <c r="AH1165">
        <v>4</v>
      </c>
      <c r="AI1165">
        <v>7</v>
      </c>
      <c r="AJ1165">
        <v>7</v>
      </c>
    </row>
    <row r="1166" spans="1:36" x14ac:dyDescent="0.3">
      <c r="A1166">
        <v>40</v>
      </c>
      <c r="B1166" t="s">
        <v>43</v>
      </c>
      <c r="C1166" s="6">
        <f t="shared" si="18"/>
        <v>0</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t="s">
        <v>35</v>
      </c>
      <c r="Y1166">
        <v>15</v>
      </c>
      <c r="Z1166">
        <v>3</v>
      </c>
      <c r="AA1166">
        <v>4</v>
      </c>
      <c r="AB1166">
        <v>80</v>
      </c>
      <c r="AC1166">
        <v>0</v>
      </c>
      <c r="AD1166">
        <v>18</v>
      </c>
      <c r="AE1166">
        <v>2</v>
      </c>
      <c r="AF1166">
        <v>2</v>
      </c>
      <c r="AG1166">
        <v>4</v>
      </c>
      <c r="AH1166">
        <v>2</v>
      </c>
      <c r="AI1166">
        <v>3</v>
      </c>
      <c r="AJ1166">
        <v>3</v>
      </c>
    </row>
    <row r="1167" spans="1:36" x14ac:dyDescent="0.3">
      <c r="A1167">
        <v>44</v>
      </c>
      <c r="B1167" t="s">
        <v>43</v>
      </c>
      <c r="C1167" s="6">
        <f t="shared" si="18"/>
        <v>0</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t="s">
        <v>35</v>
      </c>
      <c r="Y1167">
        <v>11</v>
      </c>
      <c r="Z1167">
        <v>3</v>
      </c>
      <c r="AA1167">
        <v>3</v>
      </c>
      <c r="AB1167">
        <v>80</v>
      </c>
      <c r="AC1167">
        <v>0</v>
      </c>
      <c r="AD1167">
        <v>14</v>
      </c>
      <c r="AE1167">
        <v>3</v>
      </c>
      <c r="AF1167">
        <v>3</v>
      </c>
      <c r="AG1167">
        <v>10</v>
      </c>
      <c r="AH1167">
        <v>7</v>
      </c>
      <c r="AI1167">
        <v>0</v>
      </c>
      <c r="AJ1167">
        <v>2</v>
      </c>
    </row>
    <row r="1168" spans="1:36" x14ac:dyDescent="0.3">
      <c r="A1168">
        <v>48</v>
      </c>
      <c r="B1168" t="s">
        <v>43</v>
      </c>
      <c r="C1168" s="6">
        <f t="shared" si="18"/>
        <v>0</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t="s">
        <v>43</v>
      </c>
      <c r="Y1168">
        <v>25</v>
      </c>
      <c r="Z1168">
        <v>4</v>
      </c>
      <c r="AA1168">
        <v>2</v>
      </c>
      <c r="AB1168">
        <v>80</v>
      </c>
      <c r="AC1168">
        <v>1</v>
      </c>
      <c r="AD1168">
        <v>23</v>
      </c>
      <c r="AE1168">
        <v>3</v>
      </c>
      <c r="AF1168">
        <v>3</v>
      </c>
      <c r="AG1168">
        <v>2</v>
      </c>
      <c r="AH1168">
        <v>2</v>
      </c>
      <c r="AI1168">
        <v>2</v>
      </c>
      <c r="AJ1168">
        <v>2</v>
      </c>
    </row>
    <row r="1169" spans="1:36" x14ac:dyDescent="0.3">
      <c r="A1169">
        <v>35</v>
      </c>
      <c r="B1169" t="s">
        <v>35</v>
      </c>
      <c r="C1169" s="6">
        <f t="shared" si="18"/>
        <v>1</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t="s">
        <v>35</v>
      </c>
      <c r="Y1169">
        <v>14</v>
      </c>
      <c r="Z1169">
        <v>3</v>
      </c>
      <c r="AA1169">
        <v>4</v>
      </c>
      <c r="AB1169">
        <v>80</v>
      </c>
      <c r="AC1169">
        <v>2</v>
      </c>
      <c r="AD1169">
        <v>7</v>
      </c>
      <c r="AE1169">
        <v>2</v>
      </c>
      <c r="AF1169">
        <v>2</v>
      </c>
      <c r="AG1169">
        <v>2</v>
      </c>
      <c r="AH1169">
        <v>2</v>
      </c>
      <c r="AI1169">
        <v>2</v>
      </c>
      <c r="AJ1169">
        <v>2</v>
      </c>
    </row>
    <row r="1170" spans="1:36" x14ac:dyDescent="0.3">
      <c r="A1170">
        <v>24</v>
      </c>
      <c r="B1170" t="s">
        <v>43</v>
      </c>
      <c r="C1170" s="6">
        <f t="shared" si="18"/>
        <v>0</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t="s">
        <v>35</v>
      </c>
      <c r="Y1170">
        <v>13</v>
      </c>
      <c r="Z1170">
        <v>3</v>
      </c>
      <c r="AA1170">
        <v>3</v>
      </c>
      <c r="AB1170">
        <v>80</v>
      </c>
      <c r="AC1170">
        <v>0</v>
      </c>
      <c r="AD1170">
        <v>6</v>
      </c>
      <c r="AE1170">
        <v>2</v>
      </c>
      <c r="AF1170">
        <v>3</v>
      </c>
      <c r="AG1170">
        <v>6</v>
      </c>
      <c r="AH1170">
        <v>3</v>
      </c>
      <c r="AI1170">
        <v>1</v>
      </c>
      <c r="AJ1170">
        <v>3</v>
      </c>
    </row>
    <row r="1171" spans="1:36" x14ac:dyDescent="0.3">
      <c r="A1171">
        <v>27</v>
      </c>
      <c r="B1171" t="s">
        <v>43</v>
      </c>
      <c r="C1171" s="6">
        <f t="shared" si="18"/>
        <v>0</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t="s">
        <v>43</v>
      </c>
      <c r="Y1171">
        <v>17</v>
      </c>
      <c r="Z1171">
        <v>3</v>
      </c>
      <c r="AA1171">
        <v>1</v>
      </c>
      <c r="AB1171">
        <v>80</v>
      </c>
      <c r="AC1171">
        <v>0</v>
      </c>
      <c r="AD1171">
        <v>5</v>
      </c>
      <c r="AE1171">
        <v>0</v>
      </c>
      <c r="AF1171">
        <v>3</v>
      </c>
      <c r="AG1171">
        <v>3</v>
      </c>
      <c r="AH1171">
        <v>2</v>
      </c>
      <c r="AI1171">
        <v>0</v>
      </c>
      <c r="AJ1171">
        <v>2</v>
      </c>
    </row>
    <row r="1172" spans="1:36" x14ac:dyDescent="0.3">
      <c r="A1172">
        <v>27</v>
      </c>
      <c r="B1172" t="s">
        <v>43</v>
      </c>
      <c r="C1172" s="6">
        <f t="shared" si="18"/>
        <v>0</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t="s">
        <v>43</v>
      </c>
      <c r="Y1172">
        <v>13</v>
      </c>
      <c r="Z1172">
        <v>3</v>
      </c>
      <c r="AA1172">
        <v>3</v>
      </c>
      <c r="AB1172">
        <v>80</v>
      </c>
      <c r="AC1172">
        <v>0</v>
      </c>
      <c r="AD1172">
        <v>6</v>
      </c>
      <c r="AE1172">
        <v>0</v>
      </c>
      <c r="AF1172">
        <v>2</v>
      </c>
      <c r="AG1172">
        <v>4</v>
      </c>
      <c r="AH1172">
        <v>2</v>
      </c>
      <c r="AI1172">
        <v>1</v>
      </c>
      <c r="AJ1172">
        <v>2</v>
      </c>
    </row>
    <row r="1173" spans="1:36" x14ac:dyDescent="0.3">
      <c r="A1173">
        <v>40</v>
      </c>
      <c r="B1173" t="s">
        <v>35</v>
      </c>
      <c r="C1173" s="6">
        <f t="shared" si="18"/>
        <v>1</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t="s">
        <v>35</v>
      </c>
      <c r="Y1173">
        <v>14</v>
      </c>
      <c r="Z1173">
        <v>3</v>
      </c>
      <c r="AA1173">
        <v>2</v>
      </c>
      <c r="AB1173">
        <v>80</v>
      </c>
      <c r="AC1173">
        <v>0</v>
      </c>
      <c r="AD1173">
        <v>10</v>
      </c>
      <c r="AE1173">
        <v>3</v>
      </c>
      <c r="AF1173">
        <v>1</v>
      </c>
      <c r="AG1173">
        <v>4</v>
      </c>
      <c r="AH1173">
        <v>2</v>
      </c>
      <c r="AI1173">
        <v>0</v>
      </c>
      <c r="AJ1173">
        <v>3</v>
      </c>
    </row>
    <row r="1174" spans="1:36" x14ac:dyDescent="0.3">
      <c r="A1174">
        <v>29</v>
      </c>
      <c r="B1174" t="s">
        <v>43</v>
      </c>
      <c r="C1174" s="6">
        <f t="shared" si="18"/>
        <v>0</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t="s">
        <v>43</v>
      </c>
      <c r="Y1174">
        <v>11</v>
      </c>
      <c r="Z1174">
        <v>3</v>
      </c>
      <c r="AA1174">
        <v>3</v>
      </c>
      <c r="AB1174">
        <v>80</v>
      </c>
      <c r="AC1174">
        <v>0</v>
      </c>
      <c r="AD1174">
        <v>8</v>
      </c>
      <c r="AE1174">
        <v>2</v>
      </c>
      <c r="AF1174">
        <v>3</v>
      </c>
      <c r="AG1174">
        <v>5</v>
      </c>
      <c r="AH1174">
        <v>2</v>
      </c>
      <c r="AI1174">
        <v>1</v>
      </c>
      <c r="AJ1174">
        <v>4</v>
      </c>
    </row>
    <row r="1175" spans="1:36" x14ac:dyDescent="0.3">
      <c r="A1175">
        <v>36</v>
      </c>
      <c r="B1175" t="s">
        <v>43</v>
      </c>
      <c r="C1175" s="6">
        <f t="shared" si="18"/>
        <v>0</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t="s">
        <v>43</v>
      </c>
      <c r="Y1175">
        <v>12</v>
      </c>
      <c r="Z1175">
        <v>3</v>
      </c>
      <c r="AA1175">
        <v>3</v>
      </c>
      <c r="AB1175">
        <v>80</v>
      </c>
      <c r="AC1175">
        <v>2</v>
      </c>
      <c r="AD1175">
        <v>9</v>
      </c>
      <c r="AE1175">
        <v>6</v>
      </c>
      <c r="AF1175">
        <v>3</v>
      </c>
      <c r="AG1175">
        <v>3</v>
      </c>
      <c r="AH1175">
        <v>2</v>
      </c>
      <c r="AI1175">
        <v>0</v>
      </c>
      <c r="AJ1175">
        <v>2</v>
      </c>
    </row>
    <row r="1176" spans="1:36" x14ac:dyDescent="0.3">
      <c r="A1176">
        <v>25</v>
      </c>
      <c r="B1176" t="s">
        <v>43</v>
      </c>
      <c r="C1176" s="6">
        <f t="shared" si="18"/>
        <v>0</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t="s">
        <v>43</v>
      </c>
      <c r="Y1176">
        <v>17</v>
      </c>
      <c r="Z1176">
        <v>3</v>
      </c>
      <c r="AA1176">
        <v>3</v>
      </c>
      <c r="AB1176">
        <v>80</v>
      </c>
      <c r="AC1176">
        <v>2</v>
      </c>
      <c r="AD1176">
        <v>7</v>
      </c>
      <c r="AE1176">
        <v>6</v>
      </c>
      <c r="AF1176">
        <v>3</v>
      </c>
      <c r="AG1176">
        <v>7</v>
      </c>
      <c r="AH1176">
        <v>7</v>
      </c>
      <c r="AI1176">
        <v>0</v>
      </c>
      <c r="AJ1176">
        <v>7</v>
      </c>
    </row>
    <row r="1177" spans="1:36" x14ac:dyDescent="0.3">
      <c r="A1177">
        <v>39</v>
      </c>
      <c r="B1177" t="s">
        <v>43</v>
      </c>
      <c r="C1177" s="6">
        <f t="shared" si="18"/>
        <v>0</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t="s">
        <v>43</v>
      </c>
      <c r="Y1177">
        <v>21</v>
      </c>
      <c r="Z1177">
        <v>4</v>
      </c>
      <c r="AA1177">
        <v>3</v>
      </c>
      <c r="AB1177">
        <v>80</v>
      </c>
      <c r="AC1177">
        <v>0</v>
      </c>
      <c r="AD1177">
        <v>7</v>
      </c>
      <c r="AE1177">
        <v>3</v>
      </c>
      <c r="AF1177">
        <v>3</v>
      </c>
      <c r="AG1177">
        <v>5</v>
      </c>
      <c r="AH1177">
        <v>4</v>
      </c>
      <c r="AI1177">
        <v>1</v>
      </c>
      <c r="AJ1177">
        <v>0</v>
      </c>
    </row>
    <row r="1178" spans="1:36" x14ac:dyDescent="0.3">
      <c r="A1178">
        <v>49</v>
      </c>
      <c r="B1178" t="s">
        <v>43</v>
      </c>
      <c r="C1178" s="6">
        <f t="shared" si="18"/>
        <v>0</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t="s">
        <v>43</v>
      </c>
      <c r="Y1178">
        <v>16</v>
      </c>
      <c r="Z1178">
        <v>3</v>
      </c>
      <c r="AA1178">
        <v>2</v>
      </c>
      <c r="AB1178">
        <v>80</v>
      </c>
      <c r="AC1178">
        <v>2</v>
      </c>
      <c r="AD1178">
        <v>27</v>
      </c>
      <c r="AE1178">
        <v>2</v>
      </c>
      <c r="AF1178">
        <v>3</v>
      </c>
      <c r="AG1178">
        <v>4</v>
      </c>
      <c r="AH1178">
        <v>2</v>
      </c>
      <c r="AI1178">
        <v>1</v>
      </c>
      <c r="AJ1178">
        <v>2</v>
      </c>
    </row>
    <row r="1179" spans="1:36" x14ac:dyDescent="0.3">
      <c r="A1179">
        <v>50</v>
      </c>
      <c r="B1179" t="s">
        <v>43</v>
      </c>
      <c r="C1179" s="6">
        <f t="shared" si="18"/>
        <v>0</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t="s">
        <v>43</v>
      </c>
      <c r="Y1179">
        <v>15</v>
      </c>
      <c r="Z1179">
        <v>3</v>
      </c>
      <c r="AA1179">
        <v>3</v>
      </c>
      <c r="AB1179">
        <v>80</v>
      </c>
      <c r="AC1179">
        <v>3</v>
      </c>
      <c r="AD1179">
        <v>19</v>
      </c>
      <c r="AE1179">
        <v>3</v>
      </c>
      <c r="AF1179">
        <v>3</v>
      </c>
      <c r="AG1179">
        <v>14</v>
      </c>
      <c r="AH1179">
        <v>11</v>
      </c>
      <c r="AI1179">
        <v>1</v>
      </c>
      <c r="AJ1179">
        <v>11</v>
      </c>
    </row>
    <row r="1180" spans="1:36" x14ac:dyDescent="0.3">
      <c r="A1180">
        <v>20</v>
      </c>
      <c r="B1180" t="s">
        <v>43</v>
      </c>
      <c r="C1180" s="6">
        <f t="shared" si="18"/>
        <v>0</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t="s">
        <v>43</v>
      </c>
      <c r="Y1180">
        <v>19</v>
      </c>
      <c r="Z1180">
        <v>3</v>
      </c>
      <c r="AA1180">
        <v>1</v>
      </c>
      <c r="AB1180">
        <v>80</v>
      </c>
      <c r="AC1180">
        <v>0</v>
      </c>
      <c r="AD1180">
        <v>2</v>
      </c>
      <c r="AE1180">
        <v>3</v>
      </c>
      <c r="AF1180">
        <v>3</v>
      </c>
      <c r="AG1180">
        <v>2</v>
      </c>
      <c r="AH1180">
        <v>2</v>
      </c>
      <c r="AI1180">
        <v>2</v>
      </c>
      <c r="AJ1180">
        <v>2</v>
      </c>
    </row>
    <row r="1181" spans="1:36" x14ac:dyDescent="0.3">
      <c r="A1181">
        <v>34</v>
      </c>
      <c r="B1181" t="s">
        <v>43</v>
      </c>
      <c r="C1181" s="6">
        <f t="shared" si="18"/>
        <v>0</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t="s">
        <v>43</v>
      </c>
      <c r="Y1181">
        <v>12</v>
      </c>
      <c r="Z1181">
        <v>3</v>
      </c>
      <c r="AA1181">
        <v>3</v>
      </c>
      <c r="AB1181">
        <v>80</v>
      </c>
      <c r="AC1181">
        <v>1</v>
      </c>
      <c r="AD1181">
        <v>11</v>
      </c>
      <c r="AE1181">
        <v>2</v>
      </c>
      <c r="AF1181">
        <v>3</v>
      </c>
      <c r="AG1181">
        <v>11</v>
      </c>
      <c r="AH1181">
        <v>8</v>
      </c>
      <c r="AI1181">
        <v>7</v>
      </c>
      <c r="AJ1181">
        <v>9</v>
      </c>
    </row>
    <row r="1182" spans="1:36" x14ac:dyDescent="0.3">
      <c r="A1182">
        <v>36</v>
      </c>
      <c r="B1182" t="s">
        <v>43</v>
      </c>
      <c r="C1182" s="6">
        <f t="shared" si="18"/>
        <v>0</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t="s">
        <v>43</v>
      </c>
      <c r="Y1182">
        <v>11</v>
      </c>
      <c r="Z1182">
        <v>3</v>
      </c>
      <c r="AA1182">
        <v>3</v>
      </c>
      <c r="AB1182">
        <v>80</v>
      </c>
      <c r="AC1182">
        <v>0</v>
      </c>
      <c r="AD1182">
        <v>15</v>
      </c>
      <c r="AE1182">
        <v>4</v>
      </c>
      <c r="AF1182">
        <v>3</v>
      </c>
      <c r="AG1182">
        <v>4</v>
      </c>
      <c r="AH1182">
        <v>3</v>
      </c>
      <c r="AI1182">
        <v>1</v>
      </c>
      <c r="AJ1182">
        <v>3</v>
      </c>
    </row>
    <row r="1183" spans="1:36" x14ac:dyDescent="0.3">
      <c r="A1183">
        <v>49</v>
      </c>
      <c r="B1183" t="s">
        <v>43</v>
      </c>
      <c r="C1183" s="6">
        <f t="shared" si="18"/>
        <v>0</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t="s">
        <v>35</v>
      </c>
      <c r="Y1183">
        <v>19</v>
      </c>
      <c r="Z1183">
        <v>3</v>
      </c>
      <c r="AA1183">
        <v>2</v>
      </c>
      <c r="AB1183">
        <v>80</v>
      </c>
      <c r="AC1183">
        <v>1</v>
      </c>
      <c r="AD1183">
        <v>30</v>
      </c>
      <c r="AE1183">
        <v>3</v>
      </c>
      <c r="AF1183">
        <v>3</v>
      </c>
      <c r="AG1183">
        <v>15</v>
      </c>
      <c r="AH1183">
        <v>11</v>
      </c>
      <c r="AI1183">
        <v>2</v>
      </c>
      <c r="AJ1183">
        <v>12</v>
      </c>
    </row>
    <row r="1184" spans="1:36" x14ac:dyDescent="0.3">
      <c r="A1184">
        <v>36</v>
      </c>
      <c r="B1184" t="s">
        <v>43</v>
      </c>
      <c r="C1184" s="6">
        <f t="shared" si="18"/>
        <v>0</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t="s">
        <v>43</v>
      </c>
      <c r="Y1184">
        <v>15</v>
      </c>
      <c r="Z1184">
        <v>3</v>
      </c>
      <c r="AA1184">
        <v>3</v>
      </c>
      <c r="AB1184">
        <v>80</v>
      </c>
      <c r="AC1184">
        <v>0</v>
      </c>
      <c r="AD1184">
        <v>4</v>
      </c>
      <c r="AE1184">
        <v>6</v>
      </c>
      <c r="AF1184">
        <v>3</v>
      </c>
      <c r="AG1184">
        <v>3</v>
      </c>
      <c r="AH1184">
        <v>2</v>
      </c>
      <c r="AI1184">
        <v>1</v>
      </c>
      <c r="AJ1184">
        <v>2</v>
      </c>
    </row>
    <row r="1185" spans="1:36" x14ac:dyDescent="0.3">
      <c r="A1185">
        <v>36</v>
      </c>
      <c r="B1185" t="s">
        <v>43</v>
      </c>
      <c r="C1185" s="6">
        <f t="shared" si="18"/>
        <v>0</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t="s">
        <v>43</v>
      </c>
      <c r="Y1185">
        <v>20</v>
      </c>
      <c r="Z1185">
        <v>4</v>
      </c>
      <c r="AA1185">
        <v>1</v>
      </c>
      <c r="AB1185">
        <v>80</v>
      </c>
      <c r="AC1185">
        <v>1</v>
      </c>
      <c r="AD1185">
        <v>13</v>
      </c>
      <c r="AE1185">
        <v>3</v>
      </c>
      <c r="AF1185">
        <v>3</v>
      </c>
      <c r="AG1185">
        <v>5</v>
      </c>
      <c r="AH1185">
        <v>4</v>
      </c>
      <c r="AI1185">
        <v>0</v>
      </c>
      <c r="AJ1185">
        <v>4</v>
      </c>
    </row>
    <row r="1186" spans="1:36" x14ac:dyDescent="0.3">
      <c r="A1186">
        <v>54</v>
      </c>
      <c r="B1186" t="s">
        <v>43</v>
      </c>
      <c r="C1186" s="6">
        <f t="shared" si="18"/>
        <v>0</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t="s">
        <v>43</v>
      </c>
      <c r="Y1186">
        <v>25</v>
      </c>
      <c r="Z1186">
        <v>4</v>
      </c>
      <c r="AA1186">
        <v>3</v>
      </c>
      <c r="AB1186">
        <v>80</v>
      </c>
      <c r="AC1186">
        <v>1</v>
      </c>
      <c r="AD1186">
        <v>36</v>
      </c>
      <c r="AE1186">
        <v>6</v>
      </c>
      <c r="AF1186">
        <v>3</v>
      </c>
      <c r="AG1186">
        <v>10</v>
      </c>
      <c r="AH1186">
        <v>8</v>
      </c>
      <c r="AI1186">
        <v>4</v>
      </c>
      <c r="AJ1186">
        <v>7</v>
      </c>
    </row>
    <row r="1187" spans="1:36" x14ac:dyDescent="0.3">
      <c r="A1187">
        <v>43</v>
      </c>
      <c r="B1187" t="s">
        <v>43</v>
      </c>
      <c r="C1187" s="6">
        <f t="shared" si="18"/>
        <v>0</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t="s">
        <v>43</v>
      </c>
      <c r="Y1187">
        <v>24</v>
      </c>
      <c r="Z1187">
        <v>4</v>
      </c>
      <c r="AA1187">
        <v>1</v>
      </c>
      <c r="AB1187">
        <v>80</v>
      </c>
      <c r="AC1187">
        <v>1</v>
      </c>
      <c r="AD1187">
        <v>14</v>
      </c>
      <c r="AE1187">
        <v>3</v>
      </c>
      <c r="AF1187">
        <v>3</v>
      </c>
      <c r="AG1187">
        <v>14</v>
      </c>
      <c r="AH1187">
        <v>10</v>
      </c>
      <c r="AI1187">
        <v>6</v>
      </c>
      <c r="AJ1187">
        <v>11</v>
      </c>
    </row>
    <row r="1188" spans="1:36" x14ac:dyDescent="0.3">
      <c r="A1188">
        <v>35</v>
      </c>
      <c r="B1188" t="s">
        <v>35</v>
      </c>
      <c r="C1188" s="6">
        <f t="shared" si="18"/>
        <v>1</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t="s">
        <v>35</v>
      </c>
      <c r="Y1188">
        <v>24</v>
      </c>
      <c r="Z1188">
        <v>4</v>
      </c>
      <c r="AA1188">
        <v>1</v>
      </c>
      <c r="AB1188">
        <v>80</v>
      </c>
      <c r="AC1188">
        <v>0</v>
      </c>
      <c r="AD1188">
        <v>13</v>
      </c>
      <c r="AE1188">
        <v>2</v>
      </c>
      <c r="AF1188">
        <v>4</v>
      </c>
      <c r="AG1188">
        <v>11</v>
      </c>
      <c r="AH1188">
        <v>9</v>
      </c>
      <c r="AI1188">
        <v>6</v>
      </c>
      <c r="AJ1188">
        <v>7</v>
      </c>
    </row>
    <row r="1189" spans="1:36" x14ac:dyDescent="0.3">
      <c r="A1189">
        <v>38</v>
      </c>
      <c r="B1189" t="s">
        <v>43</v>
      </c>
      <c r="C1189" s="6">
        <f t="shared" si="18"/>
        <v>0</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t="s">
        <v>43</v>
      </c>
      <c r="Y1189">
        <v>15</v>
      </c>
      <c r="Z1189">
        <v>3</v>
      </c>
      <c r="AA1189">
        <v>4</v>
      </c>
      <c r="AB1189">
        <v>80</v>
      </c>
      <c r="AC1189">
        <v>2</v>
      </c>
      <c r="AD1189">
        <v>19</v>
      </c>
      <c r="AE1189">
        <v>4</v>
      </c>
      <c r="AF1189">
        <v>4</v>
      </c>
      <c r="AG1189">
        <v>13</v>
      </c>
      <c r="AH1189">
        <v>11</v>
      </c>
      <c r="AI1189">
        <v>2</v>
      </c>
      <c r="AJ1189">
        <v>9</v>
      </c>
    </row>
    <row r="1190" spans="1:36" x14ac:dyDescent="0.3">
      <c r="A1190">
        <v>29</v>
      </c>
      <c r="B1190" t="s">
        <v>43</v>
      </c>
      <c r="C1190" s="6">
        <f t="shared" si="18"/>
        <v>0</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t="s">
        <v>35</v>
      </c>
      <c r="Y1190">
        <v>13</v>
      </c>
      <c r="Z1190">
        <v>3</v>
      </c>
      <c r="AA1190">
        <v>2</v>
      </c>
      <c r="AB1190">
        <v>80</v>
      </c>
      <c r="AC1190">
        <v>1</v>
      </c>
      <c r="AD1190">
        <v>10</v>
      </c>
      <c r="AE1190">
        <v>3</v>
      </c>
      <c r="AF1190">
        <v>2</v>
      </c>
      <c r="AG1190">
        <v>10</v>
      </c>
      <c r="AH1190">
        <v>0</v>
      </c>
      <c r="AI1190">
        <v>0</v>
      </c>
      <c r="AJ1190">
        <v>9</v>
      </c>
    </row>
    <row r="1191" spans="1:36" x14ac:dyDescent="0.3">
      <c r="A1191">
        <v>33</v>
      </c>
      <c r="B1191" t="s">
        <v>43</v>
      </c>
      <c r="C1191" s="6">
        <f t="shared" si="18"/>
        <v>0</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t="s">
        <v>43</v>
      </c>
      <c r="Y1191">
        <v>14</v>
      </c>
      <c r="Z1191">
        <v>3</v>
      </c>
      <c r="AA1191">
        <v>3</v>
      </c>
      <c r="AB1191">
        <v>80</v>
      </c>
      <c r="AC1191">
        <v>2</v>
      </c>
      <c r="AD1191">
        <v>6</v>
      </c>
      <c r="AE1191">
        <v>5</v>
      </c>
      <c r="AF1191">
        <v>3</v>
      </c>
      <c r="AG1191">
        <v>6</v>
      </c>
      <c r="AH1191">
        <v>2</v>
      </c>
      <c r="AI1191">
        <v>0</v>
      </c>
      <c r="AJ1191">
        <v>4</v>
      </c>
    </row>
    <row r="1192" spans="1:36" x14ac:dyDescent="0.3">
      <c r="A1192">
        <v>32</v>
      </c>
      <c r="B1192" t="s">
        <v>43</v>
      </c>
      <c r="C1192" s="6">
        <f t="shared" si="18"/>
        <v>0</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t="s">
        <v>43</v>
      </c>
      <c r="Y1192">
        <v>13</v>
      </c>
      <c r="Z1192">
        <v>3</v>
      </c>
      <c r="AA1192">
        <v>3</v>
      </c>
      <c r="AB1192">
        <v>80</v>
      </c>
      <c r="AC1192">
        <v>2</v>
      </c>
      <c r="AD1192">
        <v>10</v>
      </c>
      <c r="AE1192">
        <v>4</v>
      </c>
      <c r="AF1192">
        <v>2</v>
      </c>
      <c r="AG1192">
        <v>9</v>
      </c>
      <c r="AH1192">
        <v>5</v>
      </c>
      <c r="AI1192">
        <v>1</v>
      </c>
      <c r="AJ1192">
        <v>6</v>
      </c>
    </row>
    <row r="1193" spans="1:36" x14ac:dyDescent="0.3">
      <c r="A1193">
        <v>31</v>
      </c>
      <c r="B1193" t="s">
        <v>43</v>
      </c>
      <c r="C1193" s="6">
        <f t="shared" si="18"/>
        <v>0</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t="s">
        <v>43</v>
      </c>
      <c r="Y1193">
        <v>11</v>
      </c>
      <c r="Z1193">
        <v>3</v>
      </c>
      <c r="AA1193">
        <v>1</v>
      </c>
      <c r="AB1193">
        <v>80</v>
      </c>
      <c r="AC1193">
        <v>2</v>
      </c>
      <c r="AD1193">
        <v>10</v>
      </c>
      <c r="AE1193">
        <v>2</v>
      </c>
      <c r="AF1193">
        <v>3</v>
      </c>
      <c r="AG1193">
        <v>10</v>
      </c>
      <c r="AH1193">
        <v>0</v>
      </c>
      <c r="AI1193">
        <v>0</v>
      </c>
      <c r="AJ1193">
        <v>2</v>
      </c>
    </row>
    <row r="1194" spans="1:36" x14ac:dyDescent="0.3">
      <c r="A1194">
        <v>49</v>
      </c>
      <c r="B1194" t="s">
        <v>43</v>
      </c>
      <c r="C1194" s="6">
        <f t="shared" si="18"/>
        <v>0</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t="s">
        <v>35</v>
      </c>
      <c r="Y1194">
        <v>16</v>
      </c>
      <c r="Z1194">
        <v>3</v>
      </c>
      <c r="AA1194">
        <v>2</v>
      </c>
      <c r="AB1194">
        <v>80</v>
      </c>
      <c r="AC1194">
        <v>1</v>
      </c>
      <c r="AD1194">
        <v>17</v>
      </c>
      <c r="AE1194">
        <v>2</v>
      </c>
      <c r="AF1194">
        <v>2</v>
      </c>
      <c r="AG1194">
        <v>2</v>
      </c>
      <c r="AH1194">
        <v>2</v>
      </c>
      <c r="AI1194">
        <v>2</v>
      </c>
      <c r="AJ1194">
        <v>2</v>
      </c>
    </row>
    <row r="1195" spans="1:36" x14ac:dyDescent="0.3">
      <c r="A1195">
        <v>38</v>
      </c>
      <c r="B1195" t="s">
        <v>43</v>
      </c>
      <c r="C1195" s="6">
        <f t="shared" si="18"/>
        <v>0</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t="s">
        <v>43</v>
      </c>
      <c r="Y1195">
        <v>22</v>
      </c>
      <c r="Z1195">
        <v>4</v>
      </c>
      <c r="AA1195">
        <v>2</v>
      </c>
      <c r="AB1195">
        <v>80</v>
      </c>
      <c r="AC1195">
        <v>0</v>
      </c>
      <c r="AD1195">
        <v>4</v>
      </c>
      <c r="AE1195">
        <v>3</v>
      </c>
      <c r="AF1195">
        <v>3</v>
      </c>
      <c r="AG1195">
        <v>4</v>
      </c>
      <c r="AH1195">
        <v>3</v>
      </c>
      <c r="AI1195">
        <v>3</v>
      </c>
      <c r="AJ1195">
        <v>3</v>
      </c>
    </row>
    <row r="1196" spans="1:36" x14ac:dyDescent="0.3">
      <c r="A1196">
        <v>47</v>
      </c>
      <c r="B1196" t="s">
        <v>43</v>
      </c>
      <c r="C1196" s="6">
        <f t="shared" si="18"/>
        <v>0</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t="s">
        <v>43</v>
      </c>
      <c r="Y1196">
        <v>14</v>
      </c>
      <c r="Z1196">
        <v>3</v>
      </c>
      <c r="AA1196">
        <v>3</v>
      </c>
      <c r="AB1196">
        <v>80</v>
      </c>
      <c r="AC1196">
        <v>3</v>
      </c>
      <c r="AD1196">
        <v>29</v>
      </c>
      <c r="AE1196">
        <v>2</v>
      </c>
      <c r="AF1196">
        <v>3</v>
      </c>
      <c r="AG1196">
        <v>3</v>
      </c>
      <c r="AH1196">
        <v>2</v>
      </c>
      <c r="AI1196">
        <v>1</v>
      </c>
      <c r="AJ1196">
        <v>2</v>
      </c>
    </row>
    <row r="1197" spans="1:36" x14ac:dyDescent="0.3">
      <c r="A1197">
        <v>49</v>
      </c>
      <c r="B1197" t="s">
        <v>43</v>
      </c>
      <c r="C1197" s="6">
        <f t="shared" si="18"/>
        <v>0</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t="s">
        <v>43</v>
      </c>
      <c r="Y1197">
        <v>14</v>
      </c>
      <c r="Z1197">
        <v>3</v>
      </c>
      <c r="AA1197">
        <v>1</v>
      </c>
      <c r="AB1197">
        <v>80</v>
      </c>
      <c r="AC1197">
        <v>0</v>
      </c>
      <c r="AD1197">
        <v>23</v>
      </c>
      <c r="AE1197">
        <v>2</v>
      </c>
      <c r="AF1197">
        <v>3</v>
      </c>
      <c r="AG1197">
        <v>8</v>
      </c>
      <c r="AH1197">
        <v>7</v>
      </c>
      <c r="AI1197">
        <v>0</v>
      </c>
      <c r="AJ1197">
        <v>0</v>
      </c>
    </row>
    <row r="1198" spans="1:36" x14ac:dyDescent="0.3">
      <c r="A1198">
        <v>41</v>
      </c>
      <c r="B1198" t="s">
        <v>43</v>
      </c>
      <c r="C1198" s="6">
        <f t="shared" si="18"/>
        <v>0</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t="s">
        <v>35</v>
      </c>
      <c r="Y1198">
        <v>16</v>
      </c>
      <c r="Z1198">
        <v>3</v>
      </c>
      <c r="AA1198">
        <v>4</v>
      </c>
      <c r="AB1198">
        <v>80</v>
      </c>
      <c r="AC1198">
        <v>0</v>
      </c>
      <c r="AD1198">
        <v>21</v>
      </c>
      <c r="AE1198">
        <v>2</v>
      </c>
      <c r="AF1198">
        <v>3</v>
      </c>
      <c r="AG1198">
        <v>2</v>
      </c>
      <c r="AH1198">
        <v>0</v>
      </c>
      <c r="AI1198">
        <v>0</v>
      </c>
      <c r="AJ1198">
        <v>2</v>
      </c>
    </row>
    <row r="1199" spans="1:36" x14ac:dyDescent="0.3">
      <c r="A1199">
        <v>20</v>
      </c>
      <c r="B1199" t="s">
        <v>43</v>
      </c>
      <c r="C1199" s="6">
        <f t="shared" si="18"/>
        <v>0</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t="s">
        <v>43</v>
      </c>
      <c r="Y1199">
        <v>11</v>
      </c>
      <c r="Z1199">
        <v>3</v>
      </c>
      <c r="AA1199">
        <v>1</v>
      </c>
      <c r="AB1199">
        <v>80</v>
      </c>
      <c r="AC1199">
        <v>0</v>
      </c>
      <c r="AD1199">
        <v>2</v>
      </c>
      <c r="AE1199">
        <v>3</v>
      </c>
      <c r="AF1199">
        <v>3</v>
      </c>
      <c r="AG1199">
        <v>2</v>
      </c>
      <c r="AH1199">
        <v>2</v>
      </c>
      <c r="AI1199">
        <v>0</v>
      </c>
      <c r="AJ1199">
        <v>2</v>
      </c>
    </row>
    <row r="1200" spans="1:36" x14ac:dyDescent="0.3">
      <c r="A1200">
        <v>33</v>
      </c>
      <c r="B1200" t="s">
        <v>43</v>
      </c>
      <c r="C1200" s="6">
        <f t="shared" si="18"/>
        <v>0</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t="s">
        <v>35</v>
      </c>
      <c r="Y1200">
        <v>25</v>
      </c>
      <c r="Z1200">
        <v>4</v>
      </c>
      <c r="AA1200">
        <v>3</v>
      </c>
      <c r="AB1200">
        <v>80</v>
      </c>
      <c r="AC1200">
        <v>1</v>
      </c>
      <c r="AD1200">
        <v>7</v>
      </c>
      <c r="AE1200">
        <v>2</v>
      </c>
      <c r="AF1200">
        <v>3</v>
      </c>
      <c r="AG1200">
        <v>6</v>
      </c>
      <c r="AH1200">
        <v>5</v>
      </c>
      <c r="AI1200">
        <v>1</v>
      </c>
      <c r="AJ1200">
        <v>2</v>
      </c>
    </row>
    <row r="1201" spans="1:36" x14ac:dyDescent="0.3">
      <c r="A1201">
        <v>36</v>
      </c>
      <c r="B1201" t="s">
        <v>43</v>
      </c>
      <c r="C1201" s="6">
        <f t="shared" si="18"/>
        <v>0</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t="s">
        <v>43</v>
      </c>
      <c r="Y1201">
        <v>14</v>
      </c>
      <c r="Z1201">
        <v>3</v>
      </c>
      <c r="AA1201">
        <v>2</v>
      </c>
      <c r="AB1201">
        <v>80</v>
      </c>
      <c r="AC1201">
        <v>2</v>
      </c>
      <c r="AD1201">
        <v>10</v>
      </c>
      <c r="AE1201">
        <v>2</v>
      </c>
      <c r="AF1201">
        <v>2</v>
      </c>
      <c r="AG1201">
        <v>3</v>
      </c>
      <c r="AH1201">
        <v>2</v>
      </c>
      <c r="AI1201">
        <v>0</v>
      </c>
      <c r="AJ1201">
        <v>2</v>
      </c>
    </row>
    <row r="1202" spans="1:36" x14ac:dyDescent="0.3">
      <c r="A1202">
        <v>44</v>
      </c>
      <c r="B1202" t="s">
        <v>43</v>
      </c>
      <c r="C1202" s="6">
        <f t="shared" si="18"/>
        <v>0</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t="s">
        <v>35</v>
      </c>
      <c r="Y1202">
        <v>18</v>
      </c>
      <c r="Z1202">
        <v>3</v>
      </c>
      <c r="AA1202">
        <v>1</v>
      </c>
      <c r="AB1202">
        <v>80</v>
      </c>
      <c r="AC1202">
        <v>3</v>
      </c>
      <c r="AD1202">
        <v>8</v>
      </c>
      <c r="AE1202">
        <v>2</v>
      </c>
      <c r="AF1202">
        <v>3</v>
      </c>
      <c r="AG1202">
        <v>2</v>
      </c>
      <c r="AH1202">
        <v>2</v>
      </c>
      <c r="AI1202">
        <v>2</v>
      </c>
      <c r="AJ1202">
        <v>2</v>
      </c>
    </row>
    <row r="1203" spans="1:36" x14ac:dyDescent="0.3">
      <c r="A1203">
        <v>23</v>
      </c>
      <c r="B1203" t="s">
        <v>35</v>
      </c>
      <c r="C1203" s="6">
        <f t="shared" si="18"/>
        <v>1</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t="s">
        <v>35</v>
      </c>
      <c r="Y1203">
        <v>11</v>
      </c>
      <c r="Z1203">
        <v>3</v>
      </c>
      <c r="AA1203">
        <v>1</v>
      </c>
      <c r="AB1203">
        <v>80</v>
      </c>
      <c r="AC1203">
        <v>0</v>
      </c>
      <c r="AD1203">
        <v>5</v>
      </c>
      <c r="AE1203">
        <v>2</v>
      </c>
      <c r="AF1203">
        <v>3</v>
      </c>
      <c r="AG1203">
        <v>5</v>
      </c>
      <c r="AH1203">
        <v>4</v>
      </c>
      <c r="AI1203">
        <v>1</v>
      </c>
      <c r="AJ1203">
        <v>2</v>
      </c>
    </row>
    <row r="1204" spans="1:36" x14ac:dyDescent="0.3">
      <c r="A1204">
        <v>38</v>
      </c>
      <c r="B1204" t="s">
        <v>43</v>
      </c>
      <c r="C1204" s="6">
        <f t="shared" si="18"/>
        <v>0</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t="s">
        <v>43</v>
      </c>
      <c r="Y1204">
        <v>19</v>
      </c>
      <c r="Z1204">
        <v>3</v>
      </c>
      <c r="AA1204">
        <v>4</v>
      </c>
      <c r="AB1204">
        <v>80</v>
      </c>
      <c r="AC1204">
        <v>1</v>
      </c>
      <c r="AD1204">
        <v>7</v>
      </c>
      <c r="AE1204">
        <v>5</v>
      </c>
      <c r="AF1204">
        <v>2</v>
      </c>
      <c r="AG1204">
        <v>0</v>
      </c>
      <c r="AH1204">
        <v>0</v>
      </c>
      <c r="AI1204">
        <v>0</v>
      </c>
      <c r="AJ1204">
        <v>0</v>
      </c>
    </row>
    <row r="1205" spans="1:36" x14ac:dyDescent="0.3">
      <c r="A1205">
        <v>53</v>
      </c>
      <c r="B1205" t="s">
        <v>43</v>
      </c>
      <c r="C1205" s="6">
        <f t="shared" si="18"/>
        <v>0</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t="s">
        <v>43</v>
      </c>
      <c r="Y1205">
        <v>15</v>
      </c>
      <c r="Z1205">
        <v>3</v>
      </c>
      <c r="AA1205">
        <v>3</v>
      </c>
      <c r="AB1205">
        <v>80</v>
      </c>
      <c r="AC1205">
        <v>0</v>
      </c>
      <c r="AD1205">
        <v>11</v>
      </c>
      <c r="AE1205">
        <v>2</v>
      </c>
      <c r="AF1205">
        <v>3</v>
      </c>
      <c r="AG1205">
        <v>4</v>
      </c>
      <c r="AH1205">
        <v>3</v>
      </c>
      <c r="AI1205">
        <v>1</v>
      </c>
      <c r="AJ1205">
        <v>2</v>
      </c>
    </row>
    <row r="1206" spans="1:36" x14ac:dyDescent="0.3">
      <c r="A1206">
        <v>48</v>
      </c>
      <c r="B1206" t="s">
        <v>35</v>
      </c>
      <c r="C1206" s="6">
        <f t="shared" si="18"/>
        <v>1</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t="s">
        <v>35</v>
      </c>
      <c r="Y1206">
        <v>11</v>
      </c>
      <c r="Z1206">
        <v>3</v>
      </c>
      <c r="AA1206">
        <v>3</v>
      </c>
      <c r="AB1206">
        <v>80</v>
      </c>
      <c r="AC1206">
        <v>2</v>
      </c>
      <c r="AD1206">
        <v>19</v>
      </c>
      <c r="AE1206">
        <v>3</v>
      </c>
      <c r="AF1206">
        <v>3</v>
      </c>
      <c r="AG1206">
        <v>9</v>
      </c>
      <c r="AH1206">
        <v>7</v>
      </c>
      <c r="AI1206">
        <v>7</v>
      </c>
      <c r="AJ1206">
        <v>7</v>
      </c>
    </row>
    <row r="1207" spans="1:36" x14ac:dyDescent="0.3">
      <c r="A1207">
        <v>32</v>
      </c>
      <c r="B1207" t="s">
        <v>35</v>
      </c>
      <c r="C1207" s="6">
        <f t="shared" si="18"/>
        <v>1</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t="s">
        <v>43</v>
      </c>
      <c r="Y1207">
        <v>12</v>
      </c>
      <c r="Z1207">
        <v>3</v>
      </c>
      <c r="AA1207">
        <v>1</v>
      </c>
      <c r="AB1207">
        <v>80</v>
      </c>
      <c r="AC1207">
        <v>0</v>
      </c>
      <c r="AD1207">
        <v>1</v>
      </c>
      <c r="AE1207">
        <v>2</v>
      </c>
      <c r="AF1207">
        <v>3</v>
      </c>
      <c r="AG1207">
        <v>1</v>
      </c>
      <c r="AH1207">
        <v>0</v>
      </c>
      <c r="AI1207">
        <v>0</v>
      </c>
      <c r="AJ1207">
        <v>0</v>
      </c>
    </row>
    <row r="1208" spans="1:36" x14ac:dyDescent="0.3">
      <c r="A1208">
        <v>26</v>
      </c>
      <c r="B1208" t="s">
        <v>43</v>
      </c>
      <c r="C1208" s="6">
        <f t="shared" si="18"/>
        <v>0</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t="s">
        <v>43</v>
      </c>
      <c r="Y1208">
        <v>20</v>
      </c>
      <c r="Z1208">
        <v>4</v>
      </c>
      <c r="AA1208">
        <v>3</v>
      </c>
      <c r="AB1208">
        <v>80</v>
      </c>
      <c r="AC1208">
        <v>0</v>
      </c>
      <c r="AD1208">
        <v>7</v>
      </c>
      <c r="AE1208">
        <v>5</v>
      </c>
      <c r="AF1208">
        <v>3</v>
      </c>
      <c r="AG1208">
        <v>7</v>
      </c>
      <c r="AH1208">
        <v>7</v>
      </c>
      <c r="AI1208">
        <v>5</v>
      </c>
      <c r="AJ1208">
        <v>7</v>
      </c>
    </row>
    <row r="1209" spans="1:36" x14ac:dyDescent="0.3">
      <c r="A1209">
        <v>55</v>
      </c>
      <c r="B1209" t="s">
        <v>43</v>
      </c>
      <c r="C1209" s="6">
        <f t="shared" si="18"/>
        <v>0</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t="s">
        <v>43</v>
      </c>
      <c r="Y1209">
        <v>12</v>
      </c>
      <c r="Z1209">
        <v>3</v>
      </c>
      <c r="AA1209">
        <v>4</v>
      </c>
      <c r="AB1209">
        <v>80</v>
      </c>
      <c r="AC1209">
        <v>1</v>
      </c>
      <c r="AD1209">
        <v>8</v>
      </c>
      <c r="AE1209">
        <v>1</v>
      </c>
      <c r="AF1209">
        <v>3</v>
      </c>
      <c r="AG1209">
        <v>4</v>
      </c>
      <c r="AH1209">
        <v>2</v>
      </c>
      <c r="AI1209">
        <v>1</v>
      </c>
      <c r="AJ1209">
        <v>2</v>
      </c>
    </row>
    <row r="1210" spans="1:36" x14ac:dyDescent="0.3">
      <c r="A1210">
        <v>34</v>
      </c>
      <c r="B1210" t="s">
        <v>43</v>
      </c>
      <c r="C1210" s="6">
        <f t="shared" si="18"/>
        <v>0</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t="s">
        <v>43</v>
      </c>
      <c r="Y1210">
        <v>14</v>
      </c>
      <c r="Z1210">
        <v>3</v>
      </c>
      <c r="AA1210">
        <v>3</v>
      </c>
      <c r="AB1210">
        <v>80</v>
      </c>
      <c r="AC1210">
        <v>1</v>
      </c>
      <c r="AD1210">
        <v>15</v>
      </c>
      <c r="AE1210">
        <v>3</v>
      </c>
      <c r="AF1210">
        <v>4</v>
      </c>
      <c r="AG1210">
        <v>15</v>
      </c>
      <c r="AH1210">
        <v>10</v>
      </c>
      <c r="AI1210">
        <v>4</v>
      </c>
      <c r="AJ1210">
        <v>13</v>
      </c>
    </row>
    <row r="1211" spans="1:36" x14ac:dyDescent="0.3">
      <c r="A1211">
        <v>60</v>
      </c>
      <c r="B1211" t="s">
        <v>43</v>
      </c>
      <c r="C1211" s="6">
        <f t="shared" si="18"/>
        <v>0</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t="s">
        <v>43</v>
      </c>
      <c r="Y1211">
        <v>20</v>
      </c>
      <c r="Z1211">
        <v>4</v>
      </c>
      <c r="AA1211">
        <v>3</v>
      </c>
      <c r="AB1211">
        <v>80</v>
      </c>
      <c r="AC1211">
        <v>1</v>
      </c>
      <c r="AD1211">
        <v>19</v>
      </c>
      <c r="AE1211">
        <v>2</v>
      </c>
      <c r="AF1211">
        <v>4</v>
      </c>
      <c r="AG1211">
        <v>1</v>
      </c>
      <c r="AH1211">
        <v>0</v>
      </c>
      <c r="AI1211">
        <v>0</v>
      </c>
      <c r="AJ1211">
        <v>0</v>
      </c>
    </row>
    <row r="1212" spans="1:36" x14ac:dyDescent="0.3">
      <c r="A1212">
        <v>33</v>
      </c>
      <c r="B1212" t="s">
        <v>43</v>
      </c>
      <c r="C1212" s="6">
        <f t="shared" si="18"/>
        <v>0</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t="s">
        <v>43</v>
      </c>
      <c r="Y1212">
        <v>18</v>
      </c>
      <c r="Z1212">
        <v>3</v>
      </c>
      <c r="AA1212">
        <v>4</v>
      </c>
      <c r="AB1212">
        <v>80</v>
      </c>
      <c r="AC1212">
        <v>3</v>
      </c>
      <c r="AD1212">
        <v>14</v>
      </c>
      <c r="AE1212">
        <v>6</v>
      </c>
      <c r="AF1212">
        <v>3</v>
      </c>
      <c r="AG1212">
        <v>14</v>
      </c>
      <c r="AH1212">
        <v>11</v>
      </c>
      <c r="AI1212">
        <v>2</v>
      </c>
      <c r="AJ1212">
        <v>13</v>
      </c>
    </row>
    <row r="1213" spans="1:36" x14ac:dyDescent="0.3">
      <c r="A1213">
        <v>37</v>
      </c>
      <c r="B1213" t="s">
        <v>43</v>
      </c>
      <c r="C1213" s="6">
        <f t="shared" si="18"/>
        <v>0</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t="s">
        <v>43</v>
      </c>
      <c r="Y1213">
        <v>14</v>
      </c>
      <c r="Z1213">
        <v>3</v>
      </c>
      <c r="AA1213">
        <v>3</v>
      </c>
      <c r="AB1213">
        <v>80</v>
      </c>
      <c r="AC1213">
        <v>2</v>
      </c>
      <c r="AD1213">
        <v>6</v>
      </c>
      <c r="AE1213">
        <v>2</v>
      </c>
      <c r="AF1213">
        <v>2</v>
      </c>
      <c r="AG1213">
        <v>6</v>
      </c>
      <c r="AH1213">
        <v>3</v>
      </c>
      <c r="AI1213">
        <v>1</v>
      </c>
      <c r="AJ1213">
        <v>3</v>
      </c>
    </row>
    <row r="1214" spans="1:36" x14ac:dyDescent="0.3">
      <c r="A1214">
        <v>34</v>
      </c>
      <c r="B1214" t="s">
        <v>43</v>
      </c>
      <c r="C1214" s="6">
        <f t="shared" si="18"/>
        <v>0</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t="s">
        <v>43</v>
      </c>
      <c r="Y1214">
        <v>12</v>
      </c>
      <c r="Z1214">
        <v>3</v>
      </c>
      <c r="AA1214">
        <v>2</v>
      </c>
      <c r="AB1214">
        <v>80</v>
      </c>
      <c r="AC1214">
        <v>0</v>
      </c>
      <c r="AD1214">
        <v>10</v>
      </c>
      <c r="AE1214">
        <v>3</v>
      </c>
      <c r="AF1214">
        <v>3</v>
      </c>
      <c r="AG1214">
        <v>10</v>
      </c>
      <c r="AH1214">
        <v>9</v>
      </c>
      <c r="AI1214">
        <v>8</v>
      </c>
      <c r="AJ1214">
        <v>7</v>
      </c>
    </row>
    <row r="1215" spans="1:36" x14ac:dyDescent="0.3">
      <c r="A1215">
        <v>23</v>
      </c>
      <c r="B1215" t="s">
        <v>35</v>
      </c>
      <c r="C1215" s="6">
        <f t="shared" si="18"/>
        <v>1</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t="s">
        <v>35</v>
      </c>
      <c r="Y1215">
        <v>21</v>
      </c>
      <c r="Z1215">
        <v>4</v>
      </c>
      <c r="AA1215">
        <v>2</v>
      </c>
      <c r="AB1215">
        <v>80</v>
      </c>
      <c r="AC1215">
        <v>1</v>
      </c>
      <c r="AD1215">
        <v>3</v>
      </c>
      <c r="AE1215">
        <v>2</v>
      </c>
      <c r="AF1215">
        <v>3</v>
      </c>
      <c r="AG1215">
        <v>3</v>
      </c>
      <c r="AH1215">
        <v>2</v>
      </c>
      <c r="AI1215">
        <v>0</v>
      </c>
      <c r="AJ1215">
        <v>2</v>
      </c>
    </row>
    <row r="1216" spans="1:36" x14ac:dyDescent="0.3">
      <c r="A1216">
        <v>44</v>
      </c>
      <c r="B1216" t="s">
        <v>43</v>
      </c>
      <c r="C1216" s="6">
        <f t="shared" si="18"/>
        <v>0</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t="s">
        <v>35</v>
      </c>
      <c r="Y1216">
        <v>19</v>
      </c>
      <c r="Z1216">
        <v>3</v>
      </c>
      <c r="AA1216">
        <v>2</v>
      </c>
      <c r="AB1216">
        <v>80</v>
      </c>
      <c r="AC1216">
        <v>1</v>
      </c>
      <c r="AD1216">
        <v>9</v>
      </c>
      <c r="AE1216">
        <v>2</v>
      </c>
      <c r="AF1216">
        <v>3</v>
      </c>
      <c r="AG1216">
        <v>8</v>
      </c>
      <c r="AH1216">
        <v>7</v>
      </c>
      <c r="AI1216">
        <v>6</v>
      </c>
      <c r="AJ1216">
        <v>7</v>
      </c>
    </row>
    <row r="1217" spans="1:36" x14ac:dyDescent="0.3">
      <c r="A1217">
        <v>35</v>
      </c>
      <c r="B1217" t="s">
        <v>43</v>
      </c>
      <c r="C1217" s="6">
        <f t="shared" si="18"/>
        <v>0</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t="s">
        <v>35</v>
      </c>
      <c r="Y1217">
        <v>14</v>
      </c>
      <c r="Z1217">
        <v>3</v>
      </c>
      <c r="AA1217">
        <v>3</v>
      </c>
      <c r="AB1217">
        <v>80</v>
      </c>
      <c r="AC1217">
        <v>0</v>
      </c>
      <c r="AD1217">
        <v>6</v>
      </c>
      <c r="AE1217">
        <v>2</v>
      </c>
      <c r="AF1217">
        <v>4</v>
      </c>
      <c r="AG1217">
        <v>5</v>
      </c>
      <c r="AH1217">
        <v>4</v>
      </c>
      <c r="AI1217">
        <v>1</v>
      </c>
      <c r="AJ1217">
        <v>4</v>
      </c>
    </row>
    <row r="1218" spans="1:36" x14ac:dyDescent="0.3">
      <c r="A1218">
        <v>43</v>
      </c>
      <c r="B1218" t="s">
        <v>43</v>
      </c>
      <c r="C1218" s="6">
        <f t="shared" si="18"/>
        <v>0</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t="s">
        <v>35</v>
      </c>
      <c r="Y1218">
        <v>17</v>
      </c>
      <c r="Z1218">
        <v>3</v>
      </c>
      <c r="AA1218">
        <v>1</v>
      </c>
      <c r="AB1218">
        <v>80</v>
      </c>
      <c r="AC1218">
        <v>1</v>
      </c>
      <c r="AD1218">
        <v>10</v>
      </c>
      <c r="AE1218">
        <v>3</v>
      </c>
      <c r="AF1218">
        <v>3</v>
      </c>
      <c r="AG1218">
        <v>10</v>
      </c>
      <c r="AH1218">
        <v>9</v>
      </c>
      <c r="AI1218">
        <v>8</v>
      </c>
      <c r="AJ1218">
        <v>8</v>
      </c>
    </row>
    <row r="1219" spans="1:36" x14ac:dyDescent="0.3">
      <c r="A1219">
        <v>24</v>
      </c>
      <c r="B1219" t="s">
        <v>43</v>
      </c>
      <c r="C1219" s="6">
        <f t="shared" ref="C1219:C1282" si="19">IF(B1219="Yes",1,0)</f>
        <v>0</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t="s">
        <v>43</v>
      </c>
      <c r="Y1219">
        <v>16</v>
      </c>
      <c r="Z1219">
        <v>3</v>
      </c>
      <c r="AA1219">
        <v>4</v>
      </c>
      <c r="AB1219">
        <v>80</v>
      </c>
      <c r="AC1219">
        <v>1</v>
      </c>
      <c r="AD1219">
        <v>5</v>
      </c>
      <c r="AE1219">
        <v>1</v>
      </c>
      <c r="AF1219">
        <v>3</v>
      </c>
      <c r="AG1219">
        <v>5</v>
      </c>
      <c r="AH1219">
        <v>3</v>
      </c>
      <c r="AI1219">
        <v>0</v>
      </c>
      <c r="AJ1219">
        <v>4</v>
      </c>
    </row>
    <row r="1220" spans="1:36" x14ac:dyDescent="0.3">
      <c r="A1220">
        <v>41</v>
      </c>
      <c r="B1220" t="s">
        <v>43</v>
      </c>
      <c r="C1220" s="6">
        <f t="shared" si="19"/>
        <v>0</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t="s">
        <v>43</v>
      </c>
      <c r="Y1220">
        <v>12</v>
      </c>
      <c r="Z1220">
        <v>3</v>
      </c>
      <c r="AA1220">
        <v>2</v>
      </c>
      <c r="AB1220">
        <v>80</v>
      </c>
      <c r="AC1220">
        <v>0</v>
      </c>
      <c r="AD1220">
        <v>10</v>
      </c>
      <c r="AE1220">
        <v>3</v>
      </c>
      <c r="AF1220">
        <v>3</v>
      </c>
      <c r="AG1220">
        <v>10</v>
      </c>
      <c r="AH1220">
        <v>8</v>
      </c>
      <c r="AI1220">
        <v>8</v>
      </c>
      <c r="AJ1220">
        <v>7</v>
      </c>
    </row>
    <row r="1221" spans="1:36" x14ac:dyDescent="0.3">
      <c r="A1221">
        <v>29</v>
      </c>
      <c r="B1221" t="s">
        <v>43</v>
      </c>
      <c r="C1221" s="6">
        <f t="shared" si="19"/>
        <v>0</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t="s">
        <v>43</v>
      </c>
      <c r="Y1221">
        <v>17</v>
      </c>
      <c r="Z1221">
        <v>3</v>
      </c>
      <c r="AA1221">
        <v>3</v>
      </c>
      <c r="AB1221">
        <v>80</v>
      </c>
      <c r="AC1221">
        <v>1</v>
      </c>
      <c r="AD1221">
        <v>9</v>
      </c>
      <c r="AE1221">
        <v>2</v>
      </c>
      <c r="AF1221">
        <v>3</v>
      </c>
      <c r="AG1221">
        <v>5</v>
      </c>
      <c r="AH1221">
        <v>3</v>
      </c>
      <c r="AI1221">
        <v>1</v>
      </c>
      <c r="AJ1221">
        <v>2</v>
      </c>
    </row>
    <row r="1222" spans="1:36" x14ac:dyDescent="0.3">
      <c r="A1222">
        <v>36</v>
      </c>
      <c r="B1222" t="s">
        <v>43</v>
      </c>
      <c r="C1222" s="6">
        <f t="shared" si="19"/>
        <v>0</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t="s">
        <v>43</v>
      </c>
      <c r="Y1222">
        <v>15</v>
      </c>
      <c r="Z1222">
        <v>3</v>
      </c>
      <c r="AA1222">
        <v>3</v>
      </c>
      <c r="AB1222">
        <v>80</v>
      </c>
      <c r="AC1222">
        <v>0</v>
      </c>
      <c r="AD1222">
        <v>17</v>
      </c>
      <c r="AE1222">
        <v>2</v>
      </c>
      <c r="AF1222">
        <v>2</v>
      </c>
      <c r="AG1222">
        <v>13</v>
      </c>
      <c r="AH1222">
        <v>7</v>
      </c>
      <c r="AI1222">
        <v>6</v>
      </c>
      <c r="AJ1222">
        <v>7</v>
      </c>
    </row>
    <row r="1223" spans="1:36" x14ac:dyDescent="0.3">
      <c r="A1223">
        <v>45</v>
      </c>
      <c r="B1223" t="s">
        <v>43</v>
      </c>
      <c r="C1223" s="6">
        <f t="shared" si="19"/>
        <v>0</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t="s">
        <v>43</v>
      </c>
      <c r="Y1223">
        <v>23</v>
      </c>
      <c r="Z1223">
        <v>4</v>
      </c>
      <c r="AA1223">
        <v>4</v>
      </c>
      <c r="AB1223">
        <v>80</v>
      </c>
      <c r="AC1223">
        <v>1</v>
      </c>
      <c r="AD1223">
        <v>25</v>
      </c>
      <c r="AE1223">
        <v>3</v>
      </c>
      <c r="AF1223">
        <v>2</v>
      </c>
      <c r="AG1223">
        <v>23</v>
      </c>
      <c r="AH1223">
        <v>15</v>
      </c>
      <c r="AI1223">
        <v>14</v>
      </c>
      <c r="AJ1223">
        <v>4</v>
      </c>
    </row>
    <row r="1224" spans="1:36" x14ac:dyDescent="0.3">
      <c r="A1224">
        <v>24</v>
      </c>
      <c r="B1224" t="s">
        <v>35</v>
      </c>
      <c r="C1224" s="6">
        <f t="shared" si="19"/>
        <v>1</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t="s">
        <v>43</v>
      </c>
      <c r="Y1224">
        <v>11</v>
      </c>
      <c r="Z1224">
        <v>3</v>
      </c>
      <c r="AA1224">
        <v>3</v>
      </c>
      <c r="AB1224">
        <v>80</v>
      </c>
      <c r="AC1224">
        <v>1</v>
      </c>
      <c r="AD1224">
        <v>1</v>
      </c>
      <c r="AE1224">
        <v>2</v>
      </c>
      <c r="AF1224">
        <v>3</v>
      </c>
      <c r="AG1224">
        <v>1</v>
      </c>
      <c r="AH1224">
        <v>0</v>
      </c>
      <c r="AI1224">
        <v>0</v>
      </c>
      <c r="AJ1224">
        <v>0</v>
      </c>
    </row>
    <row r="1225" spans="1:36" x14ac:dyDescent="0.3">
      <c r="A1225">
        <v>47</v>
      </c>
      <c r="B1225" t="s">
        <v>35</v>
      </c>
      <c r="C1225" s="6">
        <f t="shared" si="19"/>
        <v>1</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t="s">
        <v>43</v>
      </c>
      <c r="Y1225">
        <v>11</v>
      </c>
      <c r="Z1225">
        <v>3</v>
      </c>
      <c r="AA1225">
        <v>3</v>
      </c>
      <c r="AB1225">
        <v>80</v>
      </c>
      <c r="AC1225">
        <v>0</v>
      </c>
      <c r="AD1225">
        <v>25</v>
      </c>
      <c r="AE1225">
        <v>3</v>
      </c>
      <c r="AF1225">
        <v>1</v>
      </c>
      <c r="AG1225">
        <v>23</v>
      </c>
      <c r="AH1225">
        <v>5</v>
      </c>
      <c r="AI1225">
        <v>14</v>
      </c>
      <c r="AJ1225">
        <v>10</v>
      </c>
    </row>
    <row r="1226" spans="1:36" x14ac:dyDescent="0.3">
      <c r="A1226">
        <v>26</v>
      </c>
      <c r="B1226" t="s">
        <v>43</v>
      </c>
      <c r="C1226" s="6">
        <f t="shared" si="19"/>
        <v>0</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t="s">
        <v>43</v>
      </c>
      <c r="Y1226">
        <v>15</v>
      </c>
      <c r="Z1226">
        <v>3</v>
      </c>
      <c r="AA1226">
        <v>3</v>
      </c>
      <c r="AB1226">
        <v>80</v>
      </c>
      <c r="AC1226">
        <v>3</v>
      </c>
      <c r="AD1226">
        <v>3</v>
      </c>
      <c r="AE1226">
        <v>3</v>
      </c>
      <c r="AF1226">
        <v>4</v>
      </c>
      <c r="AG1226">
        <v>3</v>
      </c>
      <c r="AH1226">
        <v>2</v>
      </c>
      <c r="AI1226">
        <v>0</v>
      </c>
      <c r="AJ1226">
        <v>2</v>
      </c>
    </row>
    <row r="1227" spans="1:36" x14ac:dyDescent="0.3">
      <c r="A1227">
        <v>45</v>
      </c>
      <c r="B1227" t="s">
        <v>43</v>
      </c>
      <c r="C1227" s="6">
        <f t="shared" si="19"/>
        <v>0</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t="s">
        <v>43</v>
      </c>
      <c r="Y1227">
        <v>11</v>
      </c>
      <c r="Z1227">
        <v>3</v>
      </c>
      <c r="AA1227">
        <v>3</v>
      </c>
      <c r="AB1227">
        <v>80</v>
      </c>
      <c r="AC1227">
        <v>0</v>
      </c>
      <c r="AD1227">
        <v>21</v>
      </c>
      <c r="AE1227">
        <v>2</v>
      </c>
      <c r="AF1227">
        <v>3</v>
      </c>
      <c r="AG1227">
        <v>21</v>
      </c>
      <c r="AH1227">
        <v>6</v>
      </c>
      <c r="AI1227">
        <v>8</v>
      </c>
      <c r="AJ1227">
        <v>6</v>
      </c>
    </row>
    <row r="1228" spans="1:36" x14ac:dyDescent="0.3">
      <c r="A1228">
        <v>32</v>
      </c>
      <c r="B1228" t="s">
        <v>43</v>
      </c>
      <c r="C1228" s="6">
        <f t="shared" si="19"/>
        <v>0</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t="s">
        <v>43</v>
      </c>
      <c r="Y1228">
        <v>13</v>
      </c>
      <c r="Z1228">
        <v>3</v>
      </c>
      <c r="AA1228">
        <v>1</v>
      </c>
      <c r="AB1228">
        <v>80</v>
      </c>
      <c r="AC1228">
        <v>1</v>
      </c>
      <c r="AD1228">
        <v>10</v>
      </c>
      <c r="AE1228">
        <v>3</v>
      </c>
      <c r="AF1228">
        <v>2</v>
      </c>
      <c r="AG1228">
        <v>5</v>
      </c>
      <c r="AH1228">
        <v>2</v>
      </c>
      <c r="AI1228">
        <v>1</v>
      </c>
      <c r="AJ1228">
        <v>3</v>
      </c>
    </row>
    <row r="1229" spans="1:36" x14ac:dyDescent="0.3">
      <c r="A1229">
        <v>31</v>
      </c>
      <c r="B1229" t="s">
        <v>43</v>
      </c>
      <c r="C1229" s="6">
        <f t="shared" si="19"/>
        <v>0</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t="s">
        <v>43</v>
      </c>
      <c r="Y1229">
        <v>14</v>
      </c>
      <c r="Z1229">
        <v>3</v>
      </c>
      <c r="AA1229">
        <v>4</v>
      </c>
      <c r="AB1229">
        <v>80</v>
      </c>
      <c r="AC1229">
        <v>1</v>
      </c>
      <c r="AD1229">
        <v>6</v>
      </c>
      <c r="AE1229">
        <v>2</v>
      </c>
      <c r="AF1229">
        <v>4</v>
      </c>
      <c r="AG1229">
        <v>5</v>
      </c>
      <c r="AH1229">
        <v>2</v>
      </c>
      <c r="AI1229">
        <v>0</v>
      </c>
      <c r="AJ1229">
        <v>3</v>
      </c>
    </row>
    <row r="1230" spans="1:36" x14ac:dyDescent="0.3">
      <c r="A1230">
        <v>41</v>
      </c>
      <c r="B1230" t="s">
        <v>43</v>
      </c>
      <c r="C1230" s="6">
        <f t="shared" si="19"/>
        <v>0</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t="s">
        <v>43</v>
      </c>
      <c r="Y1230">
        <v>19</v>
      </c>
      <c r="Z1230">
        <v>3</v>
      </c>
      <c r="AA1230">
        <v>2</v>
      </c>
      <c r="AB1230">
        <v>80</v>
      </c>
      <c r="AC1230">
        <v>1</v>
      </c>
      <c r="AD1230">
        <v>10</v>
      </c>
      <c r="AE1230">
        <v>4</v>
      </c>
      <c r="AF1230">
        <v>3</v>
      </c>
      <c r="AG1230">
        <v>3</v>
      </c>
      <c r="AH1230">
        <v>2</v>
      </c>
      <c r="AI1230">
        <v>1</v>
      </c>
      <c r="AJ1230">
        <v>2</v>
      </c>
    </row>
    <row r="1231" spans="1:36" x14ac:dyDescent="0.3">
      <c r="A1231">
        <v>40</v>
      </c>
      <c r="B1231" t="s">
        <v>43</v>
      </c>
      <c r="C1231" s="6">
        <f t="shared" si="19"/>
        <v>0</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t="s">
        <v>35</v>
      </c>
      <c r="Y1231">
        <v>16</v>
      </c>
      <c r="Z1231">
        <v>3</v>
      </c>
      <c r="AA1231">
        <v>2</v>
      </c>
      <c r="AB1231">
        <v>80</v>
      </c>
      <c r="AC1231">
        <v>1</v>
      </c>
      <c r="AD1231">
        <v>18</v>
      </c>
      <c r="AE1231">
        <v>3</v>
      </c>
      <c r="AF1231">
        <v>3</v>
      </c>
      <c r="AG1231">
        <v>1</v>
      </c>
      <c r="AH1231">
        <v>0</v>
      </c>
      <c r="AI1231">
        <v>0</v>
      </c>
      <c r="AJ1231">
        <v>0</v>
      </c>
    </row>
    <row r="1232" spans="1:36" x14ac:dyDescent="0.3">
      <c r="A1232">
        <v>24</v>
      </c>
      <c r="B1232" t="s">
        <v>43</v>
      </c>
      <c r="C1232" s="6">
        <f t="shared" si="19"/>
        <v>0</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t="s">
        <v>43</v>
      </c>
      <c r="Y1232">
        <v>13</v>
      </c>
      <c r="Z1232">
        <v>3</v>
      </c>
      <c r="AA1232">
        <v>2</v>
      </c>
      <c r="AB1232">
        <v>80</v>
      </c>
      <c r="AC1232">
        <v>3</v>
      </c>
      <c r="AD1232">
        <v>6</v>
      </c>
      <c r="AE1232">
        <v>2</v>
      </c>
      <c r="AF1232">
        <v>4</v>
      </c>
      <c r="AG1232">
        <v>6</v>
      </c>
      <c r="AH1232">
        <v>2</v>
      </c>
      <c r="AI1232">
        <v>1</v>
      </c>
      <c r="AJ1232">
        <v>2</v>
      </c>
    </row>
    <row r="1233" spans="1:36" x14ac:dyDescent="0.3">
      <c r="A1233">
        <v>46</v>
      </c>
      <c r="B1233" t="s">
        <v>43</v>
      </c>
      <c r="C1233" s="6">
        <f t="shared" si="19"/>
        <v>0</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t="s">
        <v>43</v>
      </c>
      <c r="Y1233">
        <v>14</v>
      </c>
      <c r="Z1233">
        <v>3</v>
      </c>
      <c r="AA1233">
        <v>4</v>
      </c>
      <c r="AB1233">
        <v>80</v>
      </c>
      <c r="AC1233">
        <v>0</v>
      </c>
      <c r="AD1233">
        <v>19</v>
      </c>
      <c r="AE1233">
        <v>3</v>
      </c>
      <c r="AF1233">
        <v>3</v>
      </c>
      <c r="AG1233">
        <v>10</v>
      </c>
      <c r="AH1233">
        <v>7</v>
      </c>
      <c r="AI1233">
        <v>0</v>
      </c>
      <c r="AJ1233">
        <v>9</v>
      </c>
    </row>
    <row r="1234" spans="1:36" x14ac:dyDescent="0.3">
      <c r="A1234">
        <v>35</v>
      </c>
      <c r="B1234" t="s">
        <v>43</v>
      </c>
      <c r="C1234" s="6">
        <f t="shared" si="19"/>
        <v>0</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t="s">
        <v>43</v>
      </c>
      <c r="Y1234">
        <v>16</v>
      </c>
      <c r="Z1234">
        <v>3</v>
      </c>
      <c r="AA1234">
        <v>2</v>
      </c>
      <c r="AB1234">
        <v>80</v>
      </c>
      <c r="AC1234">
        <v>1</v>
      </c>
      <c r="AD1234">
        <v>17</v>
      </c>
      <c r="AE1234">
        <v>3</v>
      </c>
      <c r="AF1234">
        <v>3</v>
      </c>
      <c r="AG1234">
        <v>7</v>
      </c>
      <c r="AH1234">
        <v>7</v>
      </c>
      <c r="AI1234">
        <v>0</v>
      </c>
      <c r="AJ1234">
        <v>7</v>
      </c>
    </row>
    <row r="1235" spans="1:36" x14ac:dyDescent="0.3">
      <c r="A1235">
        <v>30</v>
      </c>
      <c r="B1235" t="s">
        <v>43</v>
      </c>
      <c r="C1235" s="6">
        <f t="shared" si="19"/>
        <v>0</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t="s">
        <v>43</v>
      </c>
      <c r="Y1235">
        <v>12</v>
      </c>
      <c r="Z1235">
        <v>3</v>
      </c>
      <c r="AA1235">
        <v>2</v>
      </c>
      <c r="AB1235">
        <v>80</v>
      </c>
      <c r="AC1235">
        <v>1</v>
      </c>
      <c r="AD1235">
        <v>10</v>
      </c>
      <c r="AE1235">
        <v>2</v>
      </c>
      <c r="AF1235">
        <v>2</v>
      </c>
      <c r="AG1235">
        <v>10</v>
      </c>
      <c r="AH1235">
        <v>0</v>
      </c>
      <c r="AI1235">
        <v>0</v>
      </c>
      <c r="AJ1235">
        <v>8</v>
      </c>
    </row>
    <row r="1236" spans="1:36" x14ac:dyDescent="0.3">
      <c r="A1236">
        <v>47</v>
      </c>
      <c r="B1236" t="s">
        <v>43</v>
      </c>
      <c r="C1236" s="6">
        <f t="shared" si="19"/>
        <v>0</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t="s">
        <v>43</v>
      </c>
      <c r="Y1236">
        <v>11</v>
      </c>
      <c r="Z1236">
        <v>3</v>
      </c>
      <c r="AA1236">
        <v>4</v>
      </c>
      <c r="AB1236">
        <v>80</v>
      </c>
      <c r="AC1236">
        <v>1</v>
      </c>
      <c r="AD1236">
        <v>4</v>
      </c>
      <c r="AE1236">
        <v>3</v>
      </c>
      <c r="AF1236">
        <v>1</v>
      </c>
      <c r="AG1236">
        <v>1</v>
      </c>
      <c r="AH1236">
        <v>0</v>
      </c>
      <c r="AI1236">
        <v>0</v>
      </c>
      <c r="AJ1236">
        <v>0</v>
      </c>
    </row>
    <row r="1237" spans="1:36" x14ac:dyDescent="0.3">
      <c r="A1237">
        <v>46</v>
      </c>
      <c r="B1237" t="s">
        <v>43</v>
      </c>
      <c r="C1237" s="6">
        <f t="shared" si="19"/>
        <v>0</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t="s">
        <v>35</v>
      </c>
      <c r="Y1237">
        <v>12</v>
      </c>
      <c r="Z1237">
        <v>3</v>
      </c>
      <c r="AA1237">
        <v>2</v>
      </c>
      <c r="AB1237">
        <v>80</v>
      </c>
      <c r="AC1237">
        <v>1</v>
      </c>
      <c r="AD1237">
        <v>13</v>
      </c>
      <c r="AE1237">
        <v>5</v>
      </c>
      <c r="AF1237">
        <v>2</v>
      </c>
      <c r="AG1237">
        <v>10</v>
      </c>
      <c r="AH1237">
        <v>6</v>
      </c>
      <c r="AI1237">
        <v>0</v>
      </c>
      <c r="AJ1237">
        <v>3</v>
      </c>
    </row>
    <row r="1238" spans="1:36" x14ac:dyDescent="0.3">
      <c r="A1238">
        <v>36</v>
      </c>
      <c r="B1238" t="s">
        <v>35</v>
      </c>
      <c r="C1238" s="6">
        <f t="shared" si="19"/>
        <v>1</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t="s">
        <v>35</v>
      </c>
      <c r="Y1238">
        <v>13</v>
      </c>
      <c r="Z1238">
        <v>3</v>
      </c>
      <c r="AA1238">
        <v>2</v>
      </c>
      <c r="AB1238">
        <v>80</v>
      </c>
      <c r="AC1238">
        <v>3</v>
      </c>
      <c r="AD1238">
        <v>16</v>
      </c>
      <c r="AE1238">
        <v>3</v>
      </c>
      <c r="AF1238">
        <v>3</v>
      </c>
      <c r="AG1238">
        <v>2</v>
      </c>
      <c r="AH1238">
        <v>2</v>
      </c>
      <c r="AI1238">
        <v>2</v>
      </c>
      <c r="AJ1238">
        <v>2</v>
      </c>
    </row>
    <row r="1239" spans="1:36" x14ac:dyDescent="0.3">
      <c r="A1239">
        <v>32</v>
      </c>
      <c r="B1239" t="s">
        <v>35</v>
      </c>
      <c r="C1239" s="6">
        <f t="shared" si="19"/>
        <v>1</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t="s">
        <v>43</v>
      </c>
      <c r="Y1239">
        <v>15</v>
      </c>
      <c r="Z1239">
        <v>3</v>
      </c>
      <c r="AA1239">
        <v>2</v>
      </c>
      <c r="AB1239">
        <v>80</v>
      </c>
      <c r="AC1239">
        <v>0</v>
      </c>
      <c r="AD1239">
        <v>10</v>
      </c>
      <c r="AE1239">
        <v>2</v>
      </c>
      <c r="AF1239">
        <v>3</v>
      </c>
      <c r="AG1239">
        <v>0</v>
      </c>
      <c r="AH1239">
        <v>0</v>
      </c>
      <c r="AI1239">
        <v>0</v>
      </c>
      <c r="AJ1239">
        <v>0</v>
      </c>
    </row>
    <row r="1240" spans="1:36" x14ac:dyDescent="0.3">
      <c r="A1240">
        <v>23</v>
      </c>
      <c r="B1240" t="s">
        <v>43</v>
      </c>
      <c r="C1240" s="6">
        <f t="shared" si="19"/>
        <v>0</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t="s">
        <v>43</v>
      </c>
      <c r="Y1240">
        <v>13</v>
      </c>
      <c r="Z1240">
        <v>3</v>
      </c>
      <c r="AA1240">
        <v>3</v>
      </c>
      <c r="AB1240">
        <v>80</v>
      </c>
      <c r="AC1240">
        <v>0</v>
      </c>
      <c r="AD1240">
        <v>3</v>
      </c>
      <c r="AE1240">
        <v>3</v>
      </c>
      <c r="AF1240">
        <v>1</v>
      </c>
      <c r="AG1240">
        <v>3</v>
      </c>
      <c r="AH1240">
        <v>2</v>
      </c>
      <c r="AI1240">
        <v>1</v>
      </c>
      <c r="AJ1240">
        <v>2</v>
      </c>
    </row>
    <row r="1241" spans="1:36" x14ac:dyDescent="0.3">
      <c r="A1241">
        <v>31</v>
      </c>
      <c r="B1241" t="s">
        <v>43</v>
      </c>
      <c r="C1241" s="6">
        <f t="shared" si="19"/>
        <v>0</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t="s">
        <v>43</v>
      </c>
      <c r="Y1241">
        <v>20</v>
      </c>
      <c r="Z1241">
        <v>4</v>
      </c>
      <c r="AA1241">
        <v>4</v>
      </c>
      <c r="AB1241">
        <v>80</v>
      </c>
      <c r="AC1241">
        <v>0</v>
      </c>
      <c r="AD1241">
        <v>9</v>
      </c>
      <c r="AE1241">
        <v>3</v>
      </c>
      <c r="AF1241">
        <v>2</v>
      </c>
      <c r="AG1241">
        <v>5</v>
      </c>
      <c r="AH1241">
        <v>4</v>
      </c>
      <c r="AI1241">
        <v>1</v>
      </c>
      <c r="AJ1241">
        <v>4</v>
      </c>
    </row>
    <row r="1242" spans="1:36" x14ac:dyDescent="0.3">
      <c r="A1242">
        <v>39</v>
      </c>
      <c r="B1242" t="s">
        <v>43</v>
      </c>
      <c r="C1242" s="6">
        <f t="shared" si="19"/>
        <v>0</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t="s">
        <v>35</v>
      </c>
      <c r="Y1242">
        <v>15</v>
      </c>
      <c r="Z1242">
        <v>3</v>
      </c>
      <c r="AA1242">
        <v>4</v>
      </c>
      <c r="AB1242">
        <v>80</v>
      </c>
      <c r="AC1242">
        <v>1</v>
      </c>
      <c r="AD1242">
        <v>9</v>
      </c>
      <c r="AE1242">
        <v>2</v>
      </c>
      <c r="AF1242">
        <v>3</v>
      </c>
      <c r="AG1242">
        <v>9</v>
      </c>
      <c r="AH1242">
        <v>8</v>
      </c>
      <c r="AI1242">
        <v>5</v>
      </c>
      <c r="AJ1242">
        <v>8</v>
      </c>
    </row>
    <row r="1243" spans="1:36" x14ac:dyDescent="0.3">
      <c r="A1243">
        <v>32</v>
      </c>
      <c r="B1243" t="s">
        <v>43</v>
      </c>
      <c r="C1243" s="6">
        <f t="shared" si="19"/>
        <v>0</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t="s">
        <v>43</v>
      </c>
      <c r="Y1243">
        <v>13</v>
      </c>
      <c r="Z1243">
        <v>3</v>
      </c>
      <c r="AA1243">
        <v>3</v>
      </c>
      <c r="AB1243">
        <v>80</v>
      </c>
      <c r="AC1243">
        <v>1</v>
      </c>
      <c r="AD1243">
        <v>10</v>
      </c>
      <c r="AE1243">
        <v>2</v>
      </c>
      <c r="AF1243">
        <v>1</v>
      </c>
      <c r="AG1243">
        <v>4</v>
      </c>
      <c r="AH1243">
        <v>3</v>
      </c>
      <c r="AI1243">
        <v>0</v>
      </c>
      <c r="AJ1243">
        <v>2</v>
      </c>
    </row>
    <row r="1244" spans="1:36" x14ac:dyDescent="0.3">
      <c r="A1244">
        <v>40</v>
      </c>
      <c r="B1244" t="s">
        <v>43</v>
      </c>
      <c r="C1244" s="6">
        <f t="shared" si="19"/>
        <v>0</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t="s">
        <v>43</v>
      </c>
      <c r="Y1244">
        <v>14</v>
      </c>
      <c r="Z1244">
        <v>3</v>
      </c>
      <c r="AA1244">
        <v>2</v>
      </c>
      <c r="AB1244">
        <v>80</v>
      </c>
      <c r="AC1244">
        <v>0</v>
      </c>
      <c r="AD1244">
        <v>21</v>
      </c>
      <c r="AE1244">
        <v>3</v>
      </c>
      <c r="AF1244">
        <v>2</v>
      </c>
      <c r="AG1244">
        <v>21</v>
      </c>
      <c r="AH1244">
        <v>8</v>
      </c>
      <c r="AI1244">
        <v>12</v>
      </c>
      <c r="AJ1244">
        <v>8</v>
      </c>
    </row>
    <row r="1245" spans="1:36" x14ac:dyDescent="0.3">
      <c r="A1245">
        <v>45</v>
      </c>
      <c r="B1245" t="s">
        <v>43</v>
      </c>
      <c r="C1245" s="6">
        <f t="shared" si="19"/>
        <v>0</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t="s">
        <v>43</v>
      </c>
      <c r="Y1245">
        <v>21</v>
      </c>
      <c r="Z1245">
        <v>4</v>
      </c>
      <c r="AA1245">
        <v>3</v>
      </c>
      <c r="AB1245">
        <v>80</v>
      </c>
      <c r="AC1245">
        <v>2</v>
      </c>
      <c r="AD1245">
        <v>9</v>
      </c>
      <c r="AE1245">
        <v>2</v>
      </c>
      <c r="AF1245">
        <v>4</v>
      </c>
      <c r="AG1245">
        <v>5</v>
      </c>
      <c r="AH1245">
        <v>0</v>
      </c>
      <c r="AI1245">
        <v>0</v>
      </c>
      <c r="AJ1245">
        <v>3</v>
      </c>
    </row>
    <row r="1246" spans="1:36" x14ac:dyDescent="0.3">
      <c r="A1246">
        <v>30</v>
      </c>
      <c r="B1246" t="s">
        <v>43</v>
      </c>
      <c r="C1246" s="6">
        <f t="shared" si="19"/>
        <v>0</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t="s">
        <v>43</v>
      </c>
      <c r="Y1246">
        <v>16</v>
      </c>
      <c r="Z1246">
        <v>3</v>
      </c>
      <c r="AA1246">
        <v>4</v>
      </c>
      <c r="AB1246">
        <v>80</v>
      </c>
      <c r="AC1246">
        <v>0</v>
      </c>
      <c r="AD1246">
        <v>10</v>
      </c>
      <c r="AE1246">
        <v>2</v>
      </c>
      <c r="AF1246">
        <v>3</v>
      </c>
      <c r="AG1246">
        <v>9</v>
      </c>
      <c r="AH1246">
        <v>7</v>
      </c>
      <c r="AI1246">
        <v>0</v>
      </c>
      <c r="AJ1246">
        <v>7</v>
      </c>
    </row>
    <row r="1247" spans="1:36" x14ac:dyDescent="0.3">
      <c r="A1247">
        <v>24</v>
      </c>
      <c r="B1247" t="s">
        <v>43</v>
      </c>
      <c r="C1247" s="6">
        <f t="shared" si="19"/>
        <v>0</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t="s">
        <v>43</v>
      </c>
      <c r="Y1247">
        <v>14</v>
      </c>
      <c r="Z1247">
        <v>3</v>
      </c>
      <c r="AA1247">
        <v>4</v>
      </c>
      <c r="AB1247">
        <v>80</v>
      </c>
      <c r="AC1247">
        <v>1</v>
      </c>
      <c r="AD1247">
        <v>3</v>
      </c>
      <c r="AE1247">
        <v>2</v>
      </c>
      <c r="AF1247">
        <v>3</v>
      </c>
      <c r="AG1247">
        <v>2</v>
      </c>
      <c r="AH1247">
        <v>2</v>
      </c>
      <c r="AI1247">
        <v>2</v>
      </c>
      <c r="AJ1247">
        <v>1</v>
      </c>
    </row>
    <row r="1248" spans="1:36" x14ac:dyDescent="0.3">
      <c r="A1248">
        <v>30</v>
      </c>
      <c r="B1248" t="s">
        <v>35</v>
      </c>
      <c r="C1248" s="6">
        <f t="shared" si="19"/>
        <v>1</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t="s">
        <v>43</v>
      </c>
      <c r="Y1248">
        <v>11</v>
      </c>
      <c r="Z1248">
        <v>3</v>
      </c>
      <c r="AA1248">
        <v>3</v>
      </c>
      <c r="AB1248">
        <v>80</v>
      </c>
      <c r="AC1248">
        <v>1</v>
      </c>
      <c r="AD1248">
        <v>6</v>
      </c>
      <c r="AE1248">
        <v>0</v>
      </c>
      <c r="AF1248">
        <v>2</v>
      </c>
      <c r="AG1248">
        <v>4</v>
      </c>
      <c r="AH1248">
        <v>2</v>
      </c>
      <c r="AI1248">
        <v>1</v>
      </c>
      <c r="AJ1248">
        <v>2</v>
      </c>
    </row>
    <row r="1249" spans="1:36" x14ac:dyDescent="0.3">
      <c r="A1249">
        <v>31</v>
      </c>
      <c r="B1249" t="s">
        <v>43</v>
      </c>
      <c r="C1249" s="6">
        <f t="shared" si="19"/>
        <v>0</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t="s">
        <v>43</v>
      </c>
      <c r="Y1249">
        <v>19</v>
      </c>
      <c r="Z1249">
        <v>3</v>
      </c>
      <c r="AA1249">
        <v>3</v>
      </c>
      <c r="AB1249">
        <v>80</v>
      </c>
      <c r="AC1249">
        <v>1</v>
      </c>
      <c r="AD1249">
        <v>6</v>
      </c>
      <c r="AE1249">
        <v>3</v>
      </c>
      <c r="AF1249">
        <v>3</v>
      </c>
      <c r="AG1249">
        <v>5</v>
      </c>
      <c r="AH1249">
        <v>2</v>
      </c>
      <c r="AI1249">
        <v>0</v>
      </c>
      <c r="AJ1249">
        <v>2</v>
      </c>
    </row>
    <row r="1250" spans="1:36" x14ac:dyDescent="0.3">
      <c r="A1250">
        <v>27</v>
      </c>
      <c r="B1250" t="s">
        <v>43</v>
      </c>
      <c r="C1250" s="6">
        <f t="shared" si="19"/>
        <v>0</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t="s">
        <v>43</v>
      </c>
      <c r="Y1250">
        <v>11</v>
      </c>
      <c r="Z1250">
        <v>3</v>
      </c>
      <c r="AA1250">
        <v>3</v>
      </c>
      <c r="AB1250">
        <v>80</v>
      </c>
      <c r="AC1250">
        <v>0</v>
      </c>
      <c r="AD1250">
        <v>6</v>
      </c>
      <c r="AE1250">
        <v>5</v>
      </c>
      <c r="AF1250">
        <v>2</v>
      </c>
      <c r="AG1250">
        <v>6</v>
      </c>
      <c r="AH1250">
        <v>2</v>
      </c>
      <c r="AI1250">
        <v>1</v>
      </c>
      <c r="AJ1250">
        <v>4</v>
      </c>
    </row>
    <row r="1251" spans="1:36" x14ac:dyDescent="0.3">
      <c r="A1251">
        <v>29</v>
      </c>
      <c r="B1251" t="s">
        <v>35</v>
      </c>
      <c r="C1251" s="6">
        <f t="shared" si="19"/>
        <v>1</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t="s">
        <v>43</v>
      </c>
      <c r="Y1251">
        <v>13</v>
      </c>
      <c r="Z1251">
        <v>3</v>
      </c>
      <c r="AA1251">
        <v>3</v>
      </c>
      <c r="AB1251">
        <v>80</v>
      </c>
      <c r="AC1251">
        <v>0</v>
      </c>
      <c r="AD1251">
        <v>2</v>
      </c>
      <c r="AE1251">
        <v>3</v>
      </c>
      <c r="AF1251">
        <v>3</v>
      </c>
      <c r="AG1251">
        <v>2</v>
      </c>
      <c r="AH1251">
        <v>2</v>
      </c>
      <c r="AI1251">
        <v>2</v>
      </c>
      <c r="AJ1251">
        <v>2</v>
      </c>
    </row>
    <row r="1252" spans="1:36" x14ac:dyDescent="0.3">
      <c r="A1252">
        <v>29</v>
      </c>
      <c r="B1252" t="s">
        <v>43</v>
      </c>
      <c r="C1252" s="6">
        <f t="shared" si="19"/>
        <v>0</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t="s">
        <v>35</v>
      </c>
      <c r="Y1252">
        <v>12</v>
      </c>
      <c r="Z1252">
        <v>3</v>
      </c>
      <c r="AA1252">
        <v>4</v>
      </c>
      <c r="AB1252">
        <v>80</v>
      </c>
      <c r="AC1252">
        <v>0</v>
      </c>
      <c r="AD1252">
        <v>10</v>
      </c>
      <c r="AE1252">
        <v>5</v>
      </c>
      <c r="AF1252">
        <v>4</v>
      </c>
      <c r="AG1252">
        <v>3</v>
      </c>
      <c r="AH1252">
        <v>2</v>
      </c>
      <c r="AI1252">
        <v>0</v>
      </c>
      <c r="AJ1252">
        <v>2</v>
      </c>
    </row>
    <row r="1253" spans="1:36" x14ac:dyDescent="0.3">
      <c r="A1253">
        <v>30</v>
      </c>
      <c r="B1253" t="s">
        <v>43</v>
      </c>
      <c r="C1253" s="6">
        <f t="shared" si="19"/>
        <v>0</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t="s">
        <v>43</v>
      </c>
      <c r="Y1253">
        <v>11</v>
      </c>
      <c r="Z1253">
        <v>3</v>
      </c>
      <c r="AA1253">
        <v>1</v>
      </c>
      <c r="AB1253">
        <v>80</v>
      </c>
      <c r="AC1253">
        <v>1</v>
      </c>
      <c r="AD1253">
        <v>12</v>
      </c>
      <c r="AE1253">
        <v>2</v>
      </c>
      <c r="AF1253">
        <v>3</v>
      </c>
      <c r="AG1253">
        <v>7</v>
      </c>
      <c r="AH1253">
        <v>7</v>
      </c>
      <c r="AI1253">
        <v>1</v>
      </c>
      <c r="AJ1253">
        <v>7</v>
      </c>
    </row>
    <row r="1254" spans="1:36" x14ac:dyDescent="0.3">
      <c r="A1254">
        <v>34</v>
      </c>
      <c r="B1254" t="s">
        <v>43</v>
      </c>
      <c r="C1254" s="6">
        <f t="shared" si="19"/>
        <v>0</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t="s">
        <v>35</v>
      </c>
      <c r="Y1254">
        <v>14</v>
      </c>
      <c r="Z1254">
        <v>3</v>
      </c>
      <c r="AA1254">
        <v>1</v>
      </c>
      <c r="AB1254">
        <v>80</v>
      </c>
      <c r="AC1254">
        <v>3</v>
      </c>
      <c r="AD1254">
        <v>6</v>
      </c>
      <c r="AE1254">
        <v>3</v>
      </c>
      <c r="AF1254">
        <v>3</v>
      </c>
      <c r="AG1254">
        <v>5</v>
      </c>
      <c r="AH1254">
        <v>0</v>
      </c>
      <c r="AI1254">
        <v>1</v>
      </c>
      <c r="AJ1254">
        <v>2</v>
      </c>
    </row>
    <row r="1255" spans="1:36" x14ac:dyDescent="0.3">
      <c r="A1255">
        <v>33</v>
      </c>
      <c r="B1255" t="s">
        <v>43</v>
      </c>
      <c r="C1255" s="6">
        <f t="shared" si="19"/>
        <v>0</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t="s">
        <v>43</v>
      </c>
      <c r="Y1255">
        <v>15</v>
      </c>
      <c r="Z1255">
        <v>3</v>
      </c>
      <c r="AA1255">
        <v>4</v>
      </c>
      <c r="AB1255">
        <v>80</v>
      </c>
      <c r="AC1255">
        <v>0</v>
      </c>
      <c r="AD1255">
        <v>13</v>
      </c>
      <c r="AE1255">
        <v>2</v>
      </c>
      <c r="AF1255">
        <v>2</v>
      </c>
      <c r="AG1255">
        <v>11</v>
      </c>
      <c r="AH1255">
        <v>7</v>
      </c>
      <c r="AI1255">
        <v>1</v>
      </c>
      <c r="AJ1255">
        <v>7</v>
      </c>
    </row>
    <row r="1256" spans="1:36" x14ac:dyDescent="0.3">
      <c r="A1256">
        <v>49</v>
      </c>
      <c r="B1256" t="s">
        <v>43</v>
      </c>
      <c r="C1256" s="6">
        <f t="shared" si="19"/>
        <v>0</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t="s">
        <v>43</v>
      </c>
      <c r="Y1256">
        <v>12</v>
      </c>
      <c r="Z1256">
        <v>3</v>
      </c>
      <c r="AA1256">
        <v>3</v>
      </c>
      <c r="AB1256">
        <v>80</v>
      </c>
      <c r="AC1256">
        <v>0</v>
      </c>
      <c r="AD1256">
        <v>8</v>
      </c>
      <c r="AE1256">
        <v>1</v>
      </c>
      <c r="AF1256">
        <v>4</v>
      </c>
      <c r="AG1256">
        <v>5</v>
      </c>
      <c r="AH1256">
        <v>1</v>
      </c>
      <c r="AI1256">
        <v>0</v>
      </c>
      <c r="AJ1256">
        <v>4</v>
      </c>
    </row>
    <row r="1257" spans="1:36" x14ac:dyDescent="0.3">
      <c r="A1257">
        <v>33</v>
      </c>
      <c r="B1257" t="s">
        <v>35</v>
      </c>
      <c r="C1257" s="6">
        <f t="shared" si="19"/>
        <v>1</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t="s">
        <v>35</v>
      </c>
      <c r="Y1257">
        <v>20</v>
      </c>
      <c r="Z1257">
        <v>4</v>
      </c>
      <c r="AA1257">
        <v>3</v>
      </c>
      <c r="AB1257">
        <v>80</v>
      </c>
      <c r="AC1257">
        <v>0</v>
      </c>
      <c r="AD1257">
        <v>11</v>
      </c>
      <c r="AE1257">
        <v>2</v>
      </c>
      <c r="AF1257">
        <v>2</v>
      </c>
      <c r="AG1257">
        <v>0</v>
      </c>
      <c r="AH1257">
        <v>0</v>
      </c>
      <c r="AI1257">
        <v>0</v>
      </c>
      <c r="AJ1257">
        <v>0</v>
      </c>
    </row>
    <row r="1258" spans="1:36" x14ac:dyDescent="0.3">
      <c r="A1258">
        <v>38</v>
      </c>
      <c r="B1258" t="s">
        <v>43</v>
      </c>
      <c r="C1258" s="6">
        <f t="shared" si="19"/>
        <v>0</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t="s">
        <v>43</v>
      </c>
      <c r="Y1258">
        <v>14</v>
      </c>
      <c r="Z1258">
        <v>3</v>
      </c>
      <c r="AA1258">
        <v>2</v>
      </c>
      <c r="AB1258">
        <v>80</v>
      </c>
      <c r="AC1258">
        <v>1</v>
      </c>
      <c r="AD1258">
        <v>9</v>
      </c>
      <c r="AE1258">
        <v>4</v>
      </c>
      <c r="AF1258">
        <v>2</v>
      </c>
      <c r="AG1258">
        <v>6</v>
      </c>
      <c r="AH1258">
        <v>1</v>
      </c>
      <c r="AI1258">
        <v>0</v>
      </c>
      <c r="AJ1258">
        <v>5</v>
      </c>
    </row>
    <row r="1259" spans="1:36" x14ac:dyDescent="0.3">
      <c r="A1259">
        <v>31</v>
      </c>
      <c r="B1259" t="s">
        <v>35</v>
      </c>
      <c r="C1259" s="6">
        <f t="shared" si="19"/>
        <v>1</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t="s">
        <v>43</v>
      </c>
      <c r="Y1259">
        <v>13</v>
      </c>
      <c r="Z1259">
        <v>3</v>
      </c>
      <c r="AA1259">
        <v>1</v>
      </c>
      <c r="AB1259">
        <v>80</v>
      </c>
      <c r="AC1259">
        <v>3</v>
      </c>
      <c r="AD1259">
        <v>10</v>
      </c>
      <c r="AE1259">
        <v>2</v>
      </c>
      <c r="AF1259">
        <v>3</v>
      </c>
      <c r="AG1259">
        <v>1</v>
      </c>
      <c r="AH1259">
        <v>0</v>
      </c>
      <c r="AI1259">
        <v>0</v>
      </c>
      <c r="AJ1259">
        <v>0</v>
      </c>
    </row>
    <row r="1260" spans="1:36" x14ac:dyDescent="0.3">
      <c r="A1260">
        <v>29</v>
      </c>
      <c r="B1260" t="s">
        <v>43</v>
      </c>
      <c r="C1260" s="6">
        <f t="shared" si="19"/>
        <v>0</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t="s">
        <v>43</v>
      </c>
      <c r="Y1260">
        <v>13</v>
      </c>
      <c r="Z1260">
        <v>3</v>
      </c>
      <c r="AA1260">
        <v>3</v>
      </c>
      <c r="AB1260">
        <v>80</v>
      </c>
      <c r="AC1260">
        <v>1</v>
      </c>
      <c r="AD1260">
        <v>1</v>
      </c>
      <c r="AE1260">
        <v>2</v>
      </c>
      <c r="AF1260">
        <v>3</v>
      </c>
      <c r="AG1260">
        <v>1</v>
      </c>
      <c r="AH1260">
        <v>0</v>
      </c>
      <c r="AI1260">
        <v>0</v>
      </c>
      <c r="AJ1260">
        <v>0</v>
      </c>
    </row>
    <row r="1261" spans="1:36" x14ac:dyDescent="0.3">
      <c r="A1261">
        <v>30</v>
      </c>
      <c r="B1261" t="s">
        <v>43</v>
      </c>
      <c r="C1261" s="6">
        <f t="shared" si="19"/>
        <v>0</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t="s">
        <v>43</v>
      </c>
      <c r="Y1261">
        <v>16</v>
      </c>
      <c r="Z1261">
        <v>3</v>
      </c>
      <c r="AA1261">
        <v>3</v>
      </c>
      <c r="AB1261">
        <v>80</v>
      </c>
      <c r="AC1261">
        <v>1</v>
      </c>
      <c r="AD1261">
        <v>10</v>
      </c>
      <c r="AE1261">
        <v>3</v>
      </c>
      <c r="AF1261">
        <v>3</v>
      </c>
      <c r="AG1261">
        <v>7</v>
      </c>
      <c r="AH1261">
        <v>0</v>
      </c>
      <c r="AI1261">
        <v>1</v>
      </c>
      <c r="AJ1261">
        <v>7</v>
      </c>
    </row>
    <row r="1262" spans="1:36" x14ac:dyDescent="0.3">
      <c r="A1262">
        <v>32</v>
      </c>
      <c r="B1262" t="s">
        <v>43</v>
      </c>
      <c r="C1262" s="6">
        <f t="shared" si="19"/>
        <v>0</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t="s">
        <v>43</v>
      </c>
      <c r="Y1262">
        <v>14</v>
      </c>
      <c r="Z1262">
        <v>3</v>
      </c>
      <c r="AA1262">
        <v>2</v>
      </c>
      <c r="AB1262">
        <v>80</v>
      </c>
      <c r="AC1262">
        <v>0</v>
      </c>
      <c r="AD1262">
        <v>12</v>
      </c>
      <c r="AE1262">
        <v>3</v>
      </c>
      <c r="AF1262">
        <v>3</v>
      </c>
      <c r="AG1262">
        <v>7</v>
      </c>
      <c r="AH1262">
        <v>7</v>
      </c>
      <c r="AI1262">
        <v>0</v>
      </c>
      <c r="AJ1262">
        <v>7</v>
      </c>
    </row>
    <row r="1263" spans="1:36" x14ac:dyDescent="0.3">
      <c r="A1263">
        <v>38</v>
      </c>
      <c r="B1263" t="s">
        <v>43</v>
      </c>
      <c r="C1263" s="6">
        <f t="shared" si="19"/>
        <v>0</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t="s">
        <v>35</v>
      </c>
      <c r="Y1263">
        <v>16</v>
      </c>
      <c r="Z1263">
        <v>3</v>
      </c>
      <c r="AA1263">
        <v>3</v>
      </c>
      <c r="AB1263">
        <v>80</v>
      </c>
      <c r="AC1263">
        <v>1</v>
      </c>
      <c r="AD1263">
        <v>15</v>
      </c>
      <c r="AE1263">
        <v>2</v>
      </c>
      <c r="AF1263">
        <v>3</v>
      </c>
      <c r="AG1263">
        <v>1</v>
      </c>
      <c r="AH1263">
        <v>0</v>
      </c>
      <c r="AI1263">
        <v>1</v>
      </c>
      <c r="AJ1263">
        <v>0</v>
      </c>
    </row>
    <row r="1264" spans="1:36" x14ac:dyDescent="0.3">
      <c r="A1264">
        <v>43</v>
      </c>
      <c r="B1264" t="s">
        <v>35</v>
      </c>
      <c r="C1264" s="6">
        <f t="shared" si="19"/>
        <v>1</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t="s">
        <v>35</v>
      </c>
      <c r="Y1264">
        <v>16</v>
      </c>
      <c r="Z1264">
        <v>3</v>
      </c>
      <c r="AA1264">
        <v>4</v>
      </c>
      <c r="AB1264">
        <v>80</v>
      </c>
      <c r="AC1264">
        <v>1</v>
      </c>
      <c r="AD1264">
        <v>6</v>
      </c>
      <c r="AE1264">
        <v>4</v>
      </c>
      <c r="AF1264">
        <v>3</v>
      </c>
      <c r="AG1264">
        <v>1</v>
      </c>
      <c r="AH1264">
        <v>0</v>
      </c>
      <c r="AI1264">
        <v>0</v>
      </c>
      <c r="AJ1264">
        <v>0</v>
      </c>
    </row>
    <row r="1265" spans="1:36" x14ac:dyDescent="0.3">
      <c r="A1265">
        <v>42</v>
      </c>
      <c r="B1265" t="s">
        <v>43</v>
      </c>
      <c r="C1265" s="6">
        <f t="shared" si="19"/>
        <v>0</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t="s">
        <v>43</v>
      </c>
      <c r="Y1265">
        <v>22</v>
      </c>
      <c r="Z1265">
        <v>4</v>
      </c>
      <c r="AA1265">
        <v>2</v>
      </c>
      <c r="AB1265">
        <v>80</v>
      </c>
      <c r="AC1265">
        <v>3</v>
      </c>
      <c r="AD1265">
        <v>7</v>
      </c>
      <c r="AE1265">
        <v>6</v>
      </c>
      <c r="AF1265">
        <v>2</v>
      </c>
      <c r="AG1265">
        <v>5</v>
      </c>
      <c r="AH1265">
        <v>3</v>
      </c>
      <c r="AI1265">
        <v>0</v>
      </c>
      <c r="AJ1265">
        <v>4</v>
      </c>
    </row>
    <row r="1266" spans="1:36" x14ac:dyDescent="0.3">
      <c r="A1266">
        <v>55</v>
      </c>
      <c r="B1266" t="s">
        <v>43</v>
      </c>
      <c r="C1266" s="6">
        <f t="shared" si="19"/>
        <v>0</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t="s">
        <v>43</v>
      </c>
      <c r="Y1266">
        <v>12</v>
      </c>
      <c r="Z1266">
        <v>3</v>
      </c>
      <c r="AA1266">
        <v>2</v>
      </c>
      <c r="AB1266">
        <v>80</v>
      </c>
      <c r="AC1266">
        <v>3</v>
      </c>
      <c r="AD1266">
        <v>34</v>
      </c>
      <c r="AE1266">
        <v>2</v>
      </c>
      <c r="AF1266">
        <v>3</v>
      </c>
      <c r="AG1266">
        <v>1</v>
      </c>
      <c r="AH1266">
        <v>0</v>
      </c>
      <c r="AI1266">
        <v>0</v>
      </c>
      <c r="AJ1266">
        <v>0</v>
      </c>
    </row>
    <row r="1267" spans="1:36" x14ac:dyDescent="0.3">
      <c r="A1267">
        <v>33</v>
      </c>
      <c r="B1267" t="s">
        <v>43</v>
      </c>
      <c r="C1267" s="6">
        <f t="shared" si="19"/>
        <v>0</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t="s">
        <v>43</v>
      </c>
      <c r="Y1267">
        <v>15</v>
      </c>
      <c r="Z1267">
        <v>3</v>
      </c>
      <c r="AA1267">
        <v>4</v>
      </c>
      <c r="AB1267">
        <v>80</v>
      </c>
      <c r="AC1267">
        <v>2</v>
      </c>
      <c r="AD1267">
        <v>11</v>
      </c>
      <c r="AE1267">
        <v>2</v>
      </c>
      <c r="AF1267">
        <v>2</v>
      </c>
      <c r="AG1267">
        <v>9</v>
      </c>
      <c r="AH1267">
        <v>8</v>
      </c>
      <c r="AI1267">
        <v>1</v>
      </c>
      <c r="AJ1267">
        <v>7</v>
      </c>
    </row>
    <row r="1268" spans="1:36" x14ac:dyDescent="0.3">
      <c r="A1268">
        <v>41</v>
      </c>
      <c r="B1268" t="s">
        <v>43</v>
      </c>
      <c r="C1268" s="6">
        <f t="shared" si="19"/>
        <v>0</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t="s">
        <v>43</v>
      </c>
      <c r="Y1268">
        <v>20</v>
      </c>
      <c r="Z1268">
        <v>4</v>
      </c>
      <c r="AA1268">
        <v>2</v>
      </c>
      <c r="AB1268">
        <v>80</v>
      </c>
      <c r="AC1268">
        <v>2</v>
      </c>
      <c r="AD1268">
        <v>5</v>
      </c>
      <c r="AE1268">
        <v>2</v>
      </c>
      <c r="AF1268">
        <v>3</v>
      </c>
      <c r="AG1268">
        <v>5</v>
      </c>
      <c r="AH1268">
        <v>3</v>
      </c>
      <c r="AI1268">
        <v>0</v>
      </c>
      <c r="AJ1268">
        <v>4</v>
      </c>
    </row>
    <row r="1269" spans="1:36" x14ac:dyDescent="0.3">
      <c r="A1269">
        <v>34</v>
      </c>
      <c r="B1269" t="s">
        <v>43</v>
      </c>
      <c r="C1269" s="6">
        <f t="shared" si="19"/>
        <v>0</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t="s">
        <v>35</v>
      </c>
      <c r="Y1269">
        <v>14</v>
      </c>
      <c r="Z1269">
        <v>3</v>
      </c>
      <c r="AA1269">
        <v>3</v>
      </c>
      <c r="AB1269">
        <v>80</v>
      </c>
      <c r="AC1269">
        <v>1</v>
      </c>
      <c r="AD1269">
        <v>15</v>
      </c>
      <c r="AE1269">
        <v>3</v>
      </c>
      <c r="AF1269">
        <v>3</v>
      </c>
      <c r="AG1269">
        <v>15</v>
      </c>
      <c r="AH1269">
        <v>14</v>
      </c>
      <c r="AI1269">
        <v>0</v>
      </c>
      <c r="AJ1269">
        <v>7</v>
      </c>
    </row>
    <row r="1270" spans="1:36" x14ac:dyDescent="0.3">
      <c r="A1270">
        <v>53</v>
      </c>
      <c r="B1270" t="s">
        <v>43</v>
      </c>
      <c r="C1270" s="6">
        <f t="shared" si="19"/>
        <v>0</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t="s">
        <v>35</v>
      </c>
      <c r="Y1270">
        <v>20</v>
      </c>
      <c r="Z1270">
        <v>4</v>
      </c>
      <c r="AA1270">
        <v>4</v>
      </c>
      <c r="AB1270">
        <v>80</v>
      </c>
      <c r="AC1270">
        <v>3</v>
      </c>
      <c r="AD1270">
        <v>27</v>
      </c>
      <c r="AE1270">
        <v>2</v>
      </c>
      <c r="AF1270">
        <v>2</v>
      </c>
      <c r="AG1270">
        <v>3</v>
      </c>
      <c r="AH1270">
        <v>2</v>
      </c>
      <c r="AI1270">
        <v>0</v>
      </c>
      <c r="AJ1270">
        <v>2</v>
      </c>
    </row>
    <row r="1271" spans="1:36" x14ac:dyDescent="0.3">
      <c r="A1271">
        <v>43</v>
      </c>
      <c r="B1271" t="s">
        <v>43</v>
      </c>
      <c r="C1271" s="6">
        <f t="shared" si="19"/>
        <v>0</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t="s">
        <v>43</v>
      </c>
      <c r="Y1271">
        <v>13</v>
      </c>
      <c r="Z1271">
        <v>3</v>
      </c>
      <c r="AA1271">
        <v>2</v>
      </c>
      <c r="AB1271">
        <v>80</v>
      </c>
      <c r="AC1271">
        <v>0</v>
      </c>
      <c r="AD1271">
        <v>10</v>
      </c>
      <c r="AE1271">
        <v>5</v>
      </c>
      <c r="AF1271">
        <v>3</v>
      </c>
      <c r="AG1271">
        <v>9</v>
      </c>
      <c r="AH1271">
        <v>7</v>
      </c>
      <c r="AI1271">
        <v>1</v>
      </c>
      <c r="AJ1271">
        <v>8</v>
      </c>
    </row>
    <row r="1272" spans="1:36" x14ac:dyDescent="0.3">
      <c r="A1272">
        <v>34</v>
      </c>
      <c r="B1272" t="s">
        <v>43</v>
      </c>
      <c r="C1272" s="6">
        <f t="shared" si="19"/>
        <v>0</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t="s">
        <v>43</v>
      </c>
      <c r="Y1272">
        <v>12</v>
      </c>
      <c r="Z1272">
        <v>3</v>
      </c>
      <c r="AA1272">
        <v>1</v>
      </c>
      <c r="AB1272">
        <v>80</v>
      </c>
      <c r="AC1272">
        <v>0</v>
      </c>
      <c r="AD1272">
        <v>6</v>
      </c>
      <c r="AE1272">
        <v>3</v>
      </c>
      <c r="AF1272">
        <v>3</v>
      </c>
      <c r="AG1272">
        <v>2</v>
      </c>
      <c r="AH1272">
        <v>2</v>
      </c>
      <c r="AI1272">
        <v>2</v>
      </c>
      <c r="AJ1272">
        <v>2</v>
      </c>
    </row>
    <row r="1273" spans="1:36" x14ac:dyDescent="0.3">
      <c r="A1273">
        <v>21</v>
      </c>
      <c r="B1273" t="s">
        <v>35</v>
      </c>
      <c r="C1273" s="6">
        <f t="shared" si="19"/>
        <v>1</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t="s">
        <v>43</v>
      </c>
      <c r="Y1273">
        <v>13</v>
      </c>
      <c r="Z1273">
        <v>3</v>
      </c>
      <c r="AA1273">
        <v>2</v>
      </c>
      <c r="AB1273">
        <v>80</v>
      </c>
      <c r="AC1273">
        <v>0</v>
      </c>
      <c r="AD1273">
        <v>1</v>
      </c>
      <c r="AE1273">
        <v>3</v>
      </c>
      <c r="AF1273">
        <v>3</v>
      </c>
      <c r="AG1273">
        <v>1</v>
      </c>
      <c r="AH1273">
        <v>0</v>
      </c>
      <c r="AI1273">
        <v>1</v>
      </c>
      <c r="AJ1273">
        <v>0</v>
      </c>
    </row>
    <row r="1274" spans="1:36" x14ac:dyDescent="0.3">
      <c r="A1274">
        <v>38</v>
      </c>
      <c r="B1274" t="s">
        <v>43</v>
      </c>
      <c r="C1274" s="6">
        <f t="shared" si="19"/>
        <v>0</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t="s">
        <v>43</v>
      </c>
      <c r="Y1274">
        <v>11</v>
      </c>
      <c r="Z1274">
        <v>3</v>
      </c>
      <c r="AA1274">
        <v>2</v>
      </c>
      <c r="AB1274">
        <v>80</v>
      </c>
      <c r="AC1274">
        <v>1</v>
      </c>
      <c r="AD1274">
        <v>5</v>
      </c>
      <c r="AE1274">
        <v>3</v>
      </c>
      <c r="AF1274">
        <v>3</v>
      </c>
      <c r="AG1274">
        <v>5</v>
      </c>
      <c r="AH1274">
        <v>4</v>
      </c>
      <c r="AI1274">
        <v>0</v>
      </c>
      <c r="AJ1274">
        <v>4</v>
      </c>
    </row>
    <row r="1275" spans="1:36" x14ac:dyDescent="0.3">
      <c r="A1275">
        <v>22</v>
      </c>
      <c r="B1275" t="s">
        <v>35</v>
      </c>
      <c r="C1275" s="6">
        <f t="shared" si="19"/>
        <v>1</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t="s">
        <v>35</v>
      </c>
      <c r="Y1275">
        <v>17</v>
      </c>
      <c r="Z1275">
        <v>3</v>
      </c>
      <c r="AA1275">
        <v>3</v>
      </c>
      <c r="AB1275">
        <v>80</v>
      </c>
      <c r="AC1275">
        <v>0</v>
      </c>
      <c r="AD1275">
        <v>1</v>
      </c>
      <c r="AE1275">
        <v>6</v>
      </c>
      <c r="AF1275">
        <v>3</v>
      </c>
      <c r="AG1275">
        <v>1</v>
      </c>
      <c r="AH1275">
        <v>0</v>
      </c>
      <c r="AI1275">
        <v>0</v>
      </c>
      <c r="AJ1275">
        <v>0</v>
      </c>
    </row>
    <row r="1276" spans="1:36" x14ac:dyDescent="0.3">
      <c r="A1276">
        <v>31</v>
      </c>
      <c r="B1276" t="s">
        <v>43</v>
      </c>
      <c r="C1276" s="6">
        <f t="shared" si="19"/>
        <v>0</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t="s">
        <v>43</v>
      </c>
      <c r="Y1276">
        <v>14</v>
      </c>
      <c r="Z1276">
        <v>3</v>
      </c>
      <c r="AA1276">
        <v>1</v>
      </c>
      <c r="AB1276">
        <v>80</v>
      </c>
      <c r="AC1276">
        <v>2</v>
      </c>
      <c r="AD1276">
        <v>13</v>
      </c>
      <c r="AE1276">
        <v>3</v>
      </c>
      <c r="AF1276">
        <v>3</v>
      </c>
      <c r="AG1276">
        <v>12</v>
      </c>
      <c r="AH1276">
        <v>7</v>
      </c>
      <c r="AI1276">
        <v>5</v>
      </c>
      <c r="AJ1276">
        <v>7</v>
      </c>
    </row>
    <row r="1277" spans="1:36" x14ac:dyDescent="0.3">
      <c r="A1277">
        <v>51</v>
      </c>
      <c r="B1277" t="s">
        <v>43</v>
      </c>
      <c r="C1277" s="6">
        <f t="shared" si="19"/>
        <v>0</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t="s">
        <v>43</v>
      </c>
      <c r="Y1277">
        <v>11</v>
      </c>
      <c r="Z1277">
        <v>3</v>
      </c>
      <c r="AA1277">
        <v>4</v>
      </c>
      <c r="AB1277">
        <v>80</v>
      </c>
      <c r="AC1277">
        <v>0</v>
      </c>
      <c r="AD1277">
        <v>15</v>
      </c>
      <c r="AE1277">
        <v>2</v>
      </c>
      <c r="AF1277">
        <v>3</v>
      </c>
      <c r="AG1277">
        <v>2</v>
      </c>
      <c r="AH1277">
        <v>2</v>
      </c>
      <c r="AI1277">
        <v>2</v>
      </c>
      <c r="AJ1277">
        <v>2</v>
      </c>
    </row>
    <row r="1278" spans="1:36" x14ac:dyDescent="0.3">
      <c r="A1278">
        <v>37</v>
      </c>
      <c r="B1278" t="s">
        <v>43</v>
      </c>
      <c r="C1278" s="6">
        <f t="shared" si="19"/>
        <v>0</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t="s">
        <v>43</v>
      </c>
      <c r="Y1278">
        <v>14</v>
      </c>
      <c r="Z1278">
        <v>3</v>
      </c>
      <c r="AA1278">
        <v>1</v>
      </c>
      <c r="AB1278">
        <v>80</v>
      </c>
      <c r="AC1278">
        <v>2</v>
      </c>
      <c r="AD1278">
        <v>5</v>
      </c>
      <c r="AE1278">
        <v>2</v>
      </c>
      <c r="AF1278">
        <v>3</v>
      </c>
      <c r="AG1278">
        <v>5</v>
      </c>
      <c r="AH1278">
        <v>2</v>
      </c>
      <c r="AI1278">
        <v>0</v>
      </c>
      <c r="AJ1278">
        <v>3</v>
      </c>
    </row>
    <row r="1279" spans="1:36" x14ac:dyDescent="0.3">
      <c r="A1279">
        <v>46</v>
      </c>
      <c r="B1279" t="s">
        <v>43</v>
      </c>
      <c r="C1279" s="6">
        <f t="shared" si="19"/>
        <v>0</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t="s">
        <v>35</v>
      </c>
      <c r="Y1279">
        <v>17</v>
      </c>
      <c r="Z1279">
        <v>3</v>
      </c>
      <c r="AA1279">
        <v>3</v>
      </c>
      <c r="AB1279">
        <v>80</v>
      </c>
      <c r="AC1279">
        <v>1</v>
      </c>
      <c r="AD1279">
        <v>24</v>
      </c>
      <c r="AE1279">
        <v>3</v>
      </c>
      <c r="AF1279">
        <v>3</v>
      </c>
      <c r="AG1279">
        <v>2</v>
      </c>
      <c r="AH1279">
        <v>1</v>
      </c>
      <c r="AI1279">
        <v>2</v>
      </c>
      <c r="AJ1279">
        <v>2</v>
      </c>
    </row>
    <row r="1280" spans="1:36" x14ac:dyDescent="0.3">
      <c r="A1280">
        <v>36</v>
      </c>
      <c r="B1280" t="s">
        <v>43</v>
      </c>
      <c r="C1280" s="6">
        <f t="shared" si="19"/>
        <v>0</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t="s">
        <v>35</v>
      </c>
      <c r="Y1280">
        <v>13</v>
      </c>
      <c r="Z1280">
        <v>3</v>
      </c>
      <c r="AA1280">
        <v>4</v>
      </c>
      <c r="AB1280">
        <v>80</v>
      </c>
      <c r="AC1280">
        <v>1</v>
      </c>
      <c r="AD1280">
        <v>15</v>
      </c>
      <c r="AE1280">
        <v>1</v>
      </c>
      <c r="AF1280">
        <v>3</v>
      </c>
      <c r="AG1280">
        <v>12</v>
      </c>
      <c r="AH1280">
        <v>8</v>
      </c>
      <c r="AI1280">
        <v>5</v>
      </c>
      <c r="AJ1280">
        <v>7</v>
      </c>
    </row>
    <row r="1281" spans="1:36" x14ac:dyDescent="0.3">
      <c r="A1281">
        <v>44</v>
      </c>
      <c r="B1281" t="s">
        <v>35</v>
      </c>
      <c r="C1281" s="6">
        <f t="shared" si="19"/>
        <v>1</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t="s">
        <v>35</v>
      </c>
      <c r="Y1281">
        <v>12</v>
      </c>
      <c r="Z1281">
        <v>3</v>
      </c>
      <c r="AA1281">
        <v>3</v>
      </c>
      <c r="AB1281">
        <v>80</v>
      </c>
      <c r="AC1281">
        <v>3</v>
      </c>
      <c r="AD1281">
        <v>6</v>
      </c>
      <c r="AE1281">
        <v>2</v>
      </c>
      <c r="AF1281">
        <v>2</v>
      </c>
      <c r="AG1281">
        <v>5</v>
      </c>
      <c r="AH1281">
        <v>3</v>
      </c>
      <c r="AI1281">
        <v>2</v>
      </c>
      <c r="AJ1281">
        <v>3</v>
      </c>
    </row>
    <row r="1282" spans="1:36" x14ac:dyDescent="0.3">
      <c r="A1282">
        <v>37</v>
      </c>
      <c r="B1282" t="s">
        <v>43</v>
      </c>
      <c r="C1282" s="6">
        <f t="shared" si="19"/>
        <v>0</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t="s">
        <v>43</v>
      </c>
      <c r="Y1282">
        <v>13</v>
      </c>
      <c r="Z1282">
        <v>3</v>
      </c>
      <c r="AA1282">
        <v>3</v>
      </c>
      <c r="AB1282">
        <v>80</v>
      </c>
      <c r="AC1282">
        <v>0</v>
      </c>
      <c r="AD1282">
        <v>19</v>
      </c>
      <c r="AE1282">
        <v>4</v>
      </c>
      <c r="AF1282">
        <v>2</v>
      </c>
      <c r="AG1282">
        <v>10</v>
      </c>
      <c r="AH1282">
        <v>0</v>
      </c>
      <c r="AI1282">
        <v>4</v>
      </c>
      <c r="AJ1282">
        <v>7</v>
      </c>
    </row>
    <row r="1283" spans="1:36" x14ac:dyDescent="0.3">
      <c r="A1283">
        <v>35</v>
      </c>
      <c r="B1283" t="s">
        <v>35</v>
      </c>
      <c r="C1283" s="6">
        <f t="shared" ref="C1283:C1346" si="20">IF(B1283="Yes",1,0)</f>
        <v>1</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t="s">
        <v>35</v>
      </c>
      <c r="Y1283">
        <v>18</v>
      </c>
      <c r="Z1283">
        <v>3</v>
      </c>
      <c r="AA1283">
        <v>4</v>
      </c>
      <c r="AB1283">
        <v>80</v>
      </c>
      <c r="AC1283">
        <v>0</v>
      </c>
      <c r="AD1283">
        <v>10</v>
      </c>
      <c r="AE1283">
        <v>2</v>
      </c>
      <c r="AF1283">
        <v>3</v>
      </c>
      <c r="AG1283">
        <v>10</v>
      </c>
      <c r="AH1283">
        <v>7</v>
      </c>
      <c r="AI1283">
        <v>7</v>
      </c>
      <c r="AJ1283">
        <v>7</v>
      </c>
    </row>
    <row r="1284" spans="1:36" x14ac:dyDescent="0.3">
      <c r="A1284">
        <v>33</v>
      </c>
      <c r="B1284" t="s">
        <v>43</v>
      </c>
      <c r="C1284" s="6">
        <f t="shared" si="20"/>
        <v>0</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t="s">
        <v>43</v>
      </c>
      <c r="Y1284">
        <v>19</v>
      </c>
      <c r="Z1284">
        <v>3</v>
      </c>
      <c r="AA1284">
        <v>2</v>
      </c>
      <c r="AB1284">
        <v>80</v>
      </c>
      <c r="AC1284">
        <v>1</v>
      </c>
      <c r="AD1284">
        <v>14</v>
      </c>
      <c r="AE1284">
        <v>1</v>
      </c>
      <c r="AF1284">
        <v>3</v>
      </c>
      <c r="AG1284">
        <v>10</v>
      </c>
      <c r="AH1284">
        <v>8</v>
      </c>
      <c r="AI1284">
        <v>7</v>
      </c>
      <c r="AJ1284">
        <v>6</v>
      </c>
    </row>
    <row r="1285" spans="1:36" x14ac:dyDescent="0.3">
      <c r="A1285">
        <v>28</v>
      </c>
      <c r="B1285" t="s">
        <v>43</v>
      </c>
      <c r="C1285" s="6">
        <f t="shared" si="20"/>
        <v>0</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t="s">
        <v>43</v>
      </c>
      <c r="Y1285">
        <v>11</v>
      </c>
      <c r="Z1285">
        <v>3</v>
      </c>
      <c r="AA1285">
        <v>3</v>
      </c>
      <c r="AB1285">
        <v>80</v>
      </c>
      <c r="AC1285">
        <v>1</v>
      </c>
      <c r="AD1285">
        <v>5</v>
      </c>
      <c r="AE1285">
        <v>6</v>
      </c>
      <c r="AF1285">
        <v>4</v>
      </c>
      <c r="AG1285">
        <v>5</v>
      </c>
      <c r="AH1285">
        <v>3</v>
      </c>
      <c r="AI1285">
        <v>0</v>
      </c>
      <c r="AJ1285">
        <v>3</v>
      </c>
    </row>
    <row r="1286" spans="1:36" x14ac:dyDescent="0.3">
      <c r="A1286">
        <v>39</v>
      </c>
      <c r="B1286" t="s">
        <v>43</v>
      </c>
      <c r="C1286" s="6">
        <f t="shared" si="20"/>
        <v>0</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t="s">
        <v>43</v>
      </c>
      <c r="Y1286">
        <v>21</v>
      </c>
      <c r="Z1286">
        <v>4</v>
      </c>
      <c r="AA1286">
        <v>3</v>
      </c>
      <c r="AB1286">
        <v>80</v>
      </c>
      <c r="AC1286">
        <v>0</v>
      </c>
      <c r="AD1286">
        <v>9</v>
      </c>
      <c r="AE1286">
        <v>3</v>
      </c>
      <c r="AF1286">
        <v>3</v>
      </c>
      <c r="AG1286">
        <v>4</v>
      </c>
      <c r="AH1286">
        <v>3</v>
      </c>
      <c r="AI1286">
        <v>2</v>
      </c>
      <c r="AJ1286">
        <v>2</v>
      </c>
    </row>
    <row r="1287" spans="1:36" x14ac:dyDescent="0.3">
      <c r="A1287">
        <v>46</v>
      </c>
      <c r="B1287" t="s">
        <v>43</v>
      </c>
      <c r="C1287" s="6">
        <f t="shared" si="20"/>
        <v>0</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t="s">
        <v>43</v>
      </c>
      <c r="Y1287">
        <v>15</v>
      </c>
      <c r="Z1287">
        <v>3</v>
      </c>
      <c r="AA1287">
        <v>3</v>
      </c>
      <c r="AB1287">
        <v>80</v>
      </c>
      <c r="AC1287">
        <v>0</v>
      </c>
      <c r="AD1287">
        <v>6</v>
      </c>
      <c r="AE1287">
        <v>3</v>
      </c>
      <c r="AF1287">
        <v>3</v>
      </c>
      <c r="AG1287">
        <v>2</v>
      </c>
      <c r="AH1287">
        <v>2</v>
      </c>
      <c r="AI1287">
        <v>2</v>
      </c>
      <c r="AJ1287">
        <v>2</v>
      </c>
    </row>
    <row r="1288" spans="1:36" x14ac:dyDescent="0.3">
      <c r="A1288">
        <v>40</v>
      </c>
      <c r="B1288" t="s">
        <v>43</v>
      </c>
      <c r="C1288" s="6">
        <f t="shared" si="20"/>
        <v>0</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t="s">
        <v>43</v>
      </c>
      <c r="Y1288">
        <v>17</v>
      </c>
      <c r="Z1288">
        <v>3</v>
      </c>
      <c r="AA1288">
        <v>4</v>
      </c>
      <c r="AB1288">
        <v>80</v>
      </c>
      <c r="AC1288">
        <v>1</v>
      </c>
      <c r="AD1288">
        <v>7</v>
      </c>
      <c r="AE1288">
        <v>5</v>
      </c>
      <c r="AF1288">
        <v>2</v>
      </c>
      <c r="AG1288">
        <v>4</v>
      </c>
      <c r="AH1288">
        <v>3</v>
      </c>
      <c r="AI1288">
        <v>0</v>
      </c>
      <c r="AJ1288">
        <v>2</v>
      </c>
    </row>
    <row r="1289" spans="1:36" x14ac:dyDescent="0.3">
      <c r="A1289">
        <v>42</v>
      </c>
      <c r="B1289" t="s">
        <v>43</v>
      </c>
      <c r="C1289" s="6">
        <f t="shared" si="20"/>
        <v>0</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t="s">
        <v>43</v>
      </c>
      <c r="Y1289">
        <v>18</v>
      </c>
      <c r="Z1289">
        <v>3</v>
      </c>
      <c r="AA1289">
        <v>3</v>
      </c>
      <c r="AB1289">
        <v>80</v>
      </c>
      <c r="AC1289">
        <v>2</v>
      </c>
      <c r="AD1289">
        <v>10</v>
      </c>
      <c r="AE1289">
        <v>2</v>
      </c>
      <c r="AF1289">
        <v>2</v>
      </c>
      <c r="AG1289">
        <v>0</v>
      </c>
      <c r="AH1289">
        <v>0</v>
      </c>
      <c r="AI1289">
        <v>0</v>
      </c>
      <c r="AJ1289">
        <v>0</v>
      </c>
    </row>
    <row r="1290" spans="1:36" x14ac:dyDescent="0.3">
      <c r="A1290">
        <v>35</v>
      </c>
      <c r="B1290" t="s">
        <v>43</v>
      </c>
      <c r="C1290" s="6">
        <f t="shared" si="20"/>
        <v>0</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t="s">
        <v>43</v>
      </c>
      <c r="Y1290">
        <v>14</v>
      </c>
      <c r="Z1290">
        <v>3</v>
      </c>
      <c r="AA1290">
        <v>3</v>
      </c>
      <c r="AB1290">
        <v>80</v>
      </c>
      <c r="AC1290">
        <v>1</v>
      </c>
      <c r="AD1290">
        <v>15</v>
      </c>
      <c r="AE1290">
        <v>6</v>
      </c>
      <c r="AF1290">
        <v>3</v>
      </c>
      <c r="AG1290">
        <v>7</v>
      </c>
      <c r="AH1290">
        <v>7</v>
      </c>
      <c r="AI1290">
        <v>1</v>
      </c>
      <c r="AJ1290">
        <v>7</v>
      </c>
    </row>
    <row r="1291" spans="1:36" x14ac:dyDescent="0.3">
      <c r="A1291">
        <v>38</v>
      </c>
      <c r="B1291" t="s">
        <v>43</v>
      </c>
      <c r="C1291" s="6">
        <f t="shared" si="20"/>
        <v>0</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t="s">
        <v>43</v>
      </c>
      <c r="Y1291">
        <v>13</v>
      </c>
      <c r="Z1291">
        <v>3</v>
      </c>
      <c r="AA1291">
        <v>4</v>
      </c>
      <c r="AB1291">
        <v>80</v>
      </c>
      <c r="AC1291">
        <v>3</v>
      </c>
      <c r="AD1291">
        <v>13</v>
      </c>
      <c r="AE1291">
        <v>3</v>
      </c>
      <c r="AF1291">
        <v>3</v>
      </c>
      <c r="AG1291">
        <v>11</v>
      </c>
      <c r="AH1291">
        <v>10</v>
      </c>
      <c r="AI1291">
        <v>3</v>
      </c>
      <c r="AJ1291">
        <v>8</v>
      </c>
    </row>
    <row r="1292" spans="1:36" x14ac:dyDescent="0.3">
      <c r="A1292">
        <v>34</v>
      </c>
      <c r="B1292" t="s">
        <v>35</v>
      </c>
      <c r="C1292" s="6">
        <f t="shared" si="20"/>
        <v>1</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t="s">
        <v>43</v>
      </c>
      <c r="Y1292">
        <v>17</v>
      </c>
      <c r="Z1292">
        <v>3</v>
      </c>
      <c r="AA1292">
        <v>3</v>
      </c>
      <c r="AB1292">
        <v>80</v>
      </c>
      <c r="AC1292">
        <v>1</v>
      </c>
      <c r="AD1292">
        <v>11</v>
      </c>
      <c r="AE1292">
        <v>3</v>
      </c>
      <c r="AF1292">
        <v>2</v>
      </c>
      <c r="AG1292">
        <v>7</v>
      </c>
      <c r="AH1292">
        <v>1</v>
      </c>
      <c r="AI1292">
        <v>0</v>
      </c>
      <c r="AJ1292">
        <v>7</v>
      </c>
    </row>
    <row r="1293" spans="1:36" x14ac:dyDescent="0.3">
      <c r="A1293">
        <v>37</v>
      </c>
      <c r="B1293" t="s">
        <v>35</v>
      </c>
      <c r="C1293" s="6">
        <f t="shared" si="20"/>
        <v>1</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t="s">
        <v>43</v>
      </c>
      <c r="Y1293">
        <v>15</v>
      </c>
      <c r="Z1293">
        <v>3</v>
      </c>
      <c r="AA1293">
        <v>2</v>
      </c>
      <c r="AB1293">
        <v>80</v>
      </c>
      <c r="AC1293">
        <v>0</v>
      </c>
      <c r="AD1293">
        <v>10</v>
      </c>
      <c r="AE1293">
        <v>4</v>
      </c>
      <c r="AF1293">
        <v>1</v>
      </c>
      <c r="AG1293">
        <v>10</v>
      </c>
      <c r="AH1293">
        <v>3</v>
      </c>
      <c r="AI1293">
        <v>0</v>
      </c>
      <c r="AJ1293">
        <v>8</v>
      </c>
    </row>
    <row r="1294" spans="1:36" x14ac:dyDescent="0.3">
      <c r="A1294">
        <v>39</v>
      </c>
      <c r="B1294" t="s">
        <v>43</v>
      </c>
      <c r="C1294" s="6">
        <f t="shared" si="20"/>
        <v>0</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t="s">
        <v>43</v>
      </c>
      <c r="Y1294">
        <v>18</v>
      </c>
      <c r="Z1294">
        <v>3</v>
      </c>
      <c r="AA1294">
        <v>4</v>
      </c>
      <c r="AB1294">
        <v>80</v>
      </c>
      <c r="AC1294">
        <v>1</v>
      </c>
      <c r="AD1294">
        <v>7</v>
      </c>
      <c r="AE1294">
        <v>6</v>
      </c>
      <c r="AF1294">
        <v>3</v>
      </c>
      <c r="AG1294">
        <v>2</v>
      </c>
      <c r="AH1294">
        <v>1</v>
      </c>
      <c r="AI1294">
        <v>2</v>
      </c>
      <c r="AJ1294">
        <v>2</v>
      </c>
    </row>
    <row r="1295" spans="1:36" x14ac:dyDescent="0.3">
      <c r="A1295">
        <v>43</v>
      </c>
      <c r="B1295" t="s">
        <v>43</v>
      </c>
      <c r="C1295" s="6">
        <f t="shared" si="20"/>
        <v>0</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t="s">
        <v>43</v>
      </c>
      <c r="Y1295">
        <v>13</v>
      </c>
      <c r="Z1295">
        <v>3</v>
      </c>
      <c r="AA1295">
        <v>3</v>
      </c>
      <c r="AB1295">
        <v>80</v>
      </c>
      <c r="AC1295">
        <v>0</v>
      </c>
      <c r="AD1295">
        <v>7</v>
      </c>
      <c r="AE1295">
        <v>2</v>
      </c>
      <c r="AF1295">
        <v>2</v>
      </c>
      <c r="AG1295">
        <v>3</v>
      </c>
      <c r="AH1295">
        <v>2</v>
      </c>
      <c r="AI1295">
        <v>1</v>
      </c>
      <c r="AJ1295">
        <v>2</v>
      </c>
    </row>
    <row r="1296" spans="1:36" x14ac:dyDescent="0.3">
      <c r="A1296">
        <v>41</v>
      </c>
      <c r="B1296" t="s">
        <v>43</v>
      </c>
      <c r="C1296" s="6">
        <f t="shared" si="20"/>
        <v>0</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t="s">
        <v>43</v>
      </c>
      <c r="Y1296">
        <v>12</v>
      </c>
      <c r="Z1296">
        <v>3</v>
      </c>
      <c r="AA1296">
        <v>1</v>
      </c>
      <c r="AB1296">
        <v>80</v>
      </c>
      <c r="AC1296">
        <v>0</v>
      </c>
      <c r="AD1296">
        <v>11</v>
      </c>
      <c r="AE1296">
        <v>3</v>
      </c>
      <c r="AF1296">
        <v>1</v>
      </c>
      <c r="AG1296">
        <v>3</v>
      </c>
      <c r="AH1296">
        <v>2</v>
      </c>
      <c r="AI1296">
        <v>1</v>
      </c>
      <c r="AJ1296">
        <v>2</v>
      </c>
    </row>
    <row r="1297" spans="1:36" x14ac:dyDescent="0.3">
      <c r="A1297">
        <v>41</v>
      </c>
      <c r="B1297" t="s">
        <v>43</v>
      </c>
      <c r="C1297" s="6">
        <f t="shared" si="20"/>
        <v>0</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t="s">
        <v>35</v>
      </c>
      <c r="Y1297">
        <v>13</v>
      </c>
      <c r="Z1297">
        <v>3</v>
      </c>
      <c r="AA1297">
        <v>4</v>
      </c>
      <c r="AB1297">
        <v>80</v>
      </c>
      <c r="AC1297">
        <v>1</v>
      </c>
      <c r="AD1297">
        <v>23</v>
      </c>
      <c r="AE1297">
        <v>3</v>
      </c>
      <c r="AF1297">
        <v>4</v>
      </c>
      <c r="AG1297">
        <v>22</v>
      </c>
      <c r="AH1297">
        <v>14</v>
      </c>
      <c r="AI1297">
        <v>13</v>
      </c>
      <c r="AJ1297">
        <v>5</v>
      </c>
    </row>
    <row r="1298" spans="1:36" x14ac:dyDescent="0.3">
      <c r="A1298">
        <v>30</v>
      </c>
      <c r="B1298" t="s">
        <v>43</v>
      </c>
      <c r="C1298" s="6">
        <f t="shared" si="20"/>
        <v>0</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t="s">
        <v>43</v>
      </c>
      <c r="Y1298">
        <v>14</v>
      </c>
      <c r="Z1298">
        <v>3</v>
      </c>
      <c r="AA1298">
        <v>2</v>
      </c>
      <c r="AB1298">
        <v>80</v>
      </c>
      <c r="AC1298">
        <v>0</v>
      </c>
      <c r="AD1298">
        <v>9</v>
      </c>
      <c r="AE1298">
        <v>3</v>
      </c>
      <c r="AF1298">
        <v>3</v>
      </c>
      <c r="AG1298">
        <v>7</v>
      </c>
      <c r="AH1298">
        <v>7</v>
      </c>
      <c r="AI1298">
        <v>0</v>
      </c>
      <c r="AJ1298">
        <v>2</v>
      </c>
    </row>
    <row r="1299" spans="1:36" x14ac:dyDescent="0.3">
      <c r="A1299">
        <v>26</v>
      </c>
      <c r="B1299" t="s">
        <v>35</v>
      </c>
      <c r="C1299" s="6">
        <f t="shared" si="20"/>
        <v>1</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t="s">
        <v>35</v>
      </c>
      <c r="Y1299">
        <v>11</v>
      </c>
      <c r="Z1299">
        <v>3</v>
      </c>
      <c r="AA1299">
        <v>3</v>
      </c>
      <c r="AB1299">
        <v>80</v>
      </c>
      <c r="AC1299">
        <v>0</v>
      </c>
      <c r="AD1299">
        <v>6</v>
      </c>
      <c r="AE1299">
        <v>3</v>
      </c>
      <c r="AF1299">
        <v>3</v>
      </c>
      <c r="AG1299">
        <v>5</v>
      </c>
      <c r="AH1299">
        <v>1</v>
      </c>
      <c r="AI1299">
        <v>1</v>
      </c>
      <c r="AJ1299">
        <v>4</v>
      </c>
    </row>
    <row r="1300" spans="1:36" x14ac:dyDescent="0.3">
      <c r="A1300">
        <v>46</v>
      </c>
      <c r="B1300" t="s">
        <v>35</v>
      </c>
      <c r="C1300" s="6">
        <f t="shared" si="20"/>
        <v>1</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t="s">
        <v>43</v>
      </c>
      <c r="Y1300">
        <v>22</v>
      </c>
      <c r="Z1300">
        <v>4</v>
      </c>
      <c r="AA1300">
        <v>4</v>
      </c>
      <c r="AB1300">
        <v>80</v>
      </c>
      <c r="AC1300">
        <v>1</v>
      </c>
      <c r="AD1300">
        <v>13</v>
      </c>
      <c r="AE1300">
        <v>2</v>
      </c>
      <c r="AF1300">
        <v>4</v>
      </c>
      <c r="AG1300">
        <v>9</v>
      </c>
      <c r="AH1300">
        <v>7</v>
      </c>
      <c r="AI1300">
        <v>3</v>
      </c>
      <c r="AJ1300">
        <v>7</v>
      </c>
    </row>
    <row r="1301" spans="1:36" x14ac:dyDescent="0.3">
      <c r="A1301">
        <v>40</v>
      </c>
      <c r="B1301" t="s">
        <v>43</v>
      </c>
      <c r="C1301" s="6">
        <f t="shared" si="20"/>
        <v>0</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t="s">
        <v>43</v>
      </c>
      <c r="Y1301">
        <v>17</v>
      </c>
      <c r="Z1301">
        <v>3</v>
      </c>
      <c r="AA1301">
        <v>4</v>
      </c>
      <c r="AB1301">
        <v>80</v>
      </c>
      <c r="AC1301">
        <v>1</v>
      </c>
      <c r="AD1301">
        <v>12</v>
      </c>
      <c r="AE1301">
        <v>3</v>
      </c>
      <c r="AF1301">
        <v>3</v>
      </c>
      <c r="AG1301">
        <v>5</v>
      </c>
      <c r="AH1301">
        <v>3</v>
      </c>
      <c r="AI1301">
        <v>0</v>
      </c>
      <c r="AJ1301">
        <v>3</v>
      </c>
    </row>
    <row r="1302" spans="1:36" x14ac:dyDescent="0.3">
      <c r="A1302">
        <v>34</v>
      </c>
      <c r="B1302" t="s">
        <v>43</v>
      </c>
      <c r="C1302" s="6">
        <f t="shared" si="20"/>
        <v>0</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t="s">
        <v>43</v>
      </c>
      <c r="Y1302">
        <v>21</v>
      </c>
      <c r="Z1302">
        <v>4</v>
      </c>
      <c r="AA1302">
        <v>3</v>
      </c>
      <c r="AB1302">
        <v>80</v>
      </c>
      <c r="AC1302">
        <v>2</v>
      </c>
      <c r="AD1302">
        <v>10</v>
      </c>
      <c r="AE1302">
        <v>5</v>
      </c>
      <c r="AF1302">
        <v>3</v>
      </c>
      <c r="AG1302">
        <v>10</v>
      </c>
      <c r="AH1302">
        <v>8</v>
      </c>
      <c r="AI1302">
        <v>4</v>
      </c>
      <c r="AJ1302">
        <v>8</v>
      </c>
    </row>
    <row r="1303" spans="1:36" x14ac:dyDescent="0.3">
      <c r="A1303">
        <v>58</v>
      </c>
      <c r="B1303" t="s">
        <v>43</v>
      </c>
      <c r="C1303" s="6">
        <f t="shared" si="20"/>
        <v>0</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t="s">
        <v>43</v>
      </c>
      <c r="Y1303">
        <v>22</v>
      </c>
      <c r="Z1303">
        <v>4</v>
      </c>
      <c r="AA1303">
        <v>4</v>
      </c>
      <c r="AB1303">
        <v>80</v>
      </c>
      <c r="AC1303">
        <v>1</v>
      </c>
      <c r="AD1303">
        <v>37</v>
      </c>
      <c r="AE1303">
        <v>0</v>
      </c>
      <c r="AF1303">
        <v>2</v>
      </c>
      <c r="AG1303">
        <v>16</v>
      </c>
      <c r="AH1303">
        <v>9</v>
      </c>
      <c r="AI1303">
        <v>14</v>
      </c>
      <c r="AJ1303">
        <v>14</v>
      </c>
    </row>
    <row r="1304" spans="1:36" x14ac:dyDescent="0.3">
      <c r="A1304">
        <v>35</v>
      </c>
      <c r="B1304" t="s">
        <v>43</v>
      </c>
      <c r="C1304" s="6">
        <f t="shared" si="20"/>
        <v>0</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t="s">
        <v>43</v>
      </c>
      <c r="Y1304">
        <v>16</v>
      </c>
      <c r="Z1304">
        <v>3</v>
      </c>
      <c r="AA1304">
        <v>2</v>
      </c>
      <c r="AB1304">
        <v>80</v>
      </c>
      <c r="AC1304">
        <v>1</v>
      </c>
      <c r="AD1304">
        <v>6</v>
      </c>
      <c r="AE1304">
        <v>2</v>
      </c>
      <c r="AF1304">
        <v>4</v>
      </c>
      <c r="AG1304">
        <v>5</v>
      </c>
      <c r="AH1304">
        <v>4</v>
      </c>
      <c r="AI1304">
        <v>0</v>
      </c>
      <c r="AJ1304">
        <v>3</v>
      </c>
    </row>
    <row r="1305" spans="1:36" x14ac:dyDescent="0.3">
      <c r="A1305">
        <v>47</v>
      </c>
      <c r="B1305" t="s">
        <v>43</v>
      </c>
      <c r="C1305" s="6">
        <f t="shared" si="20"/>
        <v>0</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t="s">
        <v>35</v>
      </c>
      <c r="Y1305">
        <v>12</v>
      </c>
      <c r="Z1305">
        <v>3</v>
      </c>
      <c r="AA1305">
        <v>3</v>
      </c>
      <c r="AB1305">
        <v>80</v>
      </c>
      <c r="AC1305">
        <v>1</v>
      </c>
      <c r="AD1305">
        <v>28</v>
      </c>
      <c r="AE1305">
        <v>4</v>
      </c>
      <c r="AF1305">
        <v>3</v>
      </c>
      <c r="AG1305">
        <v>22</v>
      </c>
      <c r="AH1305">
        <v>11</v>
      </c>
      <c r="AI1305">
        <v>14</v>
      </c>
      <c r="AJ1305">
        <v>10</v>
      </c>
    </row>
    <row r="1306" spans="1:36" x14ac:dyDescent="0.3">
      <c r="A1306">
        <v>40</v>
      </c>
      <c r="B1306" t="s">
        <v>43</v>
      </c>
      <c r="C1306" s="6">
        <f t="shared" si="20"/>
        <v>0</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t="s">
        <v>43</v>
      </c>
      <c r="Y1306">
        <v>12</v>
      </c>
      <c r="Z1306">
        <v>3</v>
      </c>
      <c r="AA1306">
        <v>2</v>
      </c>
      <c r="AB1306">
        <v>80</v>
      </c>
      <c r="AC1306">
        <v>1</v>
      </c>
      <c r="AD1306">
        <v>15</v>
      </c>
      <c r="AE1306">
        <v>3</v>
      </c>
      <c r="AF1306">
        <v>3</v>
      </c>
      <c r="AG1306">
        <v>7</v>
      </c>
      <c r="AH1306">
        <v>4</v>
      </c>
      <c r="AI1306">
        <v>7</v>
      </c>
      <c r="AJ1306">
        <v>7</v>
      </c>
    </row>
    <row r="1307" spans="1:36" x14ac:dyDescent="0.3">
      <c r="A1307">
        <v>54</v>
      </c>
      <c r="B1307" t="s">
        <v>43</v>
      </c>
      <c r="C1307" s="6">
        <f t="shared" si="20"/>
        <v>0</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t="s">
        <v>43</v>
      </c>
      <c r="Y1307">
        <v>15</v>
      </c>
      <c r="Z1307">
        <v>3</v>
      </c>
      <c r="AA1307">
        <v>2</v>
      </c>
      <c r="AB1307">
        <v>80</v>
      </c>
      <c r="AC1307">
        <v>1</v>
      </c>
      <c r="AD1307">
        <v>14</v>
      </c>
      <c r="AE1307">
        <v>2</v>
      </c>
      <c r="AF1307">
        <v>2</v>
      </c>
      <c r="AG1307">
        <v>7</v>
      </c>
      <c r="AH1307">
        <v>1</v>
      </c>
      <c r="AI1307">
        <v>1</v>
      </c>
      <c r="AJ1307">
        <v>7</v>
      </c>
    </row>
    <row r="1308" spans="1:36" x14ac:dyDescent="0.3">
      <c r="A1308">
        <v>31</v>
      </c>
      <c r="B1308" t="s">
        <v>43</v>
      </c>
      <c r="C1308" s="6">
        <f t="shared" si="20"/>
        <v>0</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t="s">
        <v>43</v>
      </c>
      <c r="Y1308">
        <v>14</v>
      </c>
      <c r="Z1308">
        <v>3</v>
      </c>
      <c r="AA1308">
        <v>4</v>
      </c>
      <c r="AB1308">
        <v>80</v>
      </c>
      <c r="AC1308">
        <v>2</v>
      </c>
      <c r="AD1308">
        <v>9</v>
      </c>
      <c r="AE1308">
        <v>3</v>
      </c>
      <c r="AF1308">
        <v>3</v>
      </c>
      <c r="AG1308">
        <v>3</v>
      </c>
      <c r="AH1308">
        <v>2</v>
      </c>
      <c r="AI1308">
        <v>2</v>
      </c>
      <c r="AJ1308">
        <v>2</v>
      </c>
    </row>
    <row r="1309" spans="1:36" x14ac:dyDescent="0.3">
      <c r="A1309">
        <v>28</v>
      </c>
      <c r="B1309" t="s">
        <v>43</v>
      </c>
      <c r="C1309" s="6">
        <f t="shared" si="20"/>
        <v>0</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t="s">
        <v>43</v>
      </c>
      <c r="Y1309">
        <v>25</v>
      </c>
      <c r="Z1309">
        <v>4</v>
      </c>
      <c r="AA1309">
        <v>3</v>
      </c>
      <c r="AB1309">
        <v>80</v>
      </c>
      <c r="AC1309">
        <v>1</v>
      </c>
      <c r="AD1309">
        <v>3</v>
      </c>
      <c r="AE1309">
        <v>3</v>
      </c>
      <c r="AF1309">
        <v>3</v>
      </c>
      <c r="AG1309">
        <v>3</v>
      </c>
      <c r="AH1309">
        <v>2</v>
      </c>
      <c r="AI1309">
        <v>1</v>
      </c>
      <c r="AJ1309">
        <v>2</v>
      </c>
    </row>
    <row r="1310" spans="1:36" x14ac:dyDescent="0.3">
      <c r="A1310">
        <v>38</v>
      </c>
      <c r="B1310" t="s">
        <v>43</v>
      </c>
      <c r="C1310" s="6">
        <f t="shared" si="20"/>
        <v>0</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t="s">
        <v>35</v>
      </c>
      <c r="Y1310">
        <v>20</v>
      </c>
      <c r="Z1310">
        <v>4</v>
      </c>
      <c r="AA1310">
        <v>1</v>
      </c>
      <c r="AB1310">
        <v>80</v>
      </c>
      <c r="AC1310">
        <v>2</v>
      </c>
      <c r="AD1310">
        <v>20</v>
      </c>
      <c r="AE1310">
        <v>4</v>
      </c>
      <c r="AF1310">
        <v>2</v>
      </c>
      <c r="AG1310">
        <v>4</v>
      </c>
      <c r="AH1310">
        <v>2</v>
      </c>
      <c r="AI1310">
        <v>0</v>
      </c>
      <c r="AJ1310">
        <v>3</v>
      </c>
    </row>
    <row r="1311" spans="1:36" x14ac:dyDescent="0.3">
      <c r="A1311">
        <v>26</v>
      </c>
      <c r="B1311" t="s">
        <v>43</v>
      </c>
      <c r="C1311" s="6">
        <f t="shared" si="20"/>
        <v>0</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t="s">
        <v>43</v>
      </c>
      <c r="Y1311">
        <v>13</v>
      </c>
      <c r="Z1311">
        <v>3</v>
      </c>
      <c r="AA1311">
        <v>1</v>
      </c>
      <c r="AB1311">
        <v>80</v>
      </c>
      <c r="AC1311">
        <v>0</v>
      </c>
      <c r="AD1311">
        <v>5</v>
      </c>
      <c r="AE1311">
        <v>4</v>
      </c>
      <c r="AF1311">
        <v>3</v>
      </c>
      <c r="AG1311">
        <v>5</v>
      </c>
      <c r="AH1311">
        <v>3</v>
      </c>
      <c r="AI1311">
        <v>1</v>
      </c>
      <c r="AJ1311">
        <v>2</v>
      </c>
    </row>
    <row r="1312" spans="1:36" x14ac:dyDescent="0.3">
      <c r="A1312">
        <v>58</v>
      </c>
      <c r="B1312" t="s">
        <v>43</v>
      </c>
      <c r="C1312" s="6">
        <f t="shared" si="20"/>
        <v>0</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t="s">
        <v>35</v>
      </c>
      <c r="Y1312">
        <v>14</v>
      </c>
      <c r="Z1312">
        <v>3</v>
      </c>
      <c r="AA1312">
        <v>2</v>
      </c>
      <c r="AB1312">
        <v>80</v>
      </c>
      <c r="AC1312">
        <v>0</v>
      </c>
      <c r="AD1312">
        <v>23</v>
      </c>
      <c r="AE1312">
        <v>3</v>
      </c>
      <c r="AF1312">
        <v>3</v>
      </c>
      <c r="AG1312">
        <v>2</v>
      </c>
      <c r="AH1312">
        <v>2</v>
      </c>
      <c r="AI1312">
        <v>2</v>
      </c>
      <c r="AJ1312">
        <v>2</v>
      </c>
    </row>
    <row r="1313" spans="1:36" x14ac:dyDescent="0.3">
      <c r="A1313">
        <v>18</v>
      </c>
      <c r="B1313" t="s">
        <v>43</v>
      </c>
      <c r="C1313" s="6">
        <f t="shared" si="20"/>
        <v>0</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t="s">
        <v>43</v>
      </c>
      <c r="Y1313">
        <v>16</v>
      </c>
      <c r="Z1313">
        <v>3</v>
      </c>
      <c r="AA1313">
        <v>3</v>
      </c>
      <c r="AB1313">
        <v>80</v>
      </c>
      <c r="AC1313">
        <v>0</v>
      </c>
      <c r="AD1313">
        <v>0</v>
      </c>
      <c r="AE1313">
        <v>4</v>
      </c>
      <c r="AF1313">
        <v>1</v>
      </c>
      <c r="AG1313">
        <v>0</v>
      </c>
      <c r="AH1313">
        <v>0</v>
      </c>
      <c r="AI1313">
        <v>0</v>
      </c>
      <c r="AJ1313">
        <v>0</v>
      </c>
    </row>
    <row r="1314" spans="1:36" x14ac:dyDescent="0.3">
      <c r="A1314">
        <v>31</v>
      </c>
      <c r="B1314" t="s">
        <v>35</v>
      </c>
      <c r="C1314" s="6">
        <f t="shared" si="20"/>
        <v>1</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t="s">
        <v>43</v>
      </c>
      <c r="Y1314">
        <v>17</v>
      </c>
      <c r="Z1314">
        <v>3</v>
      </c>
      <c r="AA1314">
        <v>3</v>
      </c>
      <c r="AB1314">
        <v>80</v>
      </c>
      <c r="AC1314">
        <v>0</v>
      </c>
      <c r="AD1314">
        <v>2</v>
      </c>
      <c r="AE1314">
        <v>4</v>
      </c>
      <c r="AF1314">
        <v>3</v>
      </c>
      <c r="AG1314">
        <v>1</v>
      </c>
      <c r="AH1314">
        <v>0</v>
      </c>
      <c r="AI1314">
        <v>0</v>
      </c>
      <c r="AJ1314">
        <v>0</v>
      </c>
    </row>
    <row r="1315" spans="1:36" x14ac:dyDescent="0.3">
      <c r="A1315">
        <v>29</v>
      </c>
      <c r="B1315" t="s">
        <v>35</v>
      </c>
      <c r="C1315" s="6">
        <f t="shared" si="20"/>
        <v>1</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t="s">
        <v>35</v>
      </c>
      <c r="Y1315">
        <v>15</v>
      </c>
      <c r="Z1315">
        <v>3</v>
      </c>
      <c r="AA1315">
        <v>4</v>
      </c>
      <c r="AB1315">
        <v>80</v>
      </c>
      <c r="AC1315">
        <v>3</v>
      </c>
      <c r="AD1315">
        <v>4</v>
      </c>
      <c r="AE1315">
        <v>3</v>
      </c>
      <c r="AF1315">
        <v>3</v>
      </c>
      <c r="AG1315">
        <v>2</v>
      </c>
      <c r="AH1315">
        <v>2</v>
      </c>
      <c r="AI1315">
        <v>2</v>
      </c>
      <c r="AJ1315">
        <v>0</v>
      </c>
    </row>
    <row r="1316" spans="1:36" x14ac:dyDescent="0.3">
      <c r="A1316">
        <v>45</v>
      </c>
      <c r="B1316" t="s">
        <v>43</v>
      </c>
      <c r="C1316" s="6">
        <f t="shared" si="20"/>
        <v>0</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t="s">
        <v>43</v>
      </c>
      <c r="Y1316">
        <v>22</v>
      </c>
      <c r="Z1316">
        <v>4</v>
      </c>
      <c r="AA1316">
        <v>2</v>
      </c>
      <c r="AB1316">
        <v>80</v>
      </c>
      <c r="AC1316">
        <v>2</v>
      </c>
      <c r="AD1316">
        <v>10</v>
      </c>
      <c r="AE1316">
        <v>3</v>
      </c>
      <c r="AF1316">
        <v>4</v>
      </c>
      <c r="AG1316">
        <v>8</v>
      </c>
      <c r="AH1316">
        <v>7</v>
      </c>
      <c r="AI1316">
        <v>5</v>
      </c>
      <c r="AJ1316">
        <v>7</v>
      </c>
    </row>
    <row r="1317" spans="1:36" x14ac:dyDescent="0.3">
      <c r="A1317">
        <v>36</v>
      </c>
      <c r="B1317" t="s">
        <v>43</v>
      </c>
      <c r="C1317" s="6">
        <f t="shared" si="20"/>
        <v>0</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t="s">
        <v>35</v>
      </c>
      <c r="Y1317">
        <v>22</v>
      </c>
      <c r="Z1317">
        <v>4</v>
      </c>
      <c r="AA1317">
        <v>4</v>
      </c>
      <c r="AB1317">
        <v>80</v>
      </c>
      <c r="AC1317">
        <v>1</v>
      </c>
      <c r="AD1317">
        <v>15</v>
      </c>
      <c r="AE1317">
        <v>2</v>
      </c>
      <c r="AF1317">
        <v>3</v>
      </c>
      <c r="AG1317">
        <v>1</v>
      </c>
      <c r="AH1317">
        <v>0</v>
      </c>
      <c r="AI1317">
        <v>0</v>
      </c>
      <c r="AJ1317">
        <v>0</v>
      </c>
    </row>
    <row r="1318" spans="1:36" x14ac:dyDescent="0.3">
      <c r="A1318">
        <v>43</v>
      </c>
      <c r="B1318" t="s">
        <v>43</v>
      </c>
      <c r="C1318" s="6">
        <f t="shared" si="20"/>
        <v>0</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t="s">
        <v>43</v>
      </c>
      <c r="Y1318">
        <v>20</v>
      </c>
      <c r="Z1318">
        <v>4</v>
      </c>
      <c r="AA1318">
        <v>3</v>
      </c>
      <c r="AB1318">
        <v>80</v>
      </c>
      <c r="AC1318">
        <v>1</v>
      </c>
      <c r="AD1318">
        <v>7</v>
      </c>
      <c r="AE1318">
        <v>5</v>
      </c>
      <c r="AF1318">
        <v>3</v>
      </c>
      <c r="AG1318">
        <v>7</v>
      </c>
      <c r="AH1318">
        <v>7</v>
      </c>
      <c r="AI1318">
        <v>7</v>
      </c>
      <c r="AJ1318">
        <v>7</v>
      </c>
    </row>
    <row r="1319" spans="1:36" x14ac:dyDescent="0.3">
      <c r="A1319">
        <v>27</v>
      </c>
      <c r="B1319" t="s">
        <v>43</v>
      </c>
      <c r="C1319" s="6">
        <f t="shared" si="20"/>
        <v>0</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t="s">
        <v>35</v>
      </c>
      <c r="Y1319">
        <v>14</v>
      </c>
      <c r="Z1319">
        <v>3</v>
      </c>
      <c r="AA1319">
        <v>3</v>
      </c>
      <c r="AB1319">
        <v>80</v>
      </c>
      <c r="AC1319">
        <v>0</v>
      </c>
      <c r="AD1319">
        <v>6</v>
      </c>
      <c r="AE1319">
        <v>3</v>
      </c>
      <c r="AF1319">
        <v>2</v>
      </c>
      <c r="AG1319">
        <v>5</v>
      </c>
      <c r="AH1319">
        <v>4</v>
      </c>
      <c r="AI1319">
        <v>0</v>
      </c>
      <c r="AJ1319">
        <v>2</v>
      </c>
    </row>
    <row r="1320" spans="1:36" x14ac:dyDescent="0.3">
      <c r="A1320">
        <v>29</v>
      </c>
      <c r="B1320" t="s">
        <v>43</v>
      </c>
      <c r="C1320" s="6">
        <f t="shared" si="20"/>
        <v>0</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t="s">
        <v>43</v>
      </c>
      <c r="Y1320">
        <v>13</v>
      </c>
      <c r="Z1320">
        <v>3</v>
      </c>
      <c r="AA1320">
        <v>2</v>
      </c>
      <c r="AB1320">
        <v>80</v>
      </c>
      <c r="AC1320">
        <v>0</v>
      </c>
      <c r="AD1320">
        <v>11</v>
      </c>
      <c r="AE1320">
        <v>3</v>
      </c>
      <c r="AF1320">
        <v>4</v>
      </c>
      <c r="AG1320">
        <v>11</v>
      </c>
      <c r="AH1320">
        <v>8</v>
      </c>
      <c r="AI1320">
        <v>3</v>
      </c>
      <c r="AJ1320">
        <v>10</v>
      </c>
    </row>
    <row r="1321" spans="1:36" x14ac:dyDescent="0.3">
      <c r="A1321">
        <v>32</v>
      </c>
      <c r="B1321" t="s">
        <v>43</v>
      </c>
      <c r="C1321" s="6">
        <f t="shared" si="20"/>
        <v>0</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t="s">
        <v>43</v>
      </c>
      <c r="Y1321">
        <v>13</v>
      </c>
      <c r="Z1321">
        <v>3</v>
      </c>
      <c r="AA1321">
        <v>3</v>
      </c>
      <c r="AB1321">
        <v>80</v>
      </c>
      <c r="AC1321">
        <v>0</v>
      </c>
      <c r="AD1321">
        <v>4</v>
      </c>
      <c r="AE1321">
        <v>2</v>
      </c>
      <c r="AF1321">
        <v>4</v>
      </c>
      <c r="AG1321">
        <v>0</v>
      </c>
      <c r="AH1321">
        <v>0</v>
      </c>
      <c r="AI1321">
        <v>0</v>
      </c>
      <c r="AJ1321">
        <v>0</v>
      </c>
    </row>
    <row r="1322" spans="1:36" x14ac:dyDescent="0.3">
      <c r="A1322">
        <v>42</v>
      </c>
      <c r="B1322" t="s">
        <v>43</v>
      </c>
      <c r="C1322" s="6">
        <f t="shared" si="20"/>
        <v>0</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t="s">
        <v>43</v>
      </c>
      <c r="Y1322">
        <v>22</v>
      </c>
      <c r="Z1322">
        <v>4</v>
      </c>
      <c r="AA1322">
        <v>2</v>
      </c>
      <c r="AB1322">
        <v>80</v>
      </c>
      <c r="AC1322">
        <v>2</v>
      </c>
      <c r="AD1322">
        <v>10</v>
      </c>
      <c r="AE1322">
        <v>1</v>
      </c>
      <c r="AF1322">
        <v>2</v>
      </c>
      <c r="AG1322">
        <v>6</v>
      </c>
      <c r="AH1322">
        <v>3</v>
      </c>
      <c r="AI1322">
        <v>3</v>
      </c>
      <c r="AJ1322">
        <v>3</v>
      </c>
    </row>
    <row r="1323" spans="1:36" x14ac:dyDescent="0.3">
      <c r="A1323">
        <v>47</v>
      </c>
      <c r="B1323" t="s">
        <v>43</v>
      </c>
      <c r="C1323" s="6">
        <f t="shared" si="20"/>
        <v>0</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t="s">
        <v>43</v>
      </c>
      <c r="Y1323">
        <v>12</v>
      </c>
      <c r="Z1323">
        <v>3</v>
      </c>
      <c r="AA1323">
        <v>3</v>
      </c>
      <c r="AB1323">
        <v>80</v>
      </c>
      <c r="AC1323">
        <v>0</v>
      </c>
      <c r="AD1323">
        <v>7</v>
      </c>
      <c r="AE1323">
        <v>2</v>
      </c>
      <c r="AF1323">
        <v>3</v>
      </c>
      <c r="AG1323">
        <v>2</v>
      </c>
      <c r="AH1323">
        <v>2</v>
      </c>
      <c r="AI1323">
        <v>2</v>
      </c>
      <c r="AJ1323">
        <v>0</v>
      </c>
    </row>
    <row r="1324" spans="1:36" x14ac:dyDescent="0.3">
      <c r="A1324">
        <v>46</v>
      </c>
      <c r="B1324" t="s">
        <v>43</v>
      </c>
      <c r="C1324" s="6">
        <f t="shared" si="20"/>
        <v>0</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t="s">
        <v>43</v>
      </c>
      <c r="Y1324">
        <v>14</v>
      </c>
      <c r="Z1324">
        <v>3</v>
      </c>
      <c r="AA1324">
        <v>3</v>
      </c>
      <c r="AB1324">
        <v>80</v>
      </c>
      <c r="AC1324">
        <v>1</v>
      </c>
      <c r="AD1324">
        <v>12</v>
      </c>
      <c r="AE1324">
        <v>4</v>
      </c>
      <c r="AF1324">
        <v>2</v>
      </c>
      <c r="AG1324">
        <v>9</v>
      </c>
      <c r="AH1324">
        <v>8</v>
      </c>
      <c r="AI1324">
        <v>4</v>
      </c>
      <c r="AJ1324">
        <v>7</v>
      </c>
    </row>
    <row r="1325" spans="1:36" x14ac:dyDescent="0.3">
      <c r="A1325">
        <v>28</v>
      </c>
      <c r="B1325" t="s">
        <v>43</v>
      </c>
      <c r="C1325" s="6">
        <f t="shared" si="20"/>
        <v>0</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t="s">
        <v>43</v>
      </c>
      <c r="Y1325">
        <v>15</v>
      </c>
      <c r="Z1325">
        <v>3</v>
      </c>
      <c r="AA1325">
        <v>2</v>
      </c>
      <c r="AB1325">
        <v>80</v>
      </c>
      <c r="AC1325">
        <v>1</v>
      </c>
      <c r="AD1325">
        <v>3</v>
      </c>
      <c r="AE1325">
        <v>2</v>
      </c>
      <c r="AF1325">
        <v>3</v>
      </c>
      <c r="AG1325">
        <v>3</v>
      </c>
      <c r="AH1325">
        <v>2</v>
      </c>
      <c r="AI1325">
        <v>2</v>
      </c>
      <c r="AJ1325">
        <v>2</v>
      </c>
    </row>
    <row r="1326" spans="1:36" x14ac:dyDescent="0.3">
      <c r="A1326">
        <v>29</v>
      </c>
      <c r="B1326" t="s">
        <v>43</v>
      </c>
      <c r="C1326" s="6">
        <f t="shared" si="20"/>
        <v>0</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t="s">
        <v>43</v>
      </c>
      <c r="Y1326">
        <v>17</v>
      </c>
      <c r="Z1326">
        <v>3</v>
      </c>
      <c r="AA1326">
        <v>4</v>
      </c>
      <c r="AB1326">
        <v>80</v>
      </c>
      <c r="AC1326">
        <v>2</v>
      </c>
      <c r="AD1326">
        <v>11</v>
      </c>
      <c r="AE1326">
        <v>3</v>
      </c>
      <c r="AF1326">
        <v>3</v>
      </c>
      <c r="AG1326">
        <v>7</v>
      </c>
      <c r="AH1326">
        <v>0</v>
      </c>
      <c r="AI1326">
        <v>1</v>
      </c>
      <c r="AJ1326">
        <v>6</v>
      </c>
    </row>
    <row r="1327" spans="1:36" x14ac:dyDescent="0.3">
      <c r="A1327">
        <v>42</v>
      </c>
      <c r="B1327" t="s">
        <v>43</v>
      </c>
      <c r="C1327" s="6">
        <f t="shared" si="20"/>
        <v>0</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t="s">
        <v>43</v>
      </c>
      <c r="Y1327">
        <v>13</v>
      </c>
      <c r="Z1327">
        <v>3</v>
      </c>
      <c r="AA1327">
        <v>4</v>
      </c>
      <c r="AB1327">
        <v>80</v>
      </c>
      <c r="AC1327">
        <v>0</v>
      </c>
      <c r="AD1327">
        <v>8</v>
      </c>
      <c r="AE1327">
        <v>3</v>
      </c>
      <c r="AF1327">
        <v>3</v>
      </c>
      <c r="AG1327">
        <v>0</v>
      </c>
      <c r="AH1327">
        <v>0</v>
      </c>
      <c r="AI1327">
        <v>0</v>
      </c>
      <c r="AJ1327">
        <v>0</v>
      </c>
    </row>
    <row r="1328" spans="1:36" x14ac:dyDescent="0.3">
      <c r="A1328">
        <v>32</v>
      </c>
      <c r="B1328" t="s">
        <v>35</v>
      </c>
      <c r="C1328" s="6">
        <f t="shared" si="20"/>
        <v>1</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t="s">
        <v>35</v>
      </c>
      <c r="Y1328">
        <v>12</v>
      </c>
      <c r="Z1328">
        <v>3</v>
      </c>
      <c r="AA1328">
        <v>3</v>
      </c>
      <c r="AB1328">
        <v>80</v>
      </c>
      <c r="AC1328">
        <v>0</v>
      </c>
      <c r="AD1328">
        <v>7</v>
      </c>
      <c r="AE1328">
        <v>3</v>
      </c>
      <c r="AF1328">
        <v>2</v>
      </c>
      <c r="AG1328">
        <v>2</v>
      </c>
      <c r="AH1328">
        <v>2</v>
      </c>
      <c r="AI1328">
        <v>2</v>
      </c>
      <c r="AJ1328">
        <v>2</v>
      </c>
    </row>
    <row r="1329" spans="1:36" x14ac:dyDescent="0.3">
      <c r="A1329">
        <v>46</v>
      </c>
      <c r="B1329" t="s">
        <v>43</v>
      </c>
      <c r="C1329" s="6">
        <f t="shared" si="20"/>
        <v>0</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t="s">
        <v>43</v>
      </c>
      <c r="Y1329">
        <v>12</v>
      </c>
      <c r="Z1329">
        <v>3</v>
      </c>
      <c r="AA1329">
        <v>4</v>
      </c>
      <c r="AB1329">
        <v>80</v>
      </c>
      <c r="AC1329">
        <v>1</v>
      </c>
      <c r="AD1329">
        <v>25</v>
      </c>
      <c r="AE1329">
        <v>5</v>
      </c>
      <c r="AF1329">
        <v>3</v>
      </c>
      <c r="AG1329">
        <v>19</v>
      </c>
      <c r="AH1329">
        <v>17</v>
      </c>
      <c r="AI1329">
        <v>2</v>
      </c>
      <c r="AJ1329">
        <v>8</v>
      </c>
    </row>
    <row r="1330" spans="1:36" x14ac:dyDescent="0.3">
      <c r="A1330">
        <v>27</v>
      </c>
      <c r="B1330" t="s">
        <v>43</v>
      </c>
      <c r="C1330" s="6">
        <f t="shared" si="20"/>
        <v>0</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t="s">
        <v>43</v>
      </c>
      <c r="Y1330">
        <v>21</v>
      </c>
      <c r="Z1330">
        <v>4</v>
      </c>
      <c r="AA1330">
        <v>4</v>
      </c>
      <c r="AB1330">
        <v>80</v>
      </c>
      <c r="AC1330">
        <v>1</v>
      </c>
      <c r="AD1330">
        <v>9</v>
      </c>
      <c r="AE1330">
        <v>5</v>
      </c>
      <c r="AF1330">
        <v>3</v>
      </c>
      <c r="AG1330">
        <v>9</v>
      </c>
      <c r="AH1330">
        <v>8</v>
      </c>
      <c r="AI1330">
        <v>5</v>
      </c>
      <c r="AJ1330">
        <v>8</v>
      </c>
    </row>
    <row r="1331" spans="1:36" x14ac:dyDescent="0.3">
      <c r="A1331">
        <v>29</v>
      </c>
      <c r="B1331" t="s">
        <v>43</v>
      </c>
      <c r="C1331" s="6">
        <f t="shared" si="20"/>
        <v>0</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t="s">
        <v>43</v>
      </c>
      <c r="Y1331">
        <v>11</v>
      </c>
      <c r="Z1331">
        <v>3</v>
      </c>
      <c r="AA1331">
        <v>4</v>
      </c>
      <c r="AB1331">
        <v>80</v>
      </c>
      <c r="AC1331">
        <v>0</v>
      </c>
      <c r="AD1331">
        <v>1</v>
      </c>
      <c r="AE1331">
        <v>3</v>
      </c>
      <c r="AF1331">
        <v>3</v>
      </c>
      <c r="AG1331">
        <v>1</v>
      </c>
      <c r="AH1331">
        <v>0</v>
      </c>
      <c r="AI1331">
        <v>0</v>
      </c>
      <c r="AJ1331">
        <v>0</v>
      </c>
    </row>
    <row r="1332" spans="1:36" x14ac:dyDescent="0.3">
      <c r="A1332">
        <v>43</v>
      </c>
      <c r="B1332" t="s">
        <v>43</v>
      </c>
      <c r="C1332" s="6">
        <f t="shared" si="20"/>
        <v>0</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t="s">
        <v>43</v>
      </c>
      <c r="Y1332">
        <v>13</v>
      </c>
      <c r="Z1332">
        <v>3</v>
      </c>
      <c r="AA1332">
        <v>4</v>
      </c>
      <c r="AB1332">
        <v>80</v>
      </c>
      <c r="AC1332">
        <v>0</v>
      </c>
      <c r="AD1332">
        <v>21</v>
      </c>
      <c r="AE1332">
        <v>2</v>
      </c>
      <c r="AF1332">
        <v>3</v>
      </c>
      <c r="AG1332">
        <v>16</v>
      </c>
      <c r="AH1332">
        <v>12</v>
      </c>
      <c r="AI1332">
        <v>6</v>
      </c>
      <c r="AJ1332">
        <v>14</v>
      </c>
    </row>
    <row r="1333" spans="1:36" x14ac:dyDescent="0.3">
      <c r="A1333">
        <v>48</v>
      </c>
      <c r="B1333" t="s">
        <v>43</v>
      </c>
      <c r="C1333" s="6">
        <f t="shared" si="20"/>
        <v>0</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t="s">
        <v>43</v>
      </c>
      <c r="Y1333">
        <v>12</v>
      </c>
      <c r="Z1333">
        <v>3</v>
      </c>
      <c r="AA1333">
        <v>4</v>
      </c>
      <c r="AB1333">
        <v>80</v>
      </c>
      <c r="AC1333">
        <v>0</v>
      </c>
      <c r="AD1333">
        <v>29</v>
      </c>
      <c r="AE1333">
        <v>3</v>
      </c>
      <c r="AF1333">
        <v>3</v>
      </c>
      <c r="AG1333">
        <v>22</v>
      </c>
      <c r="AH1333">
        <v>10</v>
      </c>
      <c r="AI1333">
        <v>12</v>
      </c>
      <c r="AJ1333">
        <v>9</v>
      </c>
    </row>
    <row r="1334" spans="1:36" x14ac:dyDescent="0.3">
      <c r="A1334">
        <v>29</v>
      </c>
      <c r="B1334" t="s">
        <v>35</v>
      </c>
      <c r="C1334" s="6">
        <f t="shared" si="20"/>
        <v>1</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t="s">
        <v>35</v>
      </c>
      <c r="Y1334">
        <v>24</v>
      </c>
      <c r="Z1334">
        <v>4</v>
      </c>
      <c r="AA1334">
        <v>2</v>
      </c>
      <c r="AB1334">
        <v>80</v>
      </c>
      <c r="AC1334">
        <v>0</v>
      </c>
      <c r="AD1334">
        <v>1</v>
      </c>
      <c r="AE1334">
        <v>3</v>
      </c>
      <c r="AF1334">
        <v>2</v>
      </c>
      <c r="AG1334">
        <v>1</v>
      </c>
      <c r="AH1334">
        <v>0</v>
      </c>
      <c r="AI1334">
        <v>1</v>
      </c>
      <c r="AJ1334">
        <v>0</v>
      </c>
    </row>
    <row r="1335" spans="1:36" x14ac:dyDescent="0.3">
      <c r="A1335">
        <v>46</v>
      </c>
      <c r="B1335" t="s">
        <v>35</v>
      </c>
      <c r="C1335" s="6">
        <f t="shared" si="20"/>
        <v>1</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t="s">
        <v>43</v>
      </c>
      <c r="Y1335">
        <v>21</v>
      </c>
      <c r="Z1335">
        <v>4</v>
      </c>
      <c r="AA1335">
        <v>3</v>
      </c>
      <c r="AB1335">
        <v>80</v>
      </c>
      <c r="AC1335">
        <v>3</v>
      </c>
      <c r="AD1335">
        <v>14</v>
      </c>
      <c r="AE1335">
        <v>2</v>
      </c>
      <c r="AF1335">
        <v>3</v>
      </c>
      <c r="AG1335">
        <v>8</v>
      </c>
      <c r="AH1335">
        <v>7</v>
      </c>
      <c r="AI1335">
        <v>0</v>
      </c>
      <c r="AJ1335">
        <v>7</v>
      </c>
    </row>
    <row r="1336" spans="1:36" x14ac:dyDescent="0.3">
      <c r="A1336">
        <v>27</v>
      </c>
      <c r="B1336" t="s">
        <v>43</v>
      </c>
      <c r="C1336" s="6">
        <f t="shared" si="20"/>
        <v>0</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t="s">
        <v>43</v>
      </c>
      <c r="Y1336">
        <v>19</v>
      </c>
      <c r="Z1336">
        <v>3</v>
      </c>
      <c r="AA1336">
        <v>4</v>
      </c>
      <c r="AB1336">
        <v>80</v>
      </c>
      <c r="AC1336">
        <v>1</v>
      </c>
      <c r="AD1336">
        <v>8</v>
      </c>
      <c r="AE1336">
        <v>2</v>
      </c>
      <c r="AF1336">
        <v>2</v>
      </c>
      <c r="AG1336">
        <v>7</v>
      </c>
      <c r="AH1336">
        <v>6</v>
      </c>
      <c r="AI1336">
        <v>7</v>
      </c>
      <c r="AJ1336">
        <v>3</v>
      </c>
    </row>
    <row r="1337" spans="1:36" x14ac:dyDescent="0.3">
      <c r="A1337">
        <v>39</v>
      </c>
      <c r="B1337" t="s">
        <v>43</v>
      </c>
      <c r="C1337" s="6">
        <f t="shared" si="20"/>
        <v>0</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t="s">
        <v>43</v>
      </c>
      <c r="Y1337">
        <v>14</v>
      </c>
      <c r="Z1337">
        <v>3</v>
      </c>
      <c r="AA1337">
        <v>2</v>
      </c>
      <c r="AB1337">
        <v>80</v>
      </c>
      <c r="AC1337">
        <v>3</v>
      </c>
      <c r="AD1337">
        <v>7</v>
      </c>
      <c r="AE1337">
        <v>2</v>
      </c>
      <c r="AF1337">
        <v>3</v>
      </c>
      <c r="AG1337">
        <v>2</v>
      </c>
      <c r="AH1337">
        <v>2</v>
      </c>
      <c r="AI1337">
        <v>2</v>
      </c>
      <c r="AJ1337">
        <v>2</v>
      </c>
    </row>
    <row r="1338" spans="1:36" x14ac:dyDescent="0.3">
      <c r="A1338">
        <v>55</v>
      </c>
      <c r="B1338" t="s">
        <v>43</v>
      </c>
      <c r="C1338" s="6">
        <f t="shared" si="20"/>
        <v>0</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t="s">
        <v>43</v>
      </c>
      <c r="Y1338">
        <v>20</v>
      </c>
      <c r="Z1338">
        <v>4</v>
      </c>
      <c r="AA1338">
        <v>2</v>
      </c>
      <c r="AB1338">
        <v>80</v>
      </c>
      <c r="AC1338">
        <v>1</v>
      </c>
      <c r="AD1338">
        <v>19</v>
      </c>
      <c r="AE1338">
        <v>2</v>
      </c>
      <c r="AF1338">
        <v>4</v>
      </c>
      <c r="AG1338">
        <v>5</v>
      </c>
      <c r="AH1338">
        <v>2</v>
      </c>
      <c r="AI1338">
        <v>0</v>
      </c>
      <c r="AJ1338">
        <v>4</v>
      </c>
    </row>
    <row r="1339" spans="1:36" x14ac:dyDescent="0.3">
      <c r="A1339">
        <v>28</v>
      </c>
      <c r="B1339" t="s">
        <v>43</v>
      </c>
      <c r="C1339" s="6">
        <f t="shared" si="20"/>
        <v>0</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t="s">
        <v>43</v>
      </c>
      <c r="Y1339">
        <v>19</v>
      </c>
      <c r="Z1339">
        <v>3</v>
      </c>
      <c r="AA1339">
        <v>4</v>
      </c>
      <c r="AB1339">
        <v>80</v>
      </c>
      <c r="AC1339">
        <v>1</v>
      </c>
      <c r="AD1339">
        <v>1</v>
      </c>
      <c r="AE1339">
        <v>3</v>
      </c>
      <c r="AF1339">
        <v>3</v>
      </c>
      <c r="AG1339">
        <v>1</v>
      </c>
      <c r="AH1339">
        <v>0</v>
      </c>
      <c r="AI1339">
        <v>0</v>
      </c>
      <c r="AJ1339">
        <v>0</v>
      </c>
    </row>
    <row r="1340" spans="1:36" x14ac:dyDescent="0.3">
      <c r="A1340">
        <v>30</v>
      </c>
      <c r="B1340" t="s">
        <v>35</v>
      </c>
      <c r="C1340" s="6">
        <f t="shared" si="20"/>
        <v>1</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t="s">
        <v>43</v>
      </c>
      <c r="Y1340">
        <v>13</v>
      </c>
      <c r="Z1340">
        <v>3</v>
      </c>
      <c r="AA1340">
        <v>3</v>
      </c>
      <c r="AB1340">
        <v>80</v>
      </c>
      <c r="AC1340">
        <v>0</v>
      </c>
      <c r="AD1340">
        <v>1</v>
      </c>
      <c r="AE1340">
        <v>3</v>
      </c>
      <c r="AF1340">
        <v>2</v>
      </c>
      <c r="AG1340">
        <v>1</v>
      </c>
      <c r="AH1340">
        <v>0</v>
      </c>
      <c r="AI1340">
        <v>0</v>
      </c>
      <c r="AJ1340">
        <v>0</v>
      </c>
    </row>
    <row r="1341" spans="1:36" x14ac:dyDescent="0.3">
      <c r="A1341">
        <v>22</v>
      </c>
      <c r="B1341" t="s">
        <v>35</v>
      </c>
      <c r="C1341" s="6">
        <f t="shared" si="20"/>
        <v>1</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t="s">
        <v>35</v>
      </c>
      <c r="Y1341">
        <v>23</v>
      </c>
      <c r="Z1341">
        <v>4</v>
      </c>
      <c r="AA1341">
        <v>1</v>
      </c>
      <c r="AB1341">
        <v>80</v>
      </c>
      <c r="AC1341">
        <v>0</v>
      </c>
      <c r="AD1341">
        <v>1</v>
      </c>
      <c r="AE1341">
        <v>2</v>
      </c>
      <c r="AF1341">
        <v>3</v>
      </c>
      <c r="AG1341">
        <v>1</v>
      </c>
      <c r="AH1341">
        <v>0</v>
      </c>
      <c r="AI1341">
        <v>0</v>
      </c>
      <c r="AJ1341">
        <v>0</v>
      </c>
    </row>
    <row r="1342" spans="1:36" x14ac:dyDescent="0.3">
      <c r="A1342">
        <v>36</v>
      </c>
      <c r="B1342" t="s">
        <v>43</v>
      </c>
      <c r="C1342" s="6">
        <f t="shared" si="20"/>
        <v>0</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t="s">
        <v>35</v>
      </c>
      <c r="Y1342">
        <v>13</v>
      </c>
      <c r="Z1342">
        <v>3</v>
      </c>
      <c r="AA1342">
        <v>1</v>
      </c>
      <c r="AB1342">
        <v>80</v>
      </c>
      <c r="AC1342">
        <v>1</v>
      </c>
      <c r="AD1342">
        <v>10</v>
      </c>
      <c r="AE1342">
        <v>4</v>
      </c>
      <c r="AF1342">
        <v>3</v>
      </c>
      <c r="AG1342">
        <v>10</v>
      </c>
      <c r="AH1342">
        <v>9</v>
      </c>
      <c r="AI1342">
        <v>1</v>
      </c>
      <c r="AJ1342">
        <v>7</v>
      </c>
    </row>
    <row r="1343" spans="1:36" x14ac:dyDescent="0.3">
      <c r="A1343">
        <v>31</v>
      </c>
      <c r="B1343" t="s">
        <v>43</v>
      </c>
      <c r="C1343" s="6">
        <f t="shared" si="20"/>
        <v>0</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t="s">
        <v>43</v>
      </c>
      <c r="Y1343">
        <v>11</v>
      </c>
      <c r="Z1343">
        <v>3</v>
      </c>
      <c r="AA1343">
        <v>1</v>
      </c>
      <c r="AB1343">
        <v>80</v>
      </c>
      <c r="AC1343">
        <v>1</v>
      </c>
      <c r="AD1343">
        <v>10</v>
      </c>
      <c r="AE1343">
        <v>2</v>
      </c>
      <c r="AF1343">
        <v>3</v>
      </c>
      <c r="AG1343">
        <v>10</v>
      </c>
      <c r="AH1343">
        <v>8</v>
      </c>
      <c r="AI1343">
        <v>0</v>
      </c>
      <c r="AJ1343">
        <v>2</v>
      </c>
    </row>
    <row r="1344" spans="1:36" x14ac:dyDescent="0.3">
      <c r="A1344">
        <v>34</v>
      </c>
      <c r="B1344" t="s">
        <v>43</v>
      </c>
      <c r="C1344" s="6">
        <f t="shared" si="20"/>
        <v>0</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t="s">
        <v>35</v>
      </c>
      <c r="Y1344">
        <v>13</v>
      </c>
      <c r="Z1344">
        <v>3</v>
      </c>
      <c r="AA1344">
        <v>4</v>
      </c>
      <c r="AB1344">
        <v>80</v>
      </c>
      <c r="AC1344">
        <v>3</v>
      </c>
      <c r="AD1344">
        <v>9</v>
      </c>
      <c r="AE1344">
        <v>3</v>
      </c>
      <c r="AF1344">
        <v>3</v>
      </c>
      <c r="AG1344">
        <v>5</v>
      </c>
      <c r="AH1344">
        <v>3</v>
      </c>
      <c r="AI1344">
        <v>1</v>
      </c>
      <c r="AJ1344">
        <v>0</v>
      </c>
    </row>
    <row r="1345" spans="1:36" x14ac:dyDescent="0.3">
      <c r="A1345">
        <v>29</v>
      </c>
      <c r="B1345" t="s">
        <v>43</v>
      </c>
      <c r="C1345" s="6">
        <f t="shared" si="20"/>
        <v>0</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t="s">
        <v>43</v>
      </c>
      <c r="Y1345">
        <v>14</v>
      </c>
      <c r="Z1345">
        <v>3</v>
      </c>
      <c r="AA1345">
        <v>2</v>
      </c>
      <c r="AB1345">
        <v>80</v>
      </c>
      <c r="AC1345">
        <v>0</v>
      </c>
      <c r="AD1345">
        <v>11</v>
      </c>
      <c r="AE1345">
        <v>2</v>
      </c>
      <c r="AF1345">
        <v>3</v>
      </c>
      <c r="AG1345">
        <v>3</v>
      </c>
      <c r="AH1345">
        <v>2</v>
      </c>
      <c r="AI1345">
        <v>1</v>
      </c>
      <c r="AJ1345">
        <v>2</v>
      </c>
    </row>
    <row r="1346" spans="1:36" x14ac:dyDescent="0.3">
      <c r="A1346">
        <v>37</v>
      </c>
      <c r="B1346" t="s">
        <v>43</v>
      </c>
      <c r="C1346" s="6">
        <f t="shared" si="20"/>
        <v>0</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t="s">
        <v>35</v>
      </c>
      <c r="Y1346">
        <v>22</v>
      </c>
      <c r="Z1346">
        <v>4</v>
      </c>
      <c r="AA1346">
        <v>3</v>
      </c>
      <c r="AB1346">
        <v>80</v>
      </c>
      <c r="AC1346">
        <v>1</v>
      </c>
      <c r="AD1346">
        <v>16</v>
      </c>
      <c r="AE1346">
        <v>2</v>
      </c>
      <c r="AF1346">
        <v>3</v>
      </c>
      <c r="AG1346">
        <v>5</v>
      </c>
      <c r="AH1346">
        <v>3</v>
      </c>
      <c r="AI1346">
        <v>0</v>
      </c>
      <c r="AJ1346">
        <v>4</v>
      </c>
    </row>
    <row r="1347" spans="1:36" x14ac:dyDescent="0.3">
      <c r="A1347">
        <v>35</v>
      </c>
      <c r="B1347" t="s">
        <v>43</v>
      </c>
      <c r="C1347" s="6">
        <f t="shared" ref="C1347:C1410" si="21">IF(B1347="Yes",1,0)</f>
        <v>0</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t="s">
        <v>35</v>
      </c>
      <c r="Y1347">
        <v>11</v>
      </c>
      <c r="Z1347">
        <v>3</v>
      </c>
      <c r="AA1347">
        <v>4</v>
      </c>
      <c r="AB1347">
        <v>80</v>
      </c>
      <c r="AC1347">
        <v>0</v>
      </c>
      <c r="AD1347">
        <v>4</v>
      </c>
      <c r="AE1347">
        <v>2</v>
      </c>
      <c r="AF1347">
        <v>3</v>
      </c>
      <c r="AG1347">
        <v>3</v>
      </c>
      <c r="AH1347">
        <v>2</v>
      </c>
      <c r="AI1347">
        <v>0</v>
      </c>
      <c r="AJ1347">
        <v>2</v>
      </c>
    </row>
    <row r="1348" spans="1:36" x14ac:dyDescent="0.3">
      <c r="A1348">
        <v>45</v>
      </c>
      <c r="B1348" t="s">
        <v>43</v>
      </c>
      <c r="C1348" s="6">
        <f t="shared" si="21"/>
        <v>0</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t="s">
        <v>43</v>
      </c>
      <c r="Y1348">
        <v>13</v>
      </c>
      <c r="Z1348">
        <v>3</v>
      </c>
      <c r="AA1348">
        <v>4</v>
      </c>
      <c r="AB1348">
        <v>80</v>
      </c>
      <c r="AC1348">
        <v>2</v>
      </c>
      <c r="AD1348">
        <v>10</v>
      </c>
      <c r="AE1348">
        <v>2</v>
      </c>
      <c r="AF1348">
        <v>2</v>
      </c>
      <c r="AG1348">
        <v>9</v>
      </c>
      <c r="AH1348">
        <v>8</v>
      </c>
      <c r="AI1348">
        <v>3</v>
      </c>
      <c r="AJ1348">
        <v>8</v>
      </c>
    </row>
    <row r="1349" spans="1:36" x14ac:dyDescent="0.3">
      <c r="A1349">
        <v>36</v>
      </c>
      <c r="B1349" t="s">
        <v>43</v>
      </c>
      <c r="C1349" s="6">
        <f t="shared" si="21"/>
        <v>0</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t="s">
        <v>43</v>
      </c>
      <c r="Y1349">
        <v>21</v>
      </c>
      <c r="Z1349">
        <v>4</v>
      </c>
      <c r="AA1349">
        <v>4</v>
      </c>
      <c r="AB1349">
        <v>80</v>
      </c>
      <c r="AC1349">
        <v>0</v>
      </c>
      <c r="AD1349">
        <v>10</v>
      </c>
      <c r="AE1349">
        <v>2</v>
      </c>
      <c r="AF1349">
        <v>2</v>
      </c>
      <c r="AG1349">
        <v>10</v>
      </c>
      <c r="AH1349">
        <v>1</v>
      </c>
      <c r="AI1349">
        <v>0</v>
      </c>
      <c r="AJ1349">
        <v>8</v>
      </c>
    </row>
    <row r="1350" spans="1:36" x14ac:dyDescent="0.3">
      <c r="A1350">
        <v>40</v>
      </c>
      <c r="B1350" t="s">
        <v>43</v>
      </c>
      <c r="C1350" s="6">
        <f t="shared" si="21"/>
        <v>0</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t="s">
        <v>43</v>
      </c>
      <c r="Y1350">
        <v>11</v>
      </c>
      <c r="Z1350">
        <v>3</v>
      </c>
      <c r="AA1350">
        <v>1</v>
      </c>
      <c r="AB1350">
        <v>80</v>
      </c>
      <c r="AC1350">
        <v>1</v>
      </c>
      <c r="AD1350">
        <v>22</v>
      </c>
      <c r="AE1350">
        <v>3</v>
      </c>
      <c r="AF1350">
        <v>3</v>
      </c>
      <c r="AG1350">
        <v>19</v>
      </c>
      <c r="AH1350">
        <v>7</v>
      </c>
      <c r="AI1350">
        <v>11</v>
      </c>
      <c r="AJ1350">
        <v>16</v>
      </c>
    </row>
    <row r="1351" spans="1:36" x14ac:dyDescent="0.3">
      <c r="A1351">
        <v>26</v>
      </c>
      <c r="B1351" t="s">
        <v>43</v>
      </c>
      <c r="C1351" s="6">
        <f t="shared" si="21"/>
        <v>0</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t="s">
        <v>35</v>
      </c>
      <c r="Y1351">
        <v>13</v>
      </c>
      <c r="Z1351">
        <v>3</v>
      </c>
      <c r="AA1351">
        <v>3</v>
      </c>
      <c r="AB1351">
        <v>80</v>
      </c>
      <c r="AC1351">
        <v>1</v>
      </c>
      <c r="AD1351">
        <v>1</v>
      </c>
      <c r="AE1351">
        <v>3</v>
      </c>
      <c r="AF1351">
        <v>2</v>
      </c>
      <c r="AG1351">
        <v>1</v>
      </c>
      <c r="AH1351">
        <v>0</v>
      </c>
      <c r="AI1351">
        <v>1</v>
      </c>
      <c r="AJ1351">
        <v>0</v>
      </c>
    </row>
    <row r="1352" spans="1:36" x14ac:dyDescent="0.3">
      <c r="A1352">
        <v>27</v>
      </c>
      <c r="B1352" t="s">
        <v>43</v>
      </c>
      <c r="C1352" s="6">
        <f t="shared" si="21"/>
        <v>0</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t="s">
        <v>43</v>
      </c>
      <c r="Y1352">
        <v>14</v>
      </c>
      <c r="Z1352">
        <v>3</v>
      </c>
      <c r="AA1352">
        <v>2</v>
      </c>
      <c r="AB1352">
        <v>80</v>
      </c>
      <c r="AC1352">
        <v>0</v>
      </c>
      <c r="AD1352">
        <v>9</v>
      </c>
      <c r="AE1352">
        <v>5</v>
      </c>
      <c r="AF1352">
        <v>2</v>
      </c>
      <c r="AG1352">
        <v>8</v>
      </c>
      <c r="AH1352">
        <v>7</v>
      </c>
      <c r="AI1352">
        <v>0</v>
      </c>
      <c r="AJ1352">
        <v>7</v>
      </c>
    </row>
    <row r="1353" spans="1:36" x14ac:dyDescent="0.3">
      <c r="A1353">
        <v>48</v>
      </c>
      <c r="B1353" t="s">
        <v>43</v>
      </c>
      <c r="C1353" s="6">
        <f t="shared" si="21"/>
        <v>0</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t="s">
        <v>43</v>
      </c>
      <c r="Y1353">
        <v>11</v>
      </c>
      <c r="Z1353">
        <v>3</v>
      </c>
      <c r="AA1353">
        <v>2</v>
      </c>
      <c r="AB1353">
        <v>80</v>
      </c>
      <c r="AC1353">
        <v>1</v>
      </c>
      <c r="AD1353">
        <v>24</v>
      </c>
      <c r="AE1353">
        <v>3</v>
      </c>
      <c r="AF1353">
        <v>3</v>
      </c>
      <c r="AG1353">
        <v>22</v>
      </c>
      <c r="AH1353">
        <v>17</v>
      </c>
      <c r="AI1353">
        <v>4</v>
      </c>
      <c r="AJ1353">
        <v>7</v>
      </c>
    </row>
    <row r="1354" spans="1:36" x14ac:dyDescent="0.3">
      <c r="A1354">
        <v>44</v>
      </c>
      <c r="B1354" t="s">
        <v>43</v>
      </c>
      <c r="C1354" s="6">
        <f t="shared" si="21"/>
        <v>0</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t="s">
        <v>43</v>
      </c>
      <c r="Y1354">
        <v>15</v>
      </c>
      <c r="Z1354">
        <v>3</v>
      </c>
      <c r="AA1354">
        <v>4</v>
      </c>
      <c r="AB1354">
        <v>80</v>
      </c>
      <c r="AC1354">
        <v>1</v>
      </c>
      <c r="AD1354">
        <v>10</v>
      </c>
      <c r="AE1354">
        <v>5</v>
      </c>
      <c r="AF1354">
        <v>3</v>
      </c>
      <c r="AG1354">
        <v>2</v>
      </c>
      <c r="AH1354">
        <v>0</v>
      </c>
      <c r="AI1354">
        <v>2</v>
      </c>
      <c r="AJ1354">
        <v>2</v>
      </c>
    </row>
    <row r="1355" spans="1:36" x14ac:dyDescent="0.3">
      <c r="A1355">
        <v>34</v>
      </c>
      <c r="B1355" t="s">
        <v>35</v>
      </c>
      <c r="C1355" s="6">
        <f t="shared" si="21"/>
        <v>1</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t="s">
        <v>35</v>
      </c>
      <c r="Y1355">
        <v>23</v>
      </c>
      <c r="Z1355">
        <v>4</v>
      </c>
      <c r="AA1355">
        <v>2</v>
      </c>
      <c r="AB1355">
        <v>80</v>
      </c>
      <c r="AC1355">
        <v>1</v>
      </c>
      <c r="AD1355">
        <v>5</v>
      </c>
      <c r="AE1355">
        <v>2</v>
      </c>
      <c r="AF1355">
        <v>3</v>
      </c>
      <c r="AG1355">
        <v>5</v>
      </c>
      <c r="AH1355">
        <v>2</v>
      </c>
      <c r="AI1355">
        <v>3</v>
      </c>
      <c r="AJ1355">
        <v>0</v>
      </c>
    </row>
    <row r="1356" spans="1:36" x14ac:dyDescent="0.3">
      <c r="A1356">
        <v>56</v>
      </c>
      <c r="B1356" t="s">
        <v>35</v>
      </c>
      <c r="C1356" s="6">
        <f t="shared" si="21"/>
        <v>1</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t="s">
        <v>43</v>
      </c>
      <c r="Y1356">
        <v>16</v>
      </c>
      <c r="Z1356">
        <v>3</v>
      </c>
      <c r="AA1356">
        <v>4</v>
      </c>
      <c r="AB1356">
        <v>80</v>
      </c>
      <c r="AC1356">
        <v>0</v>
      </c>
      <c r="AD1356">
        <v>5</v>
      </c>
      <c r="AE1356">
        <v>3</v>
      </c>
      <c r="AF1356">
        <v>3</v>
      </c>
      <c r="AG1356">
        <v>4</v>
      </c>
      <c r="AH1356">
        <v>2</v>
      </c>
      <c r="AI1356">
        <v>1</v>
      </c>
      <c r="AJ1356">
        <v>0</v>
      </c>
    </row>
    <row r="1357" spans="1:36" x14ac:dyDescent="0.3">
      <c r="A1357">
        <v>36</v>
      </c>
      <c r="B1357" t="s">
        <v>43</v>
      </c>
      <c r="C1357" s="6">
        <f t="shared" si="21"/>
        <v>0</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t="s">
        <v>43</v>
      </c>
      <c r="Y1357">
        <v>16</v>
      </c>
      <c r="Z1357">
        <v>3</v>
      </c>
      <c r="AA1357">
        <v>3</v>
      </c>
      <c r="AB1357">
        <v>80</v>
      </c>
      <c r="AC1357">
        <v>2</v>
      </c>
      <c r="AD1357">
        <v>12</v>
      </c>
      <c r="AE1357">
        <v>1</v>
      </c>
      <c r="AF1357">
        <v>1</v>
      </c>
      <c r="AG1357">
        <v>4</v>
      </c>
      <c r="AH1357">
        <v>2</v>
      </c>
      <c r="AI1357">
        <v>1</v>
      </c>
      <c r="AJ1357">
        <v>3</v>
      </c>
    </row>
    <row r="1358" spans="1:36" x14ac:dyDescent="0.3">
      <c r="A1358">
        <v>41</v>
      </c>
      <c r="B1358" t="s">
        <v>43</v>
      </c>
      <c r="C1358" s="6">
        <f t="shared" si="21"/>
        <v>0</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t="s">
        <v>43</v>
      </c>
      <c r="Y1358">
        <v>21</v>
      </c>
      <c r="Z1358">
        <v>4</v>
      </c>
      <c r="AA1358">
        <v>3</v>
      </c>
      <c r="AB1358">
        <v>80</v>
      </c>
      <c r="AC1358">
        <v>1</v>
      </c>
      <c r="AD1358">
        <v>14</v>
      </c>
      <c r="AE1358">
        <v>3</v>
      </c>
      <c r="AF1358">
        <v>3</v>
      </c>
      <c r="AG1358">
        <v>5</v>
      </c>
      <c r="AH1358">
        <v>4</v>
      </c>
      <c r="AI1358">
        <v>1</v>
      </c>
      <c r="AJ1358">
        <v>4</v>
      </c>
    </row>
    <row r="1359" spans="1:36" x14ac:dyDescent="0.3">
      <c r="A1359">
        <v>42</v>
      </c>
      <c r="B1359" t="s">
        <v>43</v>
      </c>
      <c r="C1359" s="6">
        <f t="shared" si="21"/>
        <v>0</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t="s">
        <v>43</v>
      </c>
      <c r="Y1359">
        <v>13</v>
      </c>
      <c r="Z1359">
        <v>3</v>
      </c>
      <c r="AA1359">
        <v>2</v>
      </c>
      <c r="AB1359">
        <v>80</v>
      </c>
      <c r="AC1359">
        <v>1</v>
      </c>
      <c r="AD1359">
        <v>18</v>
      </c>
      <c r="AE1359">
        <v>3</v>
      </c>
      <c r="AF1359">
        <v>4</v>
      </c>
      <c r="AG1359">
        <v>13</v>
      </c>
      <c r="AH1359">
        <v>7</v>
      </c>
      <c r="AI1359">
        <v>5</v>
      </c>
      <c r="AJ1359">
        <v>7</v>
      </c>
    </row>
    <row r="1360" spans="1:36" x14ac:dyDescent="0.3">
      <c r="A1360">
        <v>31</v>
      </c>
      <c r="B1360" t="s">
        <v>43</v>
      </c>
      <c r="C1360" s="6">
        <f t="shared" si="21"/>
        <v>0</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t="s">
        <v>35</v>
      </c>
      <c r="Y1360">
        <v>11</v>
      </c>
      <c r="Z1360">
        <v>3</v>
      </c>
      <c r="AA1360">
        <v>4</v>
      </c>
      <c r="AB1360">
        <v>80</v>
      </c>
      <c r="AC1360">
        <v>1</v>
      </c>
      <c r="AD1360">
        <v>8</v>
      </c>
      <c r="AE1360">
        <v>2</v>
      </c>
      <c r="AF1360">
        <v>3</v>
      </c>
      <c r="AG1360">
        <v>5</v>
      </c>
      <c r="AH1360">
        <v>2</v>
      </c>
      <c r="AI1360">
        <v>1</v>
      </c>
      <c r="AJ1360">
        <v>4</v>
      </c>
    </row>
    <row r="1361" spans="1:36" x14ac:dyDescent="0.3">
      <c r="A1361">
        <v>34</v>
      </c>
      <c r="B1361" t="s">
        <v>43</v>
      </c>
      <c r="C1361" s="6">
        <f t="shared" si="21"/>
        <v>0</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t="s">
        <v>35</v>
      </c>
      <c r="Y1361">
        <v>12</v>
      </c>
      <c r="Z1361">
        <v>3</v>
      </c>
      <c r="AA1361">
        <v>3</v>
      </c>
      <c r="AB1361">
        <v>80</v>
      </c>
      <c r="AC1361">
        <v>0</v>
      </c>
      <c r="AD1361">
        <v>9</v>
      </c>
      <c r="AE1361">
        <v>3</v>
      </c>
      <c r="AF1361">
        <v>2</v>
      </c>
      <c r="AG1361">
        <v>4</v>
      </c>
      <c r="AH1361">
        <v>2</v>
      </c>
      <c r="AI1361">
        <v>0</v>
      </c>
      <c r="AJ1361">
        <v>1</v>
      </c>
    </row>
    <row r="1362" spans="1:36" x14ac:dyDescent="0.3">
      <c r="A1362">
        <v>31</v>
      </c>
      <c r="B1362" t="s">
        <v>43</v>
      </c>
      <c r="C1362" s="6">
        <f t="shared" si="21"/>
        <v>0</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t="s">
        <v>43</v>
      </c>
      <c r="Y1362">
        <v>12</v>
      </c>
      <c r="Z1362">
        <v>3</v>
      </c>
      <c r="AA1362">
        <v>2</v>
      </c>
      <c r="AB1362">
        <v>80</v>
      </c>
      <c r="AC1362">
        <v>1</v>
      </c>
      <c r="AD1362">
        <v>4</v>
      </c>
      <c r="AE1362">
        <v>0</v>
      </c>
      <c r="AF1362">
        <v>2</v>
      </c>
      <c r="AG1362">
        <v>2</v>
      </c>
      <c r="AH1362">
        <v>2</v>
      </c>
      <c r="AI1362">
        <v>2</v>
      </c>
      <c r="AJ1362">
        <v>2</v>
      </c>
    </row>
    <row r="1363" spans="1:36" x14ac:dyDescent="0.3">
      <c r="A1363">
        <v>26</v>
      </c>
      <c r="B1363" t="s">
        <v>43</v>
      </c>
      <c r="C1363" s="6">
        <f t="shared" si="21"/>
        <v>0</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t="s">
        <v>43</v>
      </c>
      <c r="Y1363">
        <v>18</v>
      </c>
      <c r="Z1363">
        <v>3</v>
      </c>
      <c r="AA1363">
        <v>1</v>
      </c>
      <c r="AB1363">
        <v>80</v>
      </c>
      <c r="AC1363">
        <v>1</v>
      </c>
      <c r="AD1363">
        <v>8</v>
      </c>
      <c r="AE1363">
        <v>3</v>
      </c>
      <c r="AF1363">
        <v>3</v>
      </c>
      <c r="AG1363">
        <v>7</v>
      </c>
      <c r="AH1363">
        <v>7</v>
      </c>
      <c r="AI1363">
        <v>7</v>
      </c>
      <c r="AJ1363">
        <v>7</v>
      </c>
    </row>
    <row r="1364" spans="1:36" x14ac:dyDescent="0.3">
      <c r="A1364">
        <v>45</v>
      </c>
      <c r="B1364" t="s">
        <v>43</v>
      </c>
      <c r="C1364" s="6">
        <f t="shared" si="21"/>
        <v>0</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t="s">
        <v>43</v>
      </c>
      <c r="Y1364">
        <v>12</v>
      </c>
      <c r="Z1364">
        <v>3</v>
      </c>
      <c r="AA1364">
        <v>3</v>
      </c>
      <c r="AB1364">
        <v>80</v>
      </c>
      <c r="AC1364">
        <v>0</v>
      </c>
      <c r="AD1364">
        <v>12</v>
      </c>
      <c r="AE1364">
        <v>3</v>
      </c>
      <c r="AF1364">
        <v>3</v>
      </c>
      <c r="AG1364">
        <v>4</v>
      </c>
      <c r="AH1364">
        <v>2</v>
      </c>
      <c r="AI1364">
        <v>0</v>
      </c>
      <c r="AJ1364">
        <v>3</v>
      </c>
    </row>
    <row r="1365" spans="1:36" x14ac:dyDescent="0.3">
      <c r="A1365">
        <v>33</v>
      </c>
      <c r="B1365" t="s">
        <v>43</v>
      </c>
      <c r="C1365" s="6">
        <f t="shared" si="21"/>
        <v>0</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t="s">
        <v>43</v>
      </c>
      <c r="Y1365">
        <v>14</v>
      </c>
      <c r="Z1365">
        <v>3</v>
      </c>
      <c r="AA1365">
        <v>2</v>
      </c>
      <c r="AB1365">
        <v>80</v>
      </c>
      <c r="AC1365">
        <v>0</v>
      </c>
      <c r="AD1365">
        <v>10</v>
      </c>
      <c r="AE1365">
        <v>2</v>
      </c>
      <c r="AF1365">
        <v>2</v>
      </c>
      <c r="AG1365">
        <v>10</v>
      </c>
      <c r="AH1365">
        <v>4</v>
      </c>
      <c r="AI1365">
        <v>0</v>
      </c>
      <c r="AJ1365">
        <v>9</v>
      </c>
    </row>
    <row r="1366" spans="1:36" x14ac:dyDescent="0.3">
      <c r="A1366">
        <v>28</v>
      </c>
      <c r="B1366" t="s">
        <v>43</v>
      </c>
      <c r="C1366" s="6">
        <f t="shared" si="21"/>
        <v>0</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t="s">
        <v>35</v>
      </c>
      <c r="Y1366">
        <v>12</v>
      </c>
      <c r="Z1366">
        <v>3</v>
      </c>
      <c r="AA1366">
        <v>3</v>
      </c>
      <c r="AB1366">
        <v>80</v>
      </c>
      <c r="AC1366">
        <v>1</v>
      </c>
      <c r="AD1366">
        <v>7</v>
      </c>
      <c r="AE1366">
        <v>2</v>
      </c>
      <c r="AF1366">
        <v>3</v>
      </c>
      <c r="AG1366">
        <v>7</v>
      </c>
      <c r="AH1366">
        <v>7</v>
      </c>
      <c r="AI1366">
        <v>0</v>
      </c>
      <c r="AJ1366">
        <v>7</v>
      </c>
    </row>
    <row r="1367" spans="1:36" x14ac:dyDescent="0.3">
      <c r="A1367">
        <v>29</v>
      </c>
      <c r="B1367" t="s">
        <v>35</v>
      </c>
      <c r="C1367" s="6">
        <f t="shared" si="21"/>
        <v>1</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t="s">
        <v>43</v>
      </c>
      <c r="Y1367">
        <v>17</v>
      </c>
      <c r="Z1367">
        <v>3</v>
      </c>
      <c r="AA1367">
        <v>4</v>
      </c>
      <c r="AB1367">
        <v>80</v>
      </c>
      <c r="AC1367">
        <v>0</v>
      </c>
      <c r="AD1367">
        <v>1</v>
      </c>
      <c r="AE1367">
        <v>3</v>
      </c>
      <c r="AF1367">
        <v>3</v>
      </c>
      <c r="AG1367">
        <v>1</v>
      </c>
      <c r="AH1367">
        <v>0</v>
      </c>
      <c r="AI1367">
        <v>0</v>
      </c>
      <c r="AJ1367">
        <v>0</v>
      </c>
    </row>
    <row r="1368" spans="1:36" x14ac:dyDescent="0.3">
      <c r="A1368">
        <v>39</v>
      </c>
      <c r="B1368" t="s">
        <v>43</v>
      </c>
      <c r="C1368" s="6">
        <f t="shared" si="21"/>
        <v>0</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t="s">
        <v>43</v>
      </c>
      <c r="Y1368">
        <v>19</v>
      </c>
      <c r="Z1368">
        <v>3</v>
      </c>
      <c r="AA1368">
        <v>3</v>
      </c>
      <c r="AB1368">
        <v>80</v>
      </c>
      <c r="AC1368">
        <v>1</v>
      </c>
      <c r="AD1368">
        <v>10</v>
      </c>
      <c r="AE1368">
        <v>1</v>
      </c>
      <c r="AF1368">
        <v>3</v>
      </c>
      <c r="AG1368">
        <v>3</v>
      </c>
      <c r="AH1368">
        <v>2</v>
      </c>
      <c r="AI1368">
        <v>1</v>
      </c>
      <c r="AJ1368">
        <v>2</v>
      </c>
    </row>
    <row r="1369" spans="1:36" x14ac:dyDescent="0.3">
      <c r="A1369">
        <v>27</v>
      </c>
      <c r="B1369" t="s">
        <v>43</v>
      </c>
      <c r="C1369" s="6">
        <f t="shared" si="21"/>
        <v>0</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t="s">
        <v>43</v>
      </c>
      <c r="Y1369">
        <v>11</v>
      </c>
      <c r="Z1369">
        <v>3</v>
      </c>
      <c r="AA1369">
        <v>3</v>
      </c>
      <c r="AB1369">
        <v>80</v>
      </c>
      <c r="AC1369">
        <v>1</v>
      </c>
      <c r="AD1369">
        <v>6</v>
      </c>
      <c r="AE1369">
        <v>3</v>
      </c>
      <c r="AF1369">
        <v>2</v>
      </c>
      <c r="AG1369">
        <v>5</v>
      </c>
      <c r="AH1369">
        <v>3</v>
      </c>
      <c r="AI1369">
        <v>1</v>
      </c>
      <c r="AJ1369">
        <v>2</v>
      </c>
    </row>
    <row r="1370" spans="1:36" x14ac:dyDescent="0.3">
      <c r="A1370">
        <v>34</v>
      </c>
      <c r="B1370" t="s">
        <v>43</v>
      </c>
      <c r="C1370" s="6">
        <f t="shared" si="21"/>
        <v>0</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t="s">
        <v>35</v>
      </c>
      <c r="Y1370">
        <v>15</v>
      </c>
      <c r="Z1370">
        <v>3</v>
      </c>
      <c r="AA1370">
        <v>2</v>
      </c>
      <c r="AB1370">
        <v>80</v>
      </c>
      <c r="AC1370">
        <v>0</v>
      </c>
      <c r="AD1370">
        <v>16</v>
      </c>
      <c r="AE1370">
        <v>3</v>
      </c>
      <c r="AF1370">
        <v>3</v>
      </c>
      <c r="AG1370">
        <v>15</v>
      </c>
      <c r="AH1370">
        <v>10</v>
      </c>
      <c r="AI1370">
        <v>6</v>
      </c>
      <c r="AJ1370">
        <v>11</v>
      </c>
    </row>
    <row r="1371" spans="1:36" x14ac:dyDescent="0.3">
      <c r="A1371">
        <v>28</v>
      </c>
      <c r="B1371" t="s">
        <v>35</v>
      </c>
      <c r="C1371" s="6">
        <f t="shared" si="21"/>
        <v>1</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t="s">
        <v>35</v>
      </c>
      <c r="Y1371">
        <v>11</v>
      </c>
      <c r="Z1371">
        <v>3</v>
      </c>
      <c r="AA1371">
        <v>4</v>
      </c>
      <c r="AB1371">
        <v>80</v>
      </c>
      <c r="AC1371">
        <v>0</v>
      </c>
      <c r="AD1371">
        <v>6</v>
      </c>
      <c r="AE1371">
        <v>0</v>
      </c>
      <c r="AF1371">
        <v>3</v>
      </c>
      <c r="AG1371">
        <v>2</v>
      </c>
      <c r="AH1371">
        <v>0</v>
      </c>
      <c r="AI1371">
        <v>2</v>
      </c>
      <c r="AJ1371">
        <v>2</v>
      </c>
    </row>
    <row r="1372" spans="1:36" x14ac:dyDescent="0.3">
      <c r="A1372">
        <v>47</v>
      </c>
      <c r="B1372" t="s">
        <v>43</v>
      </c>
      <c r="C1372" s="6">
        <f t="shared" si="21"/>
        <v>0</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t="s">
        <v>43</v>
      </c>
      <c r="Y1372">
        <v>18</v>
      </c>
      <c r="Z1372">
        <v>3</v>
      </c>
      <c r="AA1372">
        <v>3</v>
      </c>
      <c r="AB1372">
        <v>80</v>
      </c>
      <c r="AC1372">
        <v>1</v>
      </c>
      <c r="AD1372">
        <v>16</v>
      </c>
      <c r="AE1372">
        <v>4</v>
      </c>
      <c r="AF1372">
        <v>4</v>
      </c>
      <c r="AG1372">
        <v>8</v>
      </c>
      <c r="AH1372">
        <v>7</v>
      </c>
      <c r="AI1372">
        <v>1</v>
      </c>
      <c r="AJ1372">
        <v>7</v>
      </c>
    </row>
    <row r="1373" spans="1:36" x14ac:dyDescent="0.3">
      <c r="A1373">
        <v>56</v>
      </c>
      <c r="B1373" t="s">
        <v>43</v>
      </c>
      <c r="C1373" s="6">
        <f t="shared" si="21"/>
        <v>0</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t="s">
        <v>43</v>
      </c>
      <c r="Y1373">
        <v>16</v>
      </c>
      <c r="Z1373">
        <v>3</v>
      </c>
      <c r="AA1373">
        <v>3</v>
      </c>
      <c r="AB1373">
        <v>80</v>
      </c>
      <c r="AC1373">
        <v>1</v>
      </c>
      <c r="AD1373">
        <v>6</v>
      </c>
      <c r="AE1373">
        <v>3</v>
      </c>
      <c r="AF1373">
        <v>3</v>
      </c>
      <c r="AG1373">
        <v>0</v>
      </c>
      <c r="AH1373">
        <v>0</v>
      </c>
      <c r="AI1373">
        <v>0</v>
      </c>
      <c r="AJ1373">
        <v>0</v>
      </c>
    </row>
    <row r="1374" spans="1:36" x14ac:dyDescent="0.3">
      <c r="A1374">
        <v>39</v>
      </c>
      <c r="B1374" t="s">
        <v>43</v>
      </c>
      <c r="C1374" s="6">
        <f t="shared" si="21"/>
        <v>0</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t="s">
        <v>43</v>
      </c>
      <c r="Y1374">
        <v>25</v>
      </c>
      <c r="Z1374">
        <v>4</v>
      </c>
      <c r="AA1374">
        <v>4</v>
      </c>
      <c r="AB1374">
        <v>80</v>
      </c>
      <c r="AC1374">
        <v>1</v>
      </c>
      <c r="AD1374">
        <v>10</v>
      </c>
      <c r="AE1374">
        <v>3</v>
      </c>
      <c r="AF1374">
        <v>3</v>
      </c>
      <c r="AG1374">
        <v>10</v>
      </c>
      <c r="AH1374">
        <v>0</v>
      </c>
      <c r="AI1374">
        <v>7</v>
      </c>
      <c r="AJ1374">
        <v>9</v>
      </c>
    </row>
    <row r="1375" spans="1:36" x14ac:dyDescent="0.3">
      <c r="A1375">
        <v>38</v>
      </c>
      <c r="B1375" t="s">
        <v>43</v>
      </c>
      <c r="C1375" s="6">
        <f t="shared" si="21"/>
        <v>0</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t="s">
        <v>35</v>
      </c>
      <c r="Y1375">
        <v>16</v>
      </c>
      <c r="Z1375">
        <v>3</v>
      </c>
      <c r="AA1375">
        <v>3</v>
      </c>
      <c r="AB1375">
        <v>80</v>
      </c>
      <c r="AC1375">
        <v>1</v>
      </c>
      <c r="AD1375">
        <v>20</v>
      </c>
      <c r="AE1375">
        <v>3</v>
      </c>
      <c r="AF1375">
        <v>3</v>
      </c>
      <c r="AG1375">
        <v>20</v>
      </c>
      <c r="AH1375">
        <v>11</v>
      </c>
      <c r="AI1375">
        <v>0</v>
      </c>
      <c r="AJ1375">
        <v>7</v>
      </c>
    </row>
    <row r="1376" spans="1:36" x14ac:dyDescent="0.3">
      <c r="A1376">
        <v>58</v>
      </c>
      <c r="B1376" t="s">
        <v>43</v>
      </c>
      <c r="C1376" s="6">
        <f t="shared" si="21"/>
        <v>0</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t="s">
        <v>35</v>
      </c>
      <c r="Y1376">
        <v>13</v>
      </c>
      <c r="Z1376">
        <v>3</v>
      </c>
      <c r="AA1376">
        <v>3</v>
      </c>
      <c r="AB1376">
        <v>80</v>
      </c>
      <c r="AC1376">
        <v>1</v>
      </c>
      <c r="AD1376">
        <v>29</v>
      </c>
      <c r="AE1376">
        <v>2</v>
      </c>
      <c r="AF1376">
        <v>2</v>
      </c>
      <c r="AG1376">
        <v>1</v>
      </c>
      <c r="AH1376">
        <v>0</v>
      </c>
      <c r="AI1376">
        <v>0</v>
      </c>
      <c r="AJ1376">
        <v>0</v>
      </c>
    </row>
    <row r="1377" spans="1:36" x14ac:dyDescent="0.3">
      <c r="A1377">
        <v>32</v>
      </c>
      <c r="B1377" t="s">
        <v>35</v>
      </c>
      <c r="C1377" s="6">
        <f t="shared" si="21"/>
        <v>1</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t="s">
        <v>35</v>
      </c>
      <c r="Y1377">
        <v>14</v>
      </c>
      <c r="Z1377">
        <v>3</v>
      </c>
      <c r="AA1377">
        <v>1</v>
      </c>
      <c r="AB1377">
        <v>80</v>
      </c>
      <c r="AC1377">
        <v>0</v>
      </c>
      <c r="AD1377">
        <v>8</v>
      </c>
      <c r="AE1377">
        <v>2</v>
      </c>
      <c r="AF1377">
        <v>3</v>
      </c>
      <c r="AG1377">
        <v>4</v>
      </c>
      <c r="AH1377">
        <v>1</v>
      </c>
      <c r="AI1377">
        <v>0</v>
      </c>
      <c r="AJ1377">
        <v>3</v>
      </c>
    </row>
    <row r="1378" spans="1:36" x14ac:dyDescent="0.3">
      <c r="A1378">
        <v>38</v>
      </c>
      <c r="B1378" t="s">
        <v>43</v>
      </c>
      <c r="C1378" s="6">
        <f t="shared" si="21"/>
        <v>0</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t="s">
        <v>43</v>
      </c>
      <c r="Y1378">
        <v>19</v>
      </c>
      <c r="Z1378">
        <v>3</v>
      </c>
      <c r="AA1378">
        <v>4</v>
      </c>
      <c r="AB1378">
        <v>80</v>
      </c>
      <c r="AC1378">
        <v>2</v>
      </c>
      <c r="AD1378">
        <v>10</v>
      </c>
      <c r="AE1378">
        <v>0</v>
      </c>
      <c r="AF1378">
        <v>4</v>
      </c>
      <c r="AG1378">
        <v>5</v>
      </c>
      <c r="AH1378">
        <v>2</v>
      </c>
      <c r="AI1378">
        <v>0</v>
      </c>
      <c r="AJ1378">
        <v>3</v>
      </c>
    </row>
    <row r="1379" spans="1:36" x14ac:dyDescent="0.3">
      <c r="A1379">
        <v>49</v>
      </c>
      <c r="B1379" t="s">
        <v>43</v>
      </c>
      <c r="C1379" s="6">
        <f t="shared" si="21"/>
        <v>0</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t="s">
        <v>43</v>
      </c>
      <c r="Y1379">
        <v>15</v>
      </c>
      <c r="Z1379">
        <v>3</v>
      </c>
      <c r="AA1379">
        <v>4</v>
      </c>
      <c r="AB1379">
        <v>80</v>
      </c>
      <c r="AC1379">
        <v>0</v>
      </c>
      <c r="AD1379">
        <v>28</v>
      </c>
      <c r="AE1379">
        <v>3</v>
      </c>
      <c r="AF1379">
        <v>3</v>
      </c>
      <c r="AG1379">
        <v>5</v>
      </c>
      <c r="AH1379">
        <v>4</v>
      </c>
      <c r="AI1379">
        <v>4</v>
      </c>
      <c r="AJ1379">
        <v>3</v>
      </c>
    </row>
    <row r="1380" spans="1:36" x14ac:dyDescent="0.3">
      <c r="A1380">
        <v>42</v>
      </c>
      <c r="B1380" t="s">
        <v>43</v>
      </c>
      <c r="C1380" s="6">
        <f t="shared" si="21"/>
        <v>0</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t="s">
        <v>35</v>
      </c>
      <c r="Y1380">
        <v>12</v>
      </c>
      <c r="Z1380">
        <v>3</v>
      </c>
      <c r="AA1380">
        <v>3</v>
      </c>
      <c r="AB1380">
        <v>80</v>
      </c>
      <c r="AC1380">
        <v>2</v>
      </c>
      <c r="AD1380">
        <v>14</v>
      </c>
      <c r="AE1380">
        <v>4</v>
      </c>
      <c r="AF1380">
        <v>3</v>
      </c>
      <c r="AG1380">
        <v>0</v>
      </c>
      <c r="AH1380">
        <v>0</v>
      </c>
      <c r="AI1380">
        <v>0</v>
      </c>
      <c r="AJ1380">
        <v>0</v>
      </c>
    </row>
    <row r="1381" spans="1:36" x14ac:dyDescent="0.3">
      <c r="A1381">
        <v>27</v>
      </c>
      <c r="B1381" t="s">
        <v>35</v>
      </c>
      <c r="C1381" s="6">
        <f t="shared" si="21"/>
        <v>1</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t="s">
        <v>43</v>
      </c>
      <c r="Y1381">
        <v>12</v>
      </c>
      <c r="Z1381">
        <v>3</v>
      </c>
      <c r="AA1381">
        <v>1</v>
      </c>
      <c r="AB1381">
        <v>80</v>
      </c>
      <c r="AC1381">
        <v>0</v>
      </c>
      <c r="AD1381">
        <v>1</v>
      </c>
      <c r="AE1381">
        <v>2</v>
      </c>
      <c r="AF1381">
        <v>3</v>
      </c>
      <c r="AG1381">
        <v>1</v>
      </c>
      <c r="AH1381">
        <v>0</v>
      </c>
      <c r="AI1381">
        <v>0</v>
      </c>
      <c r="AJ1381">
        <v>0</v>
      </c>
    </row>
    <row r="1382" spans="1:36" x14ac:dyDescent="0.3">
      <c r="A1382">
        <v>35</v>
      </c>
      <c r="B1382" t="s">
        <v>43</v>
      </c>
      <c r="C1382" s="6">
        <f t="shared" si="21"/>
        <v>0</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t="s">
        <v>43</v>
      </c>
      <c r="Y1382">
        <v>16</v>
      </c>
      <c r="Z1382">
        <v>3</v>
      </c>
      <c r="AA1382">
        <v>4</v>
      </c>
      <c r="AB1382">
        <v>80</v>
      </c>
      <c r="AC1382">
        <v>1</v>
      </c>
      <c r="AD1382">
        <v>6</v>
      </c>
      <c r="AE1382">
        <v>2</v>
      </c>
      <c r="AF1382">
        <v>1</v>
      </c>
      <c r="AG1382">
        <v>5</v>
      </c>
      <c r="AH1382">
        <v>3</v>
      </c>
      <c r="AI1382">
        <v>0</v>
      </c>
      <c r="AJ1382">
        <v>4</v>
      </c>
    </row>
    <row r="1383" spans="1:36" x14ac:dyDescent="0.3">
      <c r="A1383">
        <v>28</v>
      </c>
      <c r="B1383" t="s">
        <v>43</v>
      </c>
      <c r="C1383" s="6">
        <f t="shared" si="21"/>
        <v>0</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t="s">
        <v>43</v>
      </c>
      <c r="Y1383">
        <v>14</v>
      </c>
      <c r="Z1383">
        <v>3</v>
      </c>
      <c r="AA1383">
        <v>3</v>
      </c>
      <c r="AB1383">
        <v>80</v>
      </c>
      <c r="AC1383">
        <v>0</v>
      </c>
      <c r="AD1383">
        <v>5</v>
      </c>
      <c r="AE1383">
        <v>3</v>
      </c>
      <c r="AF1383">
        <v>2</v>
      </c>
      <c r="AG1383">
        <v>5</v>
      </c>
      <c r="AH1383">
        <v>3</v>
      </c>
      <c r="AI1383">
        <v>1</v>
      </c>
      <c r="AJ1383">
        <v>4</v>
      </c>
    </row>
    <row r="1384" spans="1:36" x14ac:dyDescent="0.3">
      <c r="A1384">
        <v>31</v>
      </c>
      <c r="B1384" t="s">
        <v>43</v>
      </c>
      <c r="C1384" s="6">
        <f t="shared" si="21"/>
        <v>0</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t="s">
        <v>35</v>
      </c>
      <c r="Y1384">
        <v>13</v>
      </c>
      <c r="Z1384">
        <v>3</v>
      </c>
      <c r="AA1384">
        <v>4</v>
      </c>
      <c r="AB1384">
        <v>80</v>
      </c>
      <c r="AC1384">
        <v>1</v>
      </c>
      <c r="AD1384">
        <v>4</v>
      </c>
      <c r="AE1384">
        <v>3</v>
      </c>
      <c r="AF1384">
        <v>4</v>
      </c>
      <c r="AG1384">
        <v>4</v>
      </c>
      <c r="AH1384">
        <v>2</v>
      </c>
      <c r="AI1384">
        <v>2</v>
      </c>
      <c r="AJ1384">
        <v>3</v>
      </c>
    </row>
    <row r="1385" spans="1:36" x14ac:dyDescent="0.3">
      <c r="A1385">
        <v>36</v>
      </c>
      <c r="B1385" t="s">
        <v>43</v>
      </c>
      <c r="C1385" s="6">
        <f t="shared" si="21"/>
        <v>0</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t="s">
        <v>43</v>
      </c>
      <c r="Y1385">
        <v>22</v>
      </c>
      <c r="Z1385">
        <v>4</v>
      </c>
      <c r="AA1385">
        <v>2</v>
      </c>
      <c r="AB1385">
        <v>80</v>
      </c>
      <c r="AC1385">
        <v>0</v>
      </c>
      <c r="AD1385">
        <v>5</v>
      </c>
      <c r="AE1385">
        <v>3</v>
      </c>
      <c r="AF1385">
        <v>3</v>
      </c>
      <c r="AG1385">
        <v>5</v>
      </c>
      <c r="AH1385">
        <v>4</v>
      </c>
      <c r="AI1385">
        <v>0</v>
      </c>
      <c r="AJ1385">
        <v>2</v>
      </c>
    </row>
    <row r="1386" spans="1:36" x14ac:dyDescent="0.3">
      <c r="A1386">
        <v>34</v>
      </c>
      <c r="B1386" t="s">
        <v>43</v>
      </c>
      <c r="C1386" s="6">
        <f t="shared" si="21"/>
        <v>0</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t="s">
        <v>43</v>
      </c>
      <c r="Y1386">
        <v>21</v>
      </c>
      <c r="Z1386">
        <v>4</v>
      </c>
      <c r="AA1386">
        <v>1</v>
      </c>
      <c r="AB1386">
        <v>80</v>
      </c>
      <c r="AC1386">
        <v>0</v>
      </c>
      <c r="AD1386">
        <v>14</v>
      </c>
      <c r="AE1386">
        <v>3</v>
      </c>
      <c r="AF1386">
        <v>2</v>
      </c>
      <c r="AG1386">
        <v>14</v>
      </c>
      <c r="AH1386">
        <v>8</v>
      </c>
      <c r="AI1386">
        <v>2</v>
      </c>
      <c r="AJ1386">
        <v>1</v>
      </c>
    </row>
    <row r="1387" spans="1:36" x14ac:dyDescent="0.3">
      <c r="A1387">
        <v>34</v>
      </c>
      <c r="B1387" t="s">
        <v>43</v>
      </c>
      <c r="C1387" s="6">
        <f t="shared" si="21"/>
        <v>0</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t="s">
        <v>43</v>
      </c>
      <c r="Y1387">
        <v>18</v>
      </c>
      <c r="Z1387">
        <v>3</v>
      </c>
      <c r="AA1387">
        <v>3</v>
      </c>
      <c r="AB1387">
        <v>80</v>
      </c>
      <c r="AC1387">
        <v>1</v>
      </c>
      <c r="AD1387">
        <v>9</v>
      </c>
      <c r="AE1387">
        <v>2</v>
      </c>
      <c r="AF1387">
        <v>2</v>
      </c>
      <c r="AG1387">
        <v>8</v>
      </c>
      <c r="AH1387">
        <v>7</v>
      </c>
      <c r="AI1387">
        <v>1</v>
      </c>
      <c r="AJ1387">
        <v>1</v>
      </c>
    </row>
    <row r="1388" spans="1:36" x14ac:dyDescent="0.3">
      <c r="A1388">
        <v>26</v>
      </c>
      <c r="B1388" t="s">
        <v>43</v>
      </c>
      <c r="C1388" s="6">
        <f t="shared" si="21"/>
        <v>0</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t="s">
        <v>43</v>
      </c>
      <c r="Y1388">
        <v>13</v>
      </c>
      <c r="Z1388">
        <v>3</v>
      </c>
      <c r="AA1388">
        <v>4</v>
      </c>
      <c r="AB1388">
        <v>80</v>
      </c>
      <c r="AC1388">
        <v>0</v>
      </c>
      <c r="AD1388">
        <v>8</v>
      </c>
      <c r="AE1388">
        <v>6</v>
      </c>
      <c r="AF1388">
        <v>2</v>
      </c>
      <c r="AG1388">
        <v>7</v>
      </c>
      <c r="AH1388">
        <v>7</v>
      </c>
      <c r="AI1388">
        <v>7</v>
      </c>
      <c r="AJ1388">
        <v>6</v>
      </c>
    </row>
    <row r="1389" spans="1:36" x14ac:dyDescent="0.3">
      <c r="A1389">
        <v>29</v>
      </c>
      <c r="B1389" t="s">
        <v>43</v>
      </c>
      <c r="C1389" s="6">
        <f t="shared" si="21"/>
        <v>0</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t="s">
        <v>43</v>
      </c>
      <c r="Y1389">
        <v>12</v>
      </c>
      <c r="Z1389">
        <v>3</v>
      </c>
      <c r="AA1389">
        <v>1</v>
      </c>
      <c r="AB1389">
        <v>80</v>
      </c>
      <c r="AC1389">
        <v>1</v>
      </c>
      <c r="AD1389">
        <v>6</v>
      </c>
      <c r="AE1389">
        <v>5</v>
      </c>
      <c r="AF1389">
        <v>2</v>
      </c>
      <c r="AG1389">
        <v>5</v>
      </c>
      <c r="AH1389">
        <v>3</v>
      </c>
      <c r="AI1389">
        <v>0</v>
      </c>
      <c r="AJ1389">
        <v>2</v>
      </c>
    </row>
    <row r="1390" spans="1:36" x14ac:dyDescent="0.3">
      <c r="A1390">
        <v>32</v>
      </c>
      <c r="B1390" t="s">
        <v>43</v>
      </c>
      <c r="C1390" s="6">
        <f t="shared" si="21"/>
        <v>0</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t="s">
        <v>43</v>
      </c>
      <c r="Y1390">
        <v>18</v>
      </c>
      <c r="Z1390">
        <v>3</v>
      </c>
      <c r="AA1390">
        <v>2</v>
      </c>
      <c r="AB1390">
        <v>80</v>
      </c>
      <c r="AC1390">
        <v>1</v>
      </c>
      <c r="AD1390">
        <v>9</v>
      </c>
      <c r="AE1390">
        <v>6</v>
      </c>
      <c r="AF1390">
        <v>3</v>
      </c>
      <c r="AG1390">
        <v>5</v>
      </c>
      <c r="AH1390">
        <v>1</v>
      </c>
      <c r="AI1390">
        <v>1</v>
      </c>
      <c r="AJ1390">
        <v>2</v>
      </c>
    </row>
    <row r="1391" spans="1:36" x14ac:dyDescent="0.3">
      <c r="A1391">
        <v>31</v>
      </c>
      <c r="B1391" t="s">
        <v>43</v>
      </c>
      <c r="C1391" s="6">
        <f t="shared" si="21"/>
        <v>0</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t="s">
        <v>43</v>
      </c>
      <c r="Y1391">
        <v>21</v>
      </c>
      <c r="Z1391">
        <v>4</v>
      </c>
      <c r="AA1391">
        <v>2</v>
      </c>
      <c r="AB1391">
        <v>80</v>
      </c>
      <c r="AC1391">
        <v>0</v>
      </c>
      <c r="AD1391">
        <v>10</v>
      </c>
      <c r="AE1391">
        <v>6</v>
      </c>
      <c r="AF1391">
        <v>3</v>
      </c>
      <c r="AG1391">
        <v>10</v>
      </c>
      <c r="AH1391">
        <v>8</v>
      </c>
      <c r="AI1391">
        <v>8</v>
      </c>
      <c r="AJ1391">
        <v>7</v>
      </c>
    </row>
    <row r="1392" spans="1:36" x14ac:dyDescent="0.3">
      <c r="A1392">
        <v>28</v>
      </c>
      <c r="B1392" t="s">
        <v>35</v>
      </c>
      <c r="C1392" s="6">
        <f t="shared" si="21"/>
        <v>1</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t="s">
        <v>43</v>
      </c>
      <c r="Y1392">
        <v>12</v>
      </c>
      <c r="Z1392">
        <v>3</v>
      </c>
      <c r="AA1392">
        <v>1</v>
      </c>
      <c r="AB1392">
        <v>80</v>
      </c>
      <c r="AC1392">
        <v>1</v>
      </c>
      <c r="AD1392">
        <v>6</v>
      </c>
      <c r="AE1392">
        <v>2</v>
      </c>
      <c r="AF1392">
        <v>2</v>
      </c>
      <c r="AG1392">
        <v>4</v>
      </c>
      <c r="AH1392">
        <v>1</v>
      </c>
      <c r="AI1392">
        <v>0</v>
      </c>
      <c r="AJ1392">
        <v>3</v>
      </c>
    </row>
    <row r="1393" spans="1:36" x14ac:dyDescent="0.3">
      <c r="A1393">
        <v>38</v>
      </c>
      <c r="B1393" t="s">
        <v>43</v>
      </c>
      <c r="C1393" s="6">
        <f t="shared" si="21"/>
        <v>0</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t="s">
        <v>43</v>
      </c>
      <c r="Y1393">
        <v>14</v>
      </c>
      <c r="Z1393">
        <v>3</v>
      </c>
      <c r="AA1393">
        <v>1</v>
      </c>
      <c r="AB1393">
        <v>80</v>
      </c>
      <c r="AC1393">
        <v>0</v>
      </c>
      <c r="AD1393">
        <v>20</v>
      </c>
      <c r="AE1393">
        <v>3</v>
      </c>
      <c r="AF1393">
        <v>2</v>
      </c>
      <c r="AG1393">
        <v>1</v>
      </c>
      <c r="AH1393">
        <v>0</v>
      </c>
      <c r="AI1393">
        <v>0</v>
      </c>
      <c r="AJ1393">
        <v>0</v>
      </c>
    </row>
    <row r="1394" spans="1:36" x14ac:dyDescent="0.3">
      <c r="A1394">
        <v>35</v>
      </c>
      <c r="B1394" t="s">
        <v>43</v>
      </c>
      <c r="C1394" s="6">
        <f t="shared" si="21"/>
        <v>0</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t="s">
        <v>35</v>
      </c>
      <c r="Y1394">
        <v>11</v>
      </c>
      <c r="Z1394">
        <v>3</v>
      </c>
      <c r="AA1394">
        <v>4</v>
      </c>
      <c r="AB1394">
        <v>80</v>
      </c>
      <c r="AC1394">
        <v>0</v>
      </c>
      <c r="AD1394">
        <v>10</v>
      </c>
      <c r="AE1394">
        <v>2</v>
      </c>
      <c r="AF1394">
        <v>3</v>
      </c>
      <c r="AG1394">
        <v>10</v>
      </c>
      <c r="AH1394">
        <v>8</v>
      </c>
      <c r="AI1394">
        <v>0</v>
      </c>
      <c r="AJ1394">
        <v>9</v>
      </c>
    </row>
    <row r="1395" spans="1:36" x14ac:dyDescent="0.3">
      <c r="A1395">
        <v>27</v>
      </c>
      <c r="B1395" t="s">
        <v>43</v>
      </c>
      <c r="C1395" s="6">
        <f t="shared" si="21"/>
        <v>0</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t="s">
        <v>43</v>
      </c>
      <c r="Y1395">
        <v>14</v>
      </c>
      <c r="Z1395">
        <v>3</v>
      </c>
      <c r="AA1395">
        <v>1</v>
      </c>
      <c r="AB1395">
        <v>80</v>
      </c>
      <c r="AC1395">
        <v>0</v>
      </c>
      <c r="AD1395">
        <v>7</v>
      </c>
      <c r="AE1395">
        <v>5</v>
      </c>
      <c r="AF1395">
        <v>3</v>
      </c>
      <c r="AG1395">
        <v>7</v>
      </c>
      <c r="AH1395">
        <v>7</v>
      </c>
      <c r="AI1395">
        <v>0</v>
      </c>
      <c r="AJ1395">
        <v>7</v>
      </c>
    </row>
    <row r="1396" spans="1:36" x14ac:dyDescent="0.3">
      <c r="A1396">
        <v>32</v>
      </c>
      <c r="B1396" t="s">
        <v>43</v>
      </c>
      <c r="C1396" s="6">
        <f t="shared" si="21"/>
        <v>0</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t="s">
        <v>43</v>
      </c>
      <c r="Y1396">
        <v>24</v>
      </c>
      <c r="Z1396">
        <v>4</v>
      </c>
      <c r="AA1396">
        <v>2</v>
      </c>
      <c r="AB1396">
        <v>80</v>
      </c>
      <c r="AC1396">
        <v>0</v>
      </c>
      <c r="AD1396">
        <v>8</v>
      </c>
      <c r="AE1396">
        <v>1</v>
      </c>
      <c r="AF1396">
        <v>3</v>
      </c>
      <c r="AG1396">
        <v>1</v>
      </c>
      <c r="AH1396">
        <v>0</v>
      </c>
      <c r="AI1396">
        <v>0</v>
      </c>
      <c r="AJ1396">
        <v>0</v>
      </c>
    </row>
    <row r="1397" spans="1:36" x14ac:dyDescent="0.3">
      <c r="A1397">
        <v>31</v>
      </c>
      <c r="B1397" t="s">
        <v>35</v>
      </c>
      <c r="C1397" s="6">
        <f t="shared" si="21"/>
        <v>1</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t="s">
        <v>35</v>
      </c>
      <c r="Y1397">
        <v>11</v>
      </c>
      <c r="Z1397">
        <v>3</v>
      </c>
      <c r="AA1397">
        <v>3</v>
      </c>
      <c r="AB1397">
        <v>80</v>
      </c>
      <c r="AC1397">
        <v>0</v>
      </c>
      <c r="AD1397">
        <v>10</v>
      </c>
      <c r="AE1397">
        <v>4</v>
      </c>
      <c r="AF1397">
        <v>3</v>
      </c>
      <c r="AG1397">
        <v>10</v>
      </c>
      <c r="AH1397">
        <v>7</v>
      </c>
      <c r="AI1397">
        <v>0</v>
      </c>
      <c r="AJ1397">
        <v>8</v>
      </c>
    </row>
    <row r="1398" spans="1:36" x14ac:dyDescent="0.3">
      <c r="A1398">
        <v>53</v>
      </c>
      <c r="B1398" t="s">
        <v>35</v>
      </c>
      <c r="C1398" s="6">
        <f t="shared" si="21"/>
        <v>1</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t="s">
        <v>35</v>
      </c>
      <c r="Y1398">
        <v>13</v>
      </c>
      <c r="Z1398">
        <v>3</v>
      </c>
      <c r="AA1398">
        <v>2</v>
      </c>
      <c r="AB1398">
        <v>80</v>
      </c>
      <c r="AC1398">
        <v>0</v>
      </c>
      <c r="AD1398">
        <v>15</v>
      </c>
      <c r="AE1398">
        <v>2</v>
      </c>
      <c r="AF1398">
        <v>2</v>
      </c>
      <c r="AG1398">
        <v>2</v>
      </c>
      <c r="AH1398">
        <v>2</v>
      </c>
      <c r="AI1398">
        <v>2</v>
      </c>
      <c r="AJ1398">
        <v>2</v>
      </c>
    </row>
    <row r="1399" spans="1:36" x14ac:dyDescent="0.3">
      <c r="A1399">
        <v>54</v>
      </c>
      <c r="B1399" t="s">
        <v>43</v>
      </c>
      <c r="C1399" s="6">
        <f t="shared" si="21"/>
        <v>0</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t="s">
        <v>43</v>
      </c>
      <c r="Y1399">
        <v>11</v>
      </c>
      <c r="Z1399">
        <v>3</v>
      </c>
      <c r="AA1399">
        <v>3</v>
      </c>
      <c r="AB1399">
        <v>80</v>
      </c>
      <c r="AC1399">
        <v>2</v>
      </c>
      <c r="AD1399">
        <v>9</v>
      </c>
      <c r="AE1399">
        <v>6</v>
      </c>
      <c r="AF1399">
        <v>2</v>
      </c>
      <c r="AG1399">
        <v>4</v>
      </c>
      <c r="AH1399">
        <v>3</v>
      </c>
      <c r="AI1399">
        <v>2</v>
      </c>
      <c r="AJ1399">
        <v>3</v>
      </c>
    </row>
    <row r="1400" spans="1:36" x14ac:dyDescent="0.3">
      <c r="A1400">
        <v>33</v>
      </c>
      <c r="B1400" t="s">
        <v>43</v>
      </c>
      <c r="C1400" s="6">
        <f t="shared" si="21"/>
        <v>0</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t="s">
        <v>43</v>
      </c>
      <c r="Y1400">
        <v>20</v>
      </c>
      <c r="Z1400">
        <v>4</v>
      </c>
      <c r="AA1400">
        <v>3</v>
      </c>
      <c r="AB1400">
        <v>80</v>
      </c>
      <c r="AC1400">
        <v>3</v>
      </c>
      <c r="AD1400">
        <v>9</v>
      </c>
      <c r="AE1400">
        <v>2</v>
      </c>
      <c r="AF1400">
        <v>3</v>
      </c>
      <c r="AG1400">
        <v>9</v>
      </c>
      <c r="AH1400">
        <v>7</v>
      </c>
      <c r="AI1400">
        <v>2</v>
      </c>
      <c r="AJ1400">
        <v>8</v>
      </c>
    </row>
    <row r="1401" spans="1:36" x14ac:dyDescent="0.3">
      <c r="A1401">
        <v>43</v>
      </c>
      <c r="B1401" t="s">
        <v>43</v>
      </c>
      <c r="C1401" s="6">
        <f t="shared" si="21"/>
        <v>0</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t="s">
        <v>43</v>
      </c>
      <c r="Y1401">
        <v>17</v>
      </c>
      <c r="Z1401">
        <v>3</v>
      </c>
      <c r="AA1401">
        <v>2</v>
      </c>
      <c r="AB1401">
        <v>80</v>
      </c>
      <c r="AC1401">
        <v>1</v>
      </c>
      <c r="AD1401">
        <v>10</v>
      </c>
      <c r="AE1401">
        <v>1</v>
      </c>
      <c r="AF1401">
        <v>3</v>
      </c>
      <c r="AG1401">
        <v>10</v>
      </c>
      <c r="AH1401">
        <v>9</v>
      </c>
      <c r="AI1401">
        <v>0</v>
      </c>
      <c r="AJ1401">
        <v>9</v>
      </c>
    </row>
    <row r="1402" spans="1:36" x14ac:dyDescent="0.3">
      <c r="A1402">
        <v>38</v>
      </c>
      <c r="B1402" t="s">
        <v>43</v>
      </c>
      <c r="C1402" s="6">
        <f t="shared" si="21"/>
        <v>0</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t="s">
        <v>35</v>
      </c>
      <c r="Y1402">
        <v>11</v>
      </c>
      <c r="Z1402">
        <v>3</v>
      </c>
      <c r="AA1402">
        <v>2</v>
      </c>
      <c r="AB1402">
        <v>80</v>
      </c>
      <c r="AC1402">
        <v>1</v>
      </c>
      <c r="AD1402">
        <v>7</v>
      </c>
      <c r="AE1402">
        <v>2</v>
      </c>
      <c r="AF1402">
        <v>3</v>
      </c>
      <c r="AG1402">
        <v>6</v>
      </c>
      <c r="AH1402">
        <v>2</v>
      </c>
      <c r="AI1402">
        <v>1</v>
      </c>
      <c r="AJ1402">
        <v>2</v>
      </c>
    </row>
    <row r="1403" spans="1:36" x14ac:dyDescent="0.3">
      <c r="A1403">
        <v>55</v>
      </c>
      <c r="B1403" t="s">
        <v>43</v>
      </c>
      <c r="C1403" s="6">
        <f t="shared" si="21"/>
        <v>0</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t="s">
        <v>35</v>
      </c>
      <c r="Y1403">
        <v>18</v>
      </c>
      <c r="Z1403">
        <v>3</v>
      </c>
      <c r="AA1403">
        <v>1</v>
      </c>
      <c r="AB1403">
        <v>80</v>
      </c>
      <c r="AC1403">
        <v>1</v>
      </c>
      <c r="AD1403">
        <v>35</v>
      </c>
      <c r="AE1403">
        <v>0</v>
      </c>
      <c r="AF1403">
        <v>3</v>
      </c>
      <c r="AG1403">
        <v>10</v>
      </c>
      <c r="AH1403">
        <v>9</v>
      </c>
      <c r="AI1403">
        <v>1</v>
      </c>
      <c r="AJ1403">
        <v>4</v>
      </c>
    </row>
    <row r="1404" spans="1:36" x14ac:dyDescent="0.3">
      <c r="A1404">
        <v>31</v>
      </c>
      <c r="B1404" t="s">
        <v>43</v>
      </c>
      <c r="C1404" s="6">
        <f t="shared" si="21"/>
        <v>0</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t="s">
        <v>35</v>
      </c>
      <c r="Y1404">
        <v>11</v>
      </c>
      <c r="Z1404">
        <v>3</v>
      </c>
      <c r="AA1404">
        <v>3</v>
      </c>
      <c r="AB1404">
        <v>80</v>
      </c>
      <c r="AC1404">
        <v>3</v>
      </c>
      <c r="AD1404">
        <v>1</v>
      </c>
      <c r="AE1404">
        <v>4</v>
      </c>
      <c r="AF1404">
        <v>3</v>
      </c>
      <c r="AG1404">
        <v>1</v>
      </c>
      <c r="AH1404">
        <v>0</v>
      </c>
      <c r="AI1404">
        <v>0</v>
      </c>
      <c r="AJ1404">
        <v>0</v>
      </c>
    </row>
    <row r="1405" spans="1:36" x14ac:dyDescent="0.3">
      <c r="A1405">
        <v>39</v>
      </c>
      <c r="B1405" t="s">
        <v>43</v>
      </c>
      <c r="C1405" s="6">
        <f t="shared" si="21"/>
        <v>0</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t="s">
        <v>43</v>
      </c>
      <c r="Y1405">
        <v>12</v>
      </c>
      <c r="Z1405">
        <v>3</v>
      </c>
      <c r="AA1405">
        <v>1</v>
      </c>
      <c r="AB1405">
        <v>80</v>
      </c>
      <c r="AC1405">
        <v>0</v>
      </c>
      <c r="AD1405">
        <v>21</v>
      </c>
      <c r="AE1405">
        <v>3</v>
      </c>
      <c r="AF1405">
        <v>3</v>
      </c>
      <c r="AG1405">
        <v>20</v>
      </c>
      <c r="AH1405">
        <v>8</v>
      </c>
      <c r="AI1405">
        <v>11</v>
      </c>
      <c r="AJ1405">
        <v>10</v>
      </c>
    </row>
    <row r="1406" spans="1:36" x14ac:dyDescent="0.3">
      <c r="A1406">
        <v>42</v>
      </c>
      <c r="B1406" t="s">
        <v>43</v>
      </c>
      <c r="C1406" s="6">
        <f t="shared" si="21"/>
        <v>0</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t="s">
        <v>43</v>
      </c>
      <c r="Y1406">
        <v>12</v>
      </c>
      <c r="Z1406">
        <v>3</v>
      </c>
      <c r="AA1406">
        <v>4</v>
      </c>
      <c r="AB1406">
        <v>80</v>
      </c>
      <c r="AC1406">
        <v>0</v>
      </c>
      <c r="AD1406">
        <v>20</v>
      </c>
      <c r="AE1406">
        <v>2</v>
      </c>
      <c r="AF1406">
        <v>3</v>
      </c>
      <c r="AG1406">
        <v>20</v>
      </c>
      <c r="AH1406">
        <v>9</v>
      </c>
      <c r="AI1406">
        <v>3</v>
      </c>
      <c r="AJ1406">
        <v>7</v>
      </c>
    </row>
    <row r="1407" spans="1:36" x14ac:dyDescent="0.3">
      <c r="A1407">
        <v>31</v>
      </c>
      <c r="B1407" t="s">
        <v>43</v>
      </c>
      <c r="C1407" s="6">
        <f t="shared" si="21"/>
        <v>0</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t="s">
        <v>43</v>
      </c>
      <c r="Y1407">
        <v>20</v>
      </c>
      <c r="Z1407">
        <v>4</v>
      </c>
      <c r="AA1407">
        <v>3</v>
      </c>
      <c r="AB1407">
        <v>80</v>
      </c>
      <c r="AC1407">
        <v>1</v>
      </c>
      <c r="AD1407">
        <v>13</v>
      </c>
      <c r="AE1407">
        <v>2</v>
      </c>
      <c r="AF1407">
        <v>4</v>
      </c>
      <c r="AG1407">
        <v>11</v>
      </c>
      <c r="AH1407">
        <v>7</v>
      </c>
      <c r="AI1407">
        <v>4</v>
      </c>
      <c r="AJ1407">
        <v>8</v>
      </c>
    </row>
    <row r="1408" spans="1:36" x14ac:dyDescent="0.3">
      <c r="A1408">
        <v>54</v>
      </c>
      <c r="B1408" t="s">
        <v>43</v>
      </c>
      <c r="C1408" s="6">
        <f t="shared" si="21"/>
        <v>0</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t="s">
        <v>35</v>
      </c>
      <c r="Y1408">
        <v>19</v>
      </c>
      <c r="Z1408">
        <v>3</v>
      </c>
      <c r="AA1408">
        <v>4</v>
      </c>
      <c r="AB1408">
        <v>80</v>
      </c>
      <c r="AC1408">
        <v>0</v>
      </c>
      <c r="AD1408">
        <v>9</v>
      </c>
      <c r="AE1408">
        <v>3</v>
      </c>
      <c r="AF1408">
        <v>3</v>
      </c>
      <c r="AG1408">
        <v>5</v>
      </c>
      <c r="AH1408">
        <v>2</v>
      </c>
      <c r="AI1408">
        <v>1</v>
      </c>
      <c r="AJ1408">
        <v>4</v>
      </c>
    </row>
    <row r="1409" spans="1:36" x14ac:dyDescent="0.3">
      <c r="A1409">
        <v>24</v>
      </c>
      <c r="B1409" t="s">
        <v>43</v>
      </c>
      <c r="C1409" s="6">
        <f t="shared" si="21"/>
        <v>0</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t="s">
        <v>43</v>
      </c>
      <c r="Y1409">
        <v>12</v>
      </c>
      <c r="Z1409">
        <v>3</v>
      </c>
      <c r="AA1409">
        <v>2</v>
      </c>
      <c r="AB1409">
        <v>80</v>
      </c>
      <c r="AC1409">
        <v>0</v>
      </c>
      <c r="AD1409">
        <v>4</v>
      </c>
      <c r="AE1409">
        <v>2</v>
      </c>
      <c r="AF1409">
        <v>2</v>
      </c>
      <c r="AG1409">
        <v>4</v>
      </c>
      <c r="AH1409">
        <v>3</v>
      </c>
      <c r="AI1409">
        <v>1</v>
      </c>
      <c r="AJ1409">
        <v>2</v>
      </c>
    </row>
    <row r="1410" spans="1:36" x14ac:dyDescent="0.3">
      <c r="A1410">
        <v>23</v>
      </c>
      <c r="B1410" t="s">
        <v>43</v>
      </c>
      <c r="C1410" s="6">
        <f t="shared" si="21"/>
        <v>0</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t="s">
        <v>43</v>
      </c>
      <c r="Y1410">
        <v>13</v>
      </c>
      <c r="Z1410">
        <v>3</v>
      </c>
      <c r="AA1410">
        <v>3</v>
      </c>
      <c r="AB1410">
        <v>80</v>
      </c>
      <c r="AC1410">
        <v>0</v>
      </c>
      <c r="AD1410">
        <v>5</v>
      </c>
      <c r="AE1410">
        <v>6</v>
      </c>
      <c r="AF1410">
        <v>4</v>
      </c>
      <c r="AG1410">
        <v>5</v>
      </c>
      <c r="AH1410">
        <v>2</v>
      </c>
      <c r="AI1410">
        <v>1</v>
      </c>
      <c r="AJ1410">
        <v>4</v>
      </c>
    </row>
    <row r="1411" spans="1:36" x14ac:dyDescent="0.3">
      <c r="A1411">
        <v>40</v>
      </c>
      <c r="B1411" t="s">
        <v>43</v>
      </c>
      <c r="C1411" s="6">
        <f t="shared" ref="C1411:C1471" si="22">IF(B1411="Yes",1,0)</f>
        <v>0</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t="s">
        <v>43</v>
      </c>
      <c r="Y1411">
        <v>11</v>
      </c>
      <c r="Z1411">
        <v>3</v>
      </c>
      <c r="AA1411">
        <v>1</v>
      </c>
      <c r="AB1411">
        <v>80</v>
      </c>
      <c r="AC1411">
        <v>1</v>
      </c>
      <c r="AD1411">
        <v>10</v>
      </c>
      <c r="AE1411">
        <v>2</v>
      </c>
      <c r="AF1411">
        <v>4</v>
      </c>
      <c r="AG1411">
        <v>10</v>
      </c>
      <c r="AH1411">
        <v>9</v>
      </c>
      <c r="AI1411">
        <v>9</v>
      </c>
      <c r="AJ1411">
        <v>4</v>
      </c>
    </row>
    <row r="1412" spans="1:36" x14ac:dyDescent="0.3">
      <c r="A1412">
        <v>40</v>
      </c>
      <c r="B1412" t="s">
        <v>43</v>
      </c>
      <c r="C1412" s="6">
        <f t="shared" si="22"/>
        <v>0</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t="s">
        <v>43</v>
      </c>
      <c r="Y1412">
        <v>14</v>
      </c>
      <c r="Z1412">
        <v>3</v>
      </c>
      <c r="AA1412">
        <v>3</v>
      </c>
      <c r="AB1412">
        <v>80</v>
      </c>
      <c r="AC1412">
        <v>1</v>
      </c>
      <c r="AD1412">
        <v>15</v>
      </c>
      <c r="AE1412">
        <v>4</v>
      </c>
      <c r="AF1412">
        <v>3</v>
      </c>
      <c r="AG1412">
        <v>11</v>
      </c>
      <c r="AH1412">
        <v>8</v>
      </c>
      <c r="AI1412">
        <v>5</v>
      </c>
      <c r="AJ1412">
        <v>10</v>
      </c>
    </row>
    <row r="1413" spans="1:36" x14ac:dyDescent="0.3">
      <c r="A1413">
        <v>25</v>
      </c>
      <c r="B1413" t="s">
        <v>43</v>
      </c>
      <c r="C1413" s="6">
        <f t="shared" si="22"/>
        <v>0</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t="s">
        <v>43</v>
      </c>
      <c r="Y1413">
        <v>14</v>
      </c>
      <c r="Z1413">
        <v>3</v>
      </c>
      <c r="AA1413">
        <v>3</v>
      </c>
      <c r="AB1413">
        <v>80</v>
      </c>
      <c r="AC1413">
        <v>0</v>
      </c>
      <c r="AD1413">
        <v>6</v>
      </c>
      <c r="AE1413">
        <v>3</v>
      </c>
      <c r="AF1413">
        <v>3</v>
      </c>
      <c r="AG1413">
        <v>2</v>
      </c>
      <c r="AH1413">
        <v>0</v>
      </c>
      <c r="AI1413">
        <v>1</v>
      </c>
      <c r="AJ1413">
        <v>2</v>
      </c>
    </row>
    <row r="1414" spans="1:36" x14ac:dyDescent="0.3">
      <c r="A1414">
        <v>30</v>
      </c>
      <c r="B1414" t="s">
        <v>43</v>
      </c>
      <c r="C1414" s="6">
        <f t="shared" si="22"/>
        <v>0</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t="s">
        <v>43</v>
      </c>
      <c r="Y1414">
        <v>13</v>
      </c>
      <c r="Z1414">
        <v>3</v>
      </c>
      <c r="AA1414">
        <v>3</v>
      </c>
      <c r="AB1414">
        <v>80</v>
      </c>
      <c r="AC1414">
        <v>0</v>
      </c>
      <c r="AD1414">
        <v>12</v>
      </c>
      <c r="AE1414">
        <v>6</v>
      </c>
      <c r="AF1414">
        <v>2</v>
      </c>
      <c r="AG1414">
        <v>12</v>
      </c>
      <c r="AH1414">
        <v>8</v>
      </c>
      <c r="AI1414">
        <v>1</v>
      </c>
      <c r="AJ1414">
        <v>7</v>
      </c>
    </row>
    <row r="1415" spans="1:36" x14ac:dyDescent="0.3">
      <c r="A1415">
        <v>25</v>
      </c>
      <c r="B1415" t="s">
        <v>43</v>
      </c>
      <c r="C1415" s="6">
        <f t="shared" si="22"/>
        <v>0</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t="s">
        <v>35</v>
      </c>
      <c r="Y1415">
        <v>19</v>
      </c>
      <c r="Z1415">
        <v>3</v>
      </c>
      <c r="AA1415">
        <v>3</v>
      </c>
      <c r="AB1415">
        <v>80</v>
      </c>
      <c r="AC1415">
        <v>1</v>
      </c>
      <c r="AD1415">
        <v>7</v>
      </c>
      <c r="AE1415">
        <v>2</v>
      </c>
      <c r="AF1415">
        <v>2</v>
      </c>
      <c r="AG1415">
        <v>2</v>
      </c>
      <c r="AH1415">
        <v>2</v>
      </c>
      <c r="AI1415">
        <v>0</v>
      </c>
      <c r="AJ1415">
        <v>2</v>
      </c>
    </row>
    <row r="1416" spans="1:36" x14ac:dyDescent="0.3">
      <c r="A1416">
        <v>47</v>
      </c>
      <c r="B1416" t="s">
        <v>43</v>
      </c>
      <c r="C1416" s="6">
        <f t="shared" si="22"/>
        <v>0</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t="s">
        <v>43</v>
      </c>
      <c r="Y1416">
        <v>23</v>
      </c>
      <c r="Z1416">
        <v>4</v>
      </c>
      <c r="AA1416">
        <v>2</v>
      </c>
      <c r="AB1416">
        <v>80</v>
      </c>
      <c r="AC1416">
        <v>0</v>
      </c>
      <c r="AD1416">
        <v>25</v>
      </c>
      <c r="AE1416">
        <v>3</v>
      </c>
      <c r="AF1416">
        <v>3</v>
      </c>
      <c r="AG1416">
        <v>17</v>
      </c>
      <c r="AH1416">
        <v>14</v>
      </c>
      <c r="AI1416">
        <v>12</v>
      </c>
      <c r="AJ1416">
        <v>11</v>
      </c>
    </row>
    <row r="1417" spans="1:36" x14ac:dyDescent="0.3">
      <c r="A1417">
        <v>33</v>
      </c>
      <c r="B1417" t="s">
        <v>43</v>
      </c>
      <c r="C1417" s="6">
        <f t="shared" si="22"/>
        <v>0</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t="s">
        <v>43</v>
      </c>
      <c r="Y1417">
        <v>12</v>
      </c>
      <c r="Z1417">
        <v>3</v>
      </c>
      <c r="AA1417">
        <v>3</v>
      </c>
      <c r="AB1417">
        <v>80</v>
      </c>
      <c r="AC1417">
        <v>3</v>
      </c>
      <c r="AD1417">
        <v>1</v>
      </c>
      <c r="AE1417">
        <v>2</v>
      </c>
      <c r="AF1417">
        <v>2</v>
      </c>
      <c r="AG1417">
        <v>1</v>
      </c>
      <c r="AH1417">
        <v>1</v>
      </c>
      <c r="AI1417">
        <v>0</v>
      </c>
      <c r="AJ1417">
        <v>0</v>
      </c>
    </row>
    <row r="1418" spans="1:36" x14ac:dyDescent="0.3">
      <c r="A1418">
        <v>38</v>
      </c>
      <c r="B1418" t="s">
        <v>43</v>
      </c>
      <c r="C1418" s="6">
        <f t="shared" si="22"/>
        <v>0</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t="s">
        <v>43</v>
      </c>
      <c r="Y1418">
        <v>15</v>
      </c>
      <c r="Z1418">
        <v>3</v>
      </c>
      <c r="AA1418">
        <v>1</v>
      </c>
      <c r="AB1418">
        <v>80</v>
      </c>
      <c r="AC1418">
        <v>2</v>
      </c>
      <c r="AD1418">
        <v>16</v>
      </c>
      <c r="AE1418">
        <v>3</v>
      </c>
      <c r="AF1418">
        <v>3</v>
      </c>
      <c r="AG1418">
        <v>15</v>
      </c>
      <c r="AH1418">
        <v>13</v>
      </c>
      <c r="AI1418">
        <v>5</v>
      </c>
      <c r="AJ1418">
        <v>8</v>
      </c>
    </row>
    <row r="1419" spans="1:36" x14ac:dyDescent="0.3">
      <c r="A1419">
        <v>31</v>
      </c>
      <c r="B1419" t="s">
        <v>43</v>
      </c>
      <c r="C1419" s="6">
        <f t="shared" si="22"/>
        <v>0</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t="s">
        <v>43</v>
      </c>
      <c r="Y1419">
        <v>19</v>
      </c>
      <c r="Z1419">
        <v>3</v>
      </c>
      <c r="AA1419">
        <v>3</v>
      </c>
      <c r="AB1419">
        <v>80</v>
      </c>
      <c r="AC1419">
        <v>1</v>
      </c>
      <c r="AD1419">
        <v>3</v>
      </c>
      <c r="AE1419">
        <v>1</v>
      </c>
      <c r="AF1419">
        <v>3</v>
      </c>
      <c r="AG1419">
        <v>2</v>
      </c>
      <c r="AH1419">
        <v>2</v>
      </c>
      <c r="AI1419">
        <v>1</v>
      </c>
      <c r="AJ1419">
        <v>2</v>
      </c>
    </row>
    <row r="1420" spans="1:36" x14ac:dyDescent="0.3">
      <c r="A1420">
        <v>38</v>
      </c>
      <c r="B1420" t="s">
        <v>43</v>
      </c>
      <c r="C1420" s="6">
        <f t="shared" si="22"/>
        <v>0</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t="s">
        <v>43</v>
      </c>
      <c r="Y1420">
        <v>11</v>
      </c>
      <c r="Z1420">
        <v>3</v>
      </c>
      <c r="AA1420">
        <v>4</v>
      </c>
      <c r="AB1420">
        <v>80</v>
      </c>
      <c r="AC1420">
        <v>1</v>
      </c>
      <c r="AD1420">
        <v>10</v>
      </c>
      <c r="AE1420">
        <v>1</v>
      </c>
      <c r="AF1420">
        <v>3</v>
      </c>
      <c r="AG1420">
        <v>8</v>
      </c>
      <c r="AH1420">
        <v>3</v>
      </c>
      <c r="AI1420">
        <v>7</v>
      </c>
      <c r="AJ1420">
        <v>7</v>
      </c>
    </row>
    <row r="1421" spans="1:36" x14ac:dyDescent="0.3">
      <c r="A1421">
        <v>42</v>
      </c>
      <c r="B1421" t="s">
        <v>43</v>
      </c>
      <c r="C1421" s="6">
        <f t="shared" si="22"/>
        <v>0</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t="s">
        <v>35</v>
      </c>
      <c r="Y1421">
        <v>17</v>
      </c>
      <c r="Z1421">
        <v>3</v>
      </c>
      <c r="AA1421">
        <v>3</v>
      </c>
      <c r="AB1421">
        <v>80</v>
      </c>
      <c r="AC1421">
        <v>1</v>
      </c>
      <c r="AD1421">
        <v>9</v>
      </c>
      <c r="AE1421">
        <v>3</v>
      </c>
      <c r="AF1421">
        <v>2</v>
      </c>
      <c r="AG1421">
        <v>4</v>
      </c>
      <c r="AH1421">
        <v>3</v>
      </c>
      <c r="AI1421">
        <v>1</v>
      </c>
      <c r="AJ1421">
        <v>2</v>
      </c>
    </row>
    <row r="1422" spans="1:36" x14ac:dyDescent="0.3">
      <c r="A1422">
        <v>41</v>
      </c>
      <c r="B1422" t="s">
        <v>43</v>
      </c>
      <c r="C1422" s="6">
        <f t="shared" si="22"/>
        <v>0</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t="s">
        <v>43</v>
      </c>
      <c r="Y1422">
        <v>22</v>
      </c>
      <c r="Z1422">
        <v>4</v>
      </c>
      <c r="AA1422">
        <v>1</v>
      </c>
      <c r="AB1422">
        <v>80</v>
      </c>
      <c r="AC1422">
        <v>1</v>
      </c>
      <c r="AD1422">
        <v>12</v>
      </c>
      <c r="AE1422">
        <v>3</v>
      </c>
      <c r="AF1422">
        <v>3</v>
      </c>
      <c r="AG1422">
        <v>5</v>
      </c>
      <c r="AH1422">
        <v>3</v>
      </c>
      <c r="AI1422">
        <v>1</v>
      </c>
      <c r="AJ1422">
        <v>0</v>
      </c>
    </row>
    <row r="1423" spans="1:36" x14ac:dyDescent="0.3">
      <c r="A1423">
        <v>47</v>
      </c>
      <c r="B1423" t="s">
        <v>43</v>
      </c>
      <c r="C1423" s="6">
        <f t="shared" si="22"/>
        <v>0</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t="s">
        <v>43</v>
      </c>
      <c r="Y1423">
        <v>18</v>
      </c>
      <c r="Z1423">
        <v>3</v>
      </c>
      <c r="AA1423">
        <v>1</v>
      </c>
      <c r="AB1423">
        <v>80</v>
      </c>
      <c r="AC1423">
        <v>2</v>
      </c>
      <c r="AD1423">
        <v>14</v>
      </c>
      <c r="AE1423">
        <v>3</v>
      </c>
      <c r="AF1423">
        <v>1</v>
      </c>
      <c r="AG1423">
        <v>13</v>
      </c>
      <c r="AH1423">
        <v>8</v>
      </c>
      <c r="AI1423">
        <v>5</v>
      </c>
      <c r="AJ1423">
        <v>12</v>
      </c>
    </row>
    <row r="1424" spans="1:36" x14ac:dyDescent="0.3">
      <c r="A1424">
        <v>35</v>
      </c>
      <c r="B1424" t="s">
        <v>43</v>
      </c>
      <c r="C1424" s="6">
        <f t="shared" si="22"/>
        <v>0</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t="s">
        <v>35</v>
      </c>
      <c r="Y1424">
        <v>11</v>
      </c>
      <c r="Z1424">
        <v>3</v>
      </c>
      <c r="AA1424">
        <v>3</v>
      </c>
      <c r="AB1424">
        <v>80</v>
      </c>
      <c r="AC1424">
        <v>1</v>
      </c>
      <c r="AD1424">
        <v>5</v>
      </c>
      <c r="AE1424">
        <v>3</v>
      </c>
      <c r="AF1424">
        <v>3</v>
      </c>
      <c r="AG1424">
        <v>2</v>
      </c>
      <c r="AH1424">
        <v>2</v>
      </c>
      <c r="AI1424">
        <v>2</v>
      </c>
      <c r="AJ1424">
        <v>2</v>
      </c>
    </row>
    <row r="1425" spans="1:36" x14ac:dyDescent="0.3">
      <c r="A1425">
        <v>22</v>
      </c>
      <c r="B1425" t="s">
        <v>43</v>
      </c>
      <c r="C1425" s="6">
        <f t="shared" si="22"/>
        <v>0</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t="s">
        <v>43</v>
      </c>
      <c r="Y1425">
        <v>12</v>
      </c>
      <c r="Z1425">
        <v>3</v>
      </c>
      <c r="AA1425">
        <v>4</v>
      </c>
      <c r="AB1425">
        <v>80</v>
      </c>
      <c r="AC1425">
        <v>0</v>
      </c>
      <c r="AD1425">
        <v>4</v>
      </c>
      <c r="AE1425">
        <v>2</v>
      </c>
      <c r="AF1425">
        <v>4</v>
      </c>
      <c r="AG1425">
        <v>3</v>
      </c>
      <c r="AH1425">
        <v>2</v>
      </c>
      <c r="AI1425">
        <v>1</v>
      </c>
      <c r="AJ1425">
        <v>2</v>
      </c>
    </row>
    <row r="1426" spans="1:36" x14ac:dyDescent="0.3">
      <c r="A1426">
        <v>35</v>
      </c>
      <c r="B1426" t="s">
        <v>43</v>
      </c>
      <c r="C1426" s="6">
        <f t="shared" si="22"/>
        <v>0</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t="s">
        <v>43</v>
      </c>
      <c r="Y1426">
        <v>19</v>
      </c>
      <c r="Z1426">
        <v>3</v>
      </c>
      <c r="AA1426">
        <v>2</v>
      </c>
      <c r="AB1426">
        <v>80</v>
      </c>
      <c r="AC1426">
        <v>0</v>
      </c>
      <c r="AD1426">
        <v>10</v>
      </c>
      <c r="AE1426">
        <v>5</v>
      </c>
      <c r="AF1426">
        <v>3</v>
      </c>
      <c r="AG1426">
        <v>10</v>
      </c>
      <c r="AH1426">
        <v>7</v>
      </c>
      <c r="AI1426">
        <v>0</v>
      </c>
      <c r="AJ1426">
        <v>8</v>
      </c>
    </row>
    <row r="1427" spans="1:36" x14ac:dyDescent="0.3">
      <c r="A1427">
        <v>33</v>
      </c>
      <c r="B1427" t="s">
        <v>43</v>
      </c>
      <c r="C1427" s="6">
        <f t="shared" si="22"/>
        <v>0</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t="s">
        <v>35</v>
      </c>
      <c r="Y1427">
        <v>13</v>
      </c>
      <c r="Z1427">
        <v>3</v>
      </c>
      <c r="AA1427">
        <v>1</v>
      </c>
      <c r="AB1427">
        <v>80</v>
      </c>
      <c r="AC1427">
        <v>1</v>
      </c>
      <c r="AD1427">
        <v>10</v>
      </c>
      <c r="AE1427">
        <v>6</v>
      </c>
      <c r="AF1427">
        <v>3</v>
      </c>
      <c r="AG1427">
        <v>9</v>
      </c>
      <c r="AH1427">
        <v>7</v>
      </c>
      <c r="AI1427">
        <v>8</v>
      </c>
      <c r="AJ1427">
        <v>1</v>
      </c>
    </row>
    <row r="1428" spans="1:36" x14ac:dyDescent="0.3">
      <c r="A1428">
        <v>32</v>
      </c>
      <c r="B1428" t="s">
        <v>43</v>
      </c>
      <c r="C1428" s="6">
        <f t="shared" si="22"/>
        <v>0</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t="s">
        <v>43</v>
      </c>
      <c r="Y1428">
        <v>13</v>
      </c>
      <c r="Z1428">
        <v>3</v>
      </c>
      <c r="AA1428">
        <v>3</v>
      </c>
      <c r="AB1428">
        <v>80</v>
      </c>
      <c r="AC1428">
        <v>0</v>
      </c>
      <c r="AD1428">
        <v>6</v>
      </c>
      <c r="AE1428">
        <v>3</v>
      </c>
      <c r="AF1428">
        <v>3</v>
      </c>
      <c r="AG1428">
        <v>6</v>
      </c>
      <c r="AH1428">
        <v>2</v>
      </c>
      <c r="AI1428">
        <v>4</v>
      </c>
      <c r="AJ1428">
        <v>1</v>
      </c>
    </row>
    <row r="1429" spans="1:36" x14ac:dyDescent="0.3">
      <c r="A1429">
        <v>40</v>
      </c>
      <c r="B1429" t="s">
        <v>43</v>
      </c>
      <c r="C1429" s="6">
        <f t="shared" si="22"/>
        <v>0</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t="s">
        <v>43</v>
      </c>
      <c r="Y1429">
        <v>19</v>
      </c>
      <c r="Z1429">
        <v>3</v>
      </c>
      <c r="AA1429">
        <v>3</v>
      </c>
      <c r="AB1429">
        <v>80</v>
      </c>
      <c r="AC1429">
        <v>2</v>
      </c>
      <c r="AD1429">
        <v>8</v>
      </c>
      <c r="AE1429">
        <v>3</v>
      </c>
      <c r="AF1429">
        <v>2</v>
      </c>
      <c r="AG1429">
        <v>1</v>
      </c>
      <c r="AH1429">
        <v>0</v>
      </c>
      <c r="AI1429">
        <v>0</v>
      </c>
      <c r="AJ1429">
        <v>0</v>
      </c>
    </row>
    <row r="1430" spans="1:36" x14ac:dyDescent="0.3">
      <c r="A1430">
        <v>32</v>
      </c>
      <c r="B1430" t="s">
        <v>43</v>
      </c>
      <c r="C1430" s="6">
        <f t="shared" si="22"/>
        <v>0</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t="s">
        <v>43</v>
      </c>
      <c r="Y1430">
        <v>14</v>
      </c>
      <c r="Z1430">
        <v>3</v>
      </c>
      <c r="AA1430">
        <v>2</v>
      </c>
      <c r="AB1430">
        <v>80</v>
      </c>
      <c r="AC1430">
        <v>1</v>
      </c>
      <c r="AD1430">
        <v>3</v>
      </c>
      <c r="AE1430">
        <v>2</v>
      </c>
      <c r="AF1430">
        <v>3</v>
      </c>
      <c r="AG1430">
        <v>2</v>
      </c>
      <c r="AH1430">
        <v>2</v>
      </c>
      <c r="AI1430">
        <v>2</v>
      </c>
      <c r="AJ1430">
        <v>2</v>
      </c>
    </row>
    <row r="1431" spans="1:36" x14ac:dyDescent="0.3">
      <c r="A1431">
        <v>39</v>
      </c>
      <c r="B1431" t="s">
        <v>43</v>
      </c>
      <c r="C1431" s="6">
        <f t="shared" si="22"/>
        <v>0</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t="s">
        <v>43</v>
      </c>
      <c r="Y1431">
        <v>13</v>
      </c>
      <c r="Z1431">
        <v>3</v>
      </c>
      <c r="AA1431">
        <v>1</v>
      </c>
      <c r="AB1431">
        <v>80</v>
      </c>
      <c r="AC1431">
        <v>0</v>
      </c>
      <c r="AD1431">
        <v>18</v>
      </c>
      <c r="AE1431">
        <v>2</v>
      </c>
      <c r="AF1431">
        <v>3</v>
      </c>
      <c r="AG1431">
        <v>7</v>
      </c>
      <c r="AH1431">
        <v>7</v>
      </c>
      <c r="AI1431">
        <v>1</v>
      </c>
      <c r="AJ1431">
        <v>7</v>
      </c>
    </row>
    <row r="1432" spans="1:36" x14ac:dyDescent="0.3">
      <c r="A1432">
        <v>38</v>
      </c>
      <c r="B1432" t="s">
        <v>43</v>
      </c>
      <c r="C1432" s="6">
        <f t="shared" si="22"/>
        <v>0</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t="s">
        <v>43</v>
      </c>
      <c r="Y1432">
        <v>12</v>
      </c>
      <c r="Z1432">
        <v>3</v>
      </c>
      <c r="AA1432">
        <v>1</v>
      </c>
      <c r="AB1432">
        <v>80</v>
      </c>
      <c r="AC1432">
        <v>1</v>
      </c>
      <c r="AD1432">
        <v>20</v>
      </c>
      <c r="AE1432">
        <v>3</v>
      </c>
      <c r="AF1432">
        <v>3</v>
      </c>
      <c r="AG1432">
        <v>18</v>
      </c>
      <c r="AH1432">
        <v>16</v>
      </c>
      <c r="AI1432">
        <v>1</v>
      </c>
      <c r="AJ1432">
        <v>11</v>
      </c>
    </row>
    <row r="1433" spans="1:36" x14ac:dyDescent="0.3">
      <c r="A1433">
        <v>32</v>
      </c>
      <c r="B1433" t="s">
        <v>43</v>
      </c>
      <c r="C1433" s="6">
        <f t="shared" si="22"/>
        <v>0</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t="s">
        <v>43</v>
      </c>
      <c r="Y1433">
        <v>19</v>
      </c>
      <c r="Z1433">
        <v>3</v>
      </c>
      <c r="AA1433">
        <v>3</v>
      </c>
      <c r="AB1433">
        <v>80</v>
      </c>
      <c r="AC1433">
        <v>2</v>
      </c>
      <c r="AD1433">
        <v>14</v>
      </c>
      <c r="AE1433">
        <v>3</v>
      </c>
      <c r="AF1433">
        <v>3</v>
      </c>
      <c r="AG1433">
        <v>14</v>
      </c>
      <c r="AH1433">
        <v>10</v>
      </c>
      <c r="AI1433">
        <v>5</v>
      </c>
      <c r="AJ1433">
        <v>7</v>
      </c>
    </row>
    <row r="1434" spans="1:36" x14ac:dyDescent="0.3">
      <c r="A1434">
        <v>37</v>
      </c>
      <c r="B1434" t="s">
        <v>43</v>
      </c>
      <c r="C1434" s="6">
        <f t="shared" si="22"/>
        <v>0</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t="s">
        <v>35</v>
      </c>
      <c r="Y1434">
        <v>25</v>
      </c>
      <c r="Z1434">
        <v>4</v>
      </c>
      <c r="AA1434">
        <v>1</v>
      </c>
      <c r="AB1434">
        <v>80</v>
      </c>
      <c r="AC1434">
        <v>1</v>
      </c>
      <c r="AD1434">
        <v>16</v>
      </c>
      <c r="AE1434">
        <v>2</v>
      </c>
      <c r="AF1434">
        <v>3</v>
      </c>
      <c r="AG1434">
        <v>16</v>
      </c>
      <c r="AH1434">
        <v>11</v>
      </c>
      <c r="AI1434">
        <v>6</v>
      </c>
      <c r="AJ1434">
        <v>8</v>
      </c>
    </row>
    <row r="1435" spans="1:36" x14ac:dyDescent="0.3">
      <c r="A1435">
        <v>25</v>
      </c>
      <c r="B1435" t="s">
        <v>43</v>
      </c>
      <c r="C1435" s="6">
        <f t="shared" si="22"/>
        <v>0</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t="s">
        <v>35</v>
      </c>
      <c r="Y1435">
        <v>22</v>
      </c>
      <c r="Z1435">
        <v>4</v>
      </c>
      <c r="AA1435">
        <v>2</v>
      </c>
      <c r="AB1435">
        <v>80</v>
      </c>
      <c r="AC1435">
        <v>1</v>
      </c>
      <c r="AD1435">
        <v>6</v>
      </c>
      <c r="AE1435">
        <v>3</v>
      </c>
      <c r="AF1435">
        <v>2</v>
      </c>
      <c r="AG1435">
        <v>5</v>
      </c>
      <c r="AH1435">
        <v>3</v>
      </c>
      <c r="AI1435">
        <v>0</v>
      </c>
      <c r="AJ1435">
        <v>4</v>
      </c>
    </row>
    <row r="1436" spans="1:36" x14ac:dyDescent="0.3">
      <c r="A1436">
        <v>52</v>
      </c>
      <c r="B1436" t="s">
        <v>43</v>
      </c>
      <c r="C1436" s="6">
        <f t="shared" si="22"/>
        <v>0</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t="s">
        <v>43</v>
      </c>
      <c r="Y1436">
        <v>15</v>
      </c>
      <c r="Z1436">
        <v>3</v>
      </c>
      <c r="AA1436">
        <v>2</v>
      </c>
      <c r="AB1436">
        <v>80</v>
      </c>
      <c r="AC1436">
        <v>2</v>
      </c>
      <c r="AD1436">
        <v>16</v>
      </c>
      <c r="AE1436">
        <v>3</v>
      </c>
      <c r="AF1436">
        <v>2</v>
      </c>
      <c r="AG1436">
        <v>9</v>
      </c>
      <c r="AH1436">
        <v>8</v>
      </c>
      <c r="AI1436">
        <v>0</v>
      </c>
      <c r="AJ1436">
        <v>0</v>
      </c>
    </row>
    <row r="1437" spans="1:36" x14ac:dyDescent="0.3">
      <c r="A1437">
        <v>44</v>
      </c>
      <c r="B1437" t="s">
        <v>43</v>
      </c>
      <c r="C1437" s="6">
        <f t="shared" si="22"/>
        <v>0</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t="s">
        <v>35</v>
      </c>
      <c r="Y1437">
        <v>12</v>
      </c>
      <c r="Z1437">
        <v>3</v>
      </c>
      <c r="AA1437">
        <v>3</v>
      </c>
      <c r="AB1437">
        <v>80</v>
      </c>
      <c r="AC1437">
        <v>0</v>
      </c>
      <c r="AD1437">
        <v>6</v>
      </c>
      <c r="AE1437">
        <v>2</v>
      </c>
      <c r="AF1437">
        <v>3</v>
      </c>
      <c r="AG1437">
        <v>4</v>
      </c>
      <c r="AH1437">
        <v>3</v>
      </c>
      <c r="AI1437">
        <v>1</v>
      </c>
      <c r="AJ1437">
        <v>2</v>
      </c>
    </row>
    <row r="1438" spans="1:36" x14ac:dyDescent="0.3">
      <c r="A1438">
        <v>21</v>
      </c>
      <c r="B1438" t="s">
        <v>43</v>
      </c>
      <c r="C1438" s="6">
        <f t="shared" si="22"/>
        <v>0</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t="s">
        <v>35</v>
      </c>
      <c r="Y1438">
        <v>11</v>
      </c>
      <c r="Z1438">
        <v>3</v>
      </c>
      <c r="AA1438">
        <v>4</v>
      </c>
      <c r="AB1438">
        <v>80</v>
      </c>
      <c r="AC1438">
        <v>0</v>
      </c>
      <c r="AD1438">
        <v>2</v>
      </c>
      <c r="AE1438">
        <v>6</v>
      </c>
      <c r="AF1438">
        <v>3</v>
      </c>
      <c r="AG1438">
        <v>2</v>
      </c>
      <c r="AH1438">
        <v>2</v>
      </c>
      <c r="AI1438">
        <v>1</v>
      </c>
      <c r="AJ1438">
        <v>2</v>
      </c>
    </row>
    <row r="1439" spans="1:36" x14ac:dyDescent="0.3">
      <c r="A1439">
        <v>39</v>
      </c>
      <c r="B1439" t="s">
        <v>43</v>
      </c>
      <c r="C1439" s="6">
        <f t="shared" si="22"/>
        <v>0</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t="s">
        <v>43</v>
      </c>
      <c r="Y1439">
        <v>13</v>
      </c>
      <c r="Z1439">
        <v>3</v>
      </c>
      <c r="AA1439">
        <v>3</v>
      </c>
      <c r="AB1439">
        <v>80</v>
      </c>
      <c r="AC1439">
        <v>0</v>
      </c>
      <c r="AD1439">
        <v>21</v>
      </c>
      <c r="AE1439">
        <v>3</v>
      </c>
      <c r="AF1439">
        <v>2</v>
      </c>
      <c r="AG1439">
        <v>6</v>
      </c>
      <c r="AH1439">
        <v>0</v>
      </c>
      <c r="AI1439">
        <v>1</v>
      </c>
      <c r="AJ1439">
        <v>3</v>
      </c>
    </row>
    <row r="1440" spans="1:36" x14ac:dyDescent="0.3">
      <c r="A1440">
        <v>23</v>
      </c>
      <c r="B1440" t="s">
        <v>35</v>
      </c>
      <c r="C1440" s="6">
        <f t="shared" si="22"/>
        <v>1</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t="s">
        <v>43</v>
      </c>
      <c r="Y1440">
        <v>19</v>
      </c>
      <c r="Z1440">
        <v>3</v>
      </c>
      <c r="AA1440">
        <v>1</v>
      </c>
      <c r="AB1440">
        <v>80</v>
      </c>
      <c r="AC1440">
        <v>1</v>
      </c>
      <c r="AD1440">
        <v>1</v>
      </c>
      <c r="AE1440">
        <v>3</v>
      </c>
      <c r="AF1440">
        <v>2</v>
      </c>
      <c r="AG1440">
        <v>1</v>
      </c>
      <c r="AH1440">
        <v>0</v>
      </c>
      <c r="AI1440">
        <v>1</v>
      </c>
      <c r="AJ1440">
        <v>0</v>
      </c>
    </row>
    <row r="1441" spans="1:36" x14ac:dyDescent="0.3">
      <c r="A1441">
        <v>36</v>
      </c>
      <c r="B1441" t="s">
        <v>43</v>
      </c>
      <c r="C1441" s="6">
        <f t="shared" si="22"/>
        <v>0</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t="s">
        <v>43</v>
      </c>
      <c r="Y1441">
        <v>19</v>
      </c>
      <c r="Z1441">
        <v>3</v>
      </c>
      <c r="AA1441">
        <v>3</v>
      </c>
      <c r="AB1441">
        <v>80</v>
      </c>
      <c r="AC1441">
        <v>2</v>
      </c>
      <c r="AD1441">
        <v>10</v>
      </c>
      <c r="AE1441">
        <v>2</v>
      </c>
      <c r="AF1441">
        <v>3</v>
      </c>
      <c r="AG1441">
        <v>9</v>
      </c>
      <c r="AH1441">
        <v>7</v>
      </c>
      <c r="AI1441">
        <v>3</v>
      </c>
      <c r="AJ1441">
        <v>4</v>
      </c>
    </row>
    <row r="1442" spans="1:36" x14ac:dyDescent="0.3">
      <c r="A1442">
        <v>36</v>
      </c>
      <c r="B1442" t="s">
        <v>43</v>
      </c>
      <c r="C1442" s="6">
        <f t="shared" si="22"/>
        <v>0</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t="s">
        <v>43</v>
      </c>
      <c r="Y1442">
        <v>13</v>
      </c>
      <c r="Z1442">
        <v>3</v>
      </c>
      <c r="AA1442">
        <v>2</v>
      </c>
      <c r="AB1442">
        <v>80</v>
      </c>
      <c r="AC1442">
        <v>3</v>
      </c>
      <c r="AD1442">
        <v>18</v>
      </c>
      <c r="AE1442">
        <v>3</v>
      </c>
      <c r="AF1442">
        <v>3</v>
      </c>
      <c r="AG1442">
        <v>4</v>
      </c>
      <c r="AH1442">
        <v>2</v>
      </c>
      <c r="AI1442">
        <v>0</v>
      </c>
      <c r="AJ1442">
        <v>2</v>
      </c>
    </row>
    <row r="1443" spans="1:36" x14ac:dyDescent="0.3">
      <c r="A1443">
        <v>56</v>
      </c>
      <c r="B1443" t="s">
        <v>43</v>
      </c>
      <c r="C1443" s="6">
        <f t="shared" si="22"/>
        <v>0</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t="s">
        <v>43</v>
      </c>
      <c r="Y1443">
        <v>21</v>
      </c>
      <c r="Z1443">
        <v>4</v>
      </c>
      <c r="AA1443">
        <v>1</v>
      </c>
      <c r="AB1443">
        <v>80</v>
      </c>
      <c r="AC1443">
        <v>1</v>
      </c>
      <c r="AD1443">
        <v>13</v>
      </c>
      <c r="AE1443">
        <v>2</v>
      </c>
      <c r="AF1443">
        <v>2</v>
      </c>
      <c r="AG1443">
        <v>13</v>
      </c>
      <c r="AH1443">
        <v>12</v>
      </c>
      <c r="AI1443">
        <v>1</v>
      </c>
      <c r="AJ1443">
        <v>9</v>
      </c>
    </row>
    <row r="1444" spans="1:36" x14ac:dyDescent="0.3">
      <c r="A1444">
        <v>29</v>
      </c>
      <c r="B1444" t="s">
        <v>35</v>
      </c>
      <c r="C1444" s="6">
        <f t="shared" si="22"/>
        <v>1</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t="s">
        <v>35</v>
      </c>
      <c r="Y1444">
        <v>14</v>
      </c>
      <c r="Z1444">
        <v>3</v>
      </c>
      <c r="AA1444">
        <v>2</v>
      </c>
      <c r="AB1444">
        <v>80</v>
      </c>
      <c r="AC1444">
        <v>3</v>
      </c>
      <c r="AD1444">
        <v>4</v>
      </c>
      <c r="AE1444">
        <v>3</v>
      </c>
      <c r="AF1444">
        <v>4</v>
      </c>
      <c r="AG1444">
        <v>2</v>
      </c>
      <c r="AH1444">
        <v>2</v>
      </c>
      <c r="AI1444">
        <v>2</v>
      </c>
      <c r="AJ1444">
        <v>2</v>
      </c>
    </row>
    <row r="1445" spans="1:36" x14ac:dyDescent="0.3">
      <c r="A1445">
        <v>42</v>
      </c>
      <c r="B1445" t="s">
        <v>43</v>
      </c>
      <c r="C1445" s="6">
        <f t="shared" si="22"/>
        <v>0</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t="s">
        <v>43</v>
      </c>
      <c r="Y1445">
        <v>11</v>
      </c>
      <c r="Z1445">
        <v>3</v>
      </c>
      <c r="AA1445">
        <v>1</v>
      </c>
      <c r="AB1445">
        <v>80</v>
      </c>
      <c r="AC1445">
        <v>0</v>
      </c>
      <c r="AD1445">
        <v>24</v>
      </c>
      <c r="AE1445">
        <v>2</v>
      </c>
      <c r="AF1445">
        <v>2</v>
      </c>
      <c r="AG1445">
        <v>22</v>
      </c>
      <c r="AH1445">
        <v>6</v>
      </c>
      <c r="AI1445">
        <v>4</v>
      </c>
      <c r="AJ1445">
        <v>14</v>
      </c>
    </row>
    <row r="1446" spans="1:36" x14ac:dyDescent="0.3">
      <c r="A1446">
        <v>56</v>
      </c>
      <c r="B1446" t="s">
        <v>35</v>
      </c>
      <c r="C1446" s="6">
        <f t="shared" si="22"/>
        <v>1</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t="s">
        <v>43</v>
      </c>
      <c r="Y1446">
        <v>11</v>
      </c>
      <c r="Z1446">
        <v>3</v>
      </c>
      <c r="AA1446">
        <v>4</v>
      </c>
      <c r="AB1446">
        <v>80</v>
      </c>
      <c r="AC1446">
        <v>1</v>
      </c>
      <c r="AD1446">
        <v>14</v>
      </c>
      <c r="AE1446">
        <v>4</v>
      </c>
      <c r="AF1446">
        <v>1</v>
      </c>
      <c r="AG1446">
        <v>10</v>
      </c>
      <c r="AH1446">
        <v>9</v>
      </c>
      <c r="AI1446">
        <v>9</v>
      </c>
      <c r="AJ1446">
        <v>8</v>
      </c>
    </row>
    <row r="1447" spans="1:36" x14ac:dyDescent="0.3">
      <c r="A1447">
        <v>41</v>
      </c>
      <c r="B1447" t="s">
        <v>43</v>
      </c>
      <c r="C1447" s="6">
        <f t="shared" si="22"/>
        <v>0</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t="s">
        <v>43</v>
      </c>
      <c r="Y1447">
        <v>23</v>
      </c>
      <c r="Z1447">
        <v>4</v>
      </c>
      <c r="AA1447">
        <v>3</v>
      </c>
      <c r="AB1447">
        <v>80</v>
      </c>
      <c r="AC1447">
        <v>1</v>
      </c>
      <c r="AD1447">
        <v>21</v>
      </c>
      <c r="AE1447">
        <v>3</v>
      </c>
      <c r="AF1447">
        <v>3</v>
      </c>
      <c r="AG1447">
        <v>20</v>
      </c>
      <c r="AH1447">
        <v>7</v>
      </c>
      <c r="AI1447">
        <v>0</v>
      </c>
      <c r="AJ1447">
        <v>10</v>
      </c>
    </row>
    <row r="1448" spans="1:36" x14ac:dyDescent="0.3">
      <c r="A1448">
        <v>34</v>
      </c>
      <c r="B1448" t="s">
        <v>43</v>
      </c>
      <c r="C1448" s="6">
        <f t="shared" si="22"/>
        <v>0</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t="s">
        <v>43</v>
      </c>
      <c r="Y1448">
        <v>21</v>
      </c>
      <c r="Z1448">
        <v>4</v>
      </c>
      <c r="AA1448">
        <v>4</v>
      </c>
      <c r="AB1448">
        <v>80</v>
      </c>
      <c r="AC1448">
        <v>2</v>
      </c>
      <c r="AD1448">
        <v>8</v>
      </c>
      <c r="AE1448">
        <v>2</v>
      </c>
      <c r="AF1448">
        <v>3</v>
      </c>
      <c r="AG1448">
        <v>8</v>
      </c>
      <c r="AH1448">
        <v>7</v>
      </c>
      <c r="AI1448">
        <v>1</v>
      </c>
      <c r="AJ1448">
        <v>7</v>
      </c>
    </row>
    <row r="1449" spans="1:36" x14ac:dyDescent="0.3">
      <c r="A1449">
        <v>36</v>
      </c>
      <c r="B1449" t="s">
        <v>43</v>
      </c>
      <c r="C1449" s="6">
        <f t="shared" si="22"/>
        <v>0</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t="s">
        <v>43</v>
      </c>
      <c r="Y1449">
        <v>24</v>
      </c>
      <c r="Z1449">
        <v>4</v>
      </c>
      <c r="AA1449">
        <v>1</v>
      </c>
      <c r="AB1449">
        <v>80</v>
      </c>
      <c r="AC1449">
        <v>1</v>
      </c>
      <c r="AD1449">
        <v>15</v>
      </c>
      <c r="AE1449">
        <v>4</v>
      </c>
      <c r="AF1449">
        <v>2</v>
      </c>
      <c r="AG1449">
        <v>15</v>
      </c>
      <c r="AH1449">
        <v>12</v>
      </c>
      <c r="AI1449">
        <v>11</v>
      </c>
      <c r="AJ1449">
        <v>11</v>
      </c>
    </row>
    <row r="1450" spans="1:36" x14ac:dyDescent="0.3">
      <c r="A1450">
        <v>41</v>
      </c>
      <c r="B1450" t="s">
        <v>43</v>
      </c>
      <c r="C1450" s="6">
        <f t="shared" si="22"/>
        <v>0</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t="s">
        <v>43</v>
      </c>
      <c r="Y1450">
        <v>11</v>
      </c>
      <c r="Z1450">
        <v>3</v>
      </c>
      <c r="AA1450">
        <v>3</v>
      </c>
      <c r="AB1450">
        <v>80</v>
      </c>
      <c r="AC1450">
        <v>1</v>
      </c>
      <c r="AD1450">
        <v>14</v>
      </c>
      <c r="AE1450">
        <v>5</v>
      </c>
      <c r="AF1450">
        <v>3</v>
      </c>
      <c r="AG1450">
        <v>5</v>
      </c>
      <c r="AH1450">
        <v>4</v>
      </c>
      <c r="AI1450">
        <v>0</v>
      </c>
      <c r="AJ1450">
        <v>4</v>
      </c>
    </row>
    <row r="1451" spans="1:36" x14ac:dyDescent="0.3">
      <c r="A1451">
        <v>32</v>
      </c>
      <c r="B1451" t="s">
        <v>43</v>
      </c>
      <c r="C1451" s="6">
        <f t="shared" si="22"/>
        <v>0</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t="s">
        <v>43</v>
      </c>
      <c r="Y1451">
        <v>14</v>
      </c>
      <c r="Z1451">
        <v>3</v>
      </c>
      <c r="AA1451">
        <v>4</v>
      </c>
      <c r="AB1451">
        <v>80</v>
      </c>
      <c r="AC1451">
        <v>0</v>
      </c>
      <c r="AD1451">
        <v>4</v>
      </c>
      <c r="AE1451">
        <v>4</v>
      </c>
      <c r="AF1451">
        <v>3</v>
      </c>
      <c r="AG1451">
        <v>4</v>
      </c>
      <c r="AH1451">
        <v>2</v>
      </c>
      <c r="AI1451">
        <v>1</v>
      </c>
      <c r="AJ1451">
        <v>2</v>
      </c>
    </row>
    <row r="1452" spans="1:36" x14ac:dyDescent="0.3">
      <c r="A1452">
        <v>35</v>
      </c>
      <c r="B1452" t="s">
        <v>43</v>
      </c>
      <c r="C1452" s="6">
        <f t="shared" si="22"/>
        <v>0</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t="s">
        <v>35</v>
      </c>
      <c r="Y1452">
        <v>16</v>
      </c>
      <c r="Z1452">
        <v>3</v>
      </c>
      <c r="AA1452">
        <v>3</v>
      </c>
      <c r="AB1452">
        <v>80</v>
      </c>
      <c r="AC1452">
        <v>0</v>
      </c>
      <c r="AD1452">
        <v>9</v>
      </c>
      <c r="AE1452">
        <v>2</v>
      </c>
      <c r="AF1452">
        <v>3</v>
      </c>
      <c r="AG1452">
        <v>9</v>
      </c>
      <c r="AH1452">
        <v>0</v>
      </c>
      <c r="AI1452">
        <v>1</v>
      </c>
      <c r="AJ1452">
        <v>7</v>
      </c>
    </row>
    <row r="1453" spans="1:36" x14ac:dyDescent="0.3">
      <c r="A1453">
        <v>38</v>
      </c>
      <c r="B1453" t="s">
        <v>43</v>
      </c>
      <c r="C1453" s="6">
        <f t="shared" si="22"/>
        <v>0</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t="s">
        <v>43</v>
      </c>
      <c r="Y1453">
        <v>11</v>
      </c>
      <c r="Z1453">
        <v>3</v>
      </c>
      <c r="AA1453">
        <v>3</v>
      </c>
      <c r="AB1453">
        <v>80</v>
      </c>
      <c r="AC1453">
        <v>1</v>
      </c>
      <c r="AD1453">
        <v>10</v>
      </c>
      <c r="AE1453">
        <v>1</v>
      </c>
      <c r="AF1453">
        <v>3</v>
      </c>
      <c r="AG1453">
        <v>10</v>
      </c>
      <c r="AH1453">
        <v>7</v>
      </c>
      <c r="AI1453">
        <v>1</v>
      </c>
      <c r="AJ1453">
        <v>9</v>
      </c>
    </row>
    <row r="1454" spans="1:36" x14ac:dyDescent="0.3">
      <c r="A1454">
        <v>50</v>
      </c>
      <c r="B1454" t="s">
        <v>35</v>
      </c>
      <c r="C1454" s="6">
        <f t="shared" si="22"/>
        <v>1</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t="s">
        <v>43</v>
      </c>
      <c r="Y1454">
        <v>12</v>
      </c>
      <c r="Z1454">
        <v>3</v>
      </c>
      <c r="AA1454">
        <v>4</v>
      </c>
      <c r="AB1454">
        <v>80</v>
      </c>
      <c r="AC1454">
        <v>2</v>
      </c>
      <c r="AD1454">
        <v>12</v>
      </c>
      <c r="AE1454">
        <v>3</v>
      </c>
      <c r="AF1454">
        <v>3</v>
      </c>
      <c r="AG1454">
        <v>6</v>
      </c>
      <c r="AH1454">
        <v>3</v>
      </c>
      <c r="AI1454">
        <v>0</v>
      </c>
      <c r="AJ1454">
        <v>1</v>
      </c>
    </row>
    <row r="1455" spans="1:36" x14ac:dyDescent="0.3">
      <c r="A1455">
        <v>36</v>
      </c>
      <c r="B1455" t="s">
        <v>43</v>
      </c>
      <c r="C1455" s="6">
        <f t="shared" si="22"/>
        <v>0</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t="s">
        <v>43</v>
      </c>
      <c r="Y1455">
        <v>13</v>
      </c>
      <c r="Z1455">
        <v>3</v>
      </c>
      <c r="AA1455">
        <v>1</v>
      </c>
      <c r="AB1455">
        <v>80</v>
      </c>
      <c r="AC1455">
        <v>1</v>
      </c>
      <c r="AD1455">
        <v>8</v>
      </c>
      <c r="AE1455">
        <v>2</v>
      </c>
      <c r="AF1455">
        <v>2</v>
      </c>
      <c r="AG1455">
        <v>6</v>
      </c>
      <c r="AH1455">
        <v>3</v>
      </c>
      <c r="AI1455">
        <v>0</v>
      </c>
      <c r="AJ1455">
        <v>0</v>
      </c>
    </row>
    <row r="1456" spans="1:36" x14ac:dyDescent="0.3">
      <c r="A1456">
        <v>45</v>
      </c>
      <c r="B1456" t="s">
        <v>43</v>
      </c>
      <c r="C1456" s="6">
        <f t="shared" si="22"/>
        <v>0</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t="s">
        <v>43</v>
      </c>
      <c r="Y1456">
        <v>15</v>
      </c>
      <c r="Z1456">
        <v>3</v>
      </c>
      <c r="AA1456">
        <v>3</v>
      </c>
      <c r="AB1456">
        <v>80</v>
      </c>
      <c r="AC1456">
        <v>0</v>
      </c>
      <c r="AD1456">
        <v>8</v>
      </c>
      <c r="AE1456">
        <v>3</v>
      </c>
      <c r="AF1456">
        <v>3</v>
      </c>
      <c r="AG1456">
        <v>5</v>
      </c>
      <c r="AH1456">
        <v>3</v>
      </c>
      <c r="AI1456">
        <v>0</v>
      </c>
      <c r="AJ1456">
        <v>1</v>
      </c>
    </row>
    <row r="1457" spans="1:36" x14ac:dyDescent="0.3">
      <c r="A1457">
        <v>40</v>
      </c>
      <c r="B1457" t="s">
        <v>43</v>
      </c>
      <c r="C1457" s="6">
        <f t="shared" si="22"/>
        <v>0</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t="s">
        <v>43</v>
      </c>
      <c r="Y1457">
        <v>14</v>
      </c>
      <c r="Z1457">
        <v>3</v>
      </c>
      <c r="AA1457">
        <v>4</v>
      </c>
      <c r="AB1457">
        <v>80</v>
      </c>
      <c r="AC1457">
        <v>0</v>
      </c>
      <c r="AD1457">
        <v>8</v>
      </c>
      <c r="AE1457">
        <v>2</v>
      </c>
      <c r="AF1457">
        <v>3</v>
      </c>
      <c r="AG1457">
        <v>2</v>
      </c>
      <c r="AH1457">
        <v>2</v>
      </c>
      <c r="AI1457">
        <v>2</v>
      </c>
      <c r="AJ1457">
        <v>2</v>
      </c>
    </row>
    <row r="1458" spans="1:36" x14ac:dyDescent="0.3">
      <c r="A1458">
        <v>35</v>
      </c>
      <c r="B1458" t="s">
        <v>43</v>
      </c>
      <c r="C1458" s="6">
        <f t="shared" si="22"/>
        <v>0</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t="s">
        <v>35</v>
      </c>
      <c r="Y1458">
        <v>14</v>
      </c>
      <c r="Z1458">
        <v>3</v>
      </c>
      <c r="AA1458">
        <v>4</v>
      </c>
      <c r="AB1458">
        <v>80</v>
      </c>
      <c r="AC1458">
        <v>2</v>
      </c>
      <c r="AD1458">
        <v>10</v>
      </c>
      <c r="AE1458">
        <v>2</v>
      </c>
      <c r="AF1458">
        <v>4</v>
      </c>
      <c r="AG1458">
        <v>10</v>
      </c>
      <c r="AH1458">
        <v>2</v>
      </c>
      <c r="AI1458">
        <v>0</v>
      </c>
      <c r="AJ1458">
        <v>2</v>
      </c>
    </row>
    <row r="1459" spans="1:36" x14ac:dyDescent="0.3">
      <c r="A1459">
        <v>40</v>
      </c>
      <c r="B1459" t="s">
        <v>43</v>
      </c>
      <c r="C1459" s="6">
        <f t="shared" si="22"/>
        <v>0</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t="s">
        <v>43</v>
      </c>
      <c r="Y1459">
        <v>14</v>
      </c>
      <c r="Z1459">
        <v>3</v>
      </c>
      <c r="AA1459">
        <v>2</v>
      </c>
      <c r="AB1459">
        <v>80</v>
      </c>
      <c r="AC1459">
        <v>3</v>
      </c>
      <c r="AD1459">
        <v>20</v>
      </c>
      <c r="AE1459">
        <v>2</v>
      </c>
      <c r="AF1459">
        <v>3</v>
      </c>
      <c r="AG1459">
        <v>5</v>
      </c>
      <c r="AH1459">
        <v>3</v>
      </c>
      <c r="AI1459">
        <v>0</v>
      </c>
      <c r="AJ1459">
        <v>2</v>
      </c>
    </row>
    <row r="1460" spans="1:36" x14ac:dyDescent="0.3">
      <c r="A1460">
        <v>35</v>
      </c>
      <c r="B1460" t="s">
        <v>43</v>
      </c>
      <c r="C1460" s="6">
        <f t="shared" si="22"/>
        <v>0</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t="s">
        <v>43</v>
      </c>
      <c r="Y1460">
        <v>12</v>
      </c>
      <c r="Z1460">
        <v>3</v>
      </c>
      <c r="AA1460">
        <v>4</v>
      </c>
      <c r="AB1460">
        <v>80</v>
      </c>
      <c r="AC1460">
        <v>1</v>
      </c>
      <c r="AD1460">
        <v>4</v>
      </c>
      <c r="AE1460">
        <v>5</v>
      </c>
      <c r="AF1460">
        <v>3</v>
      </c>
      <c r="AG1460">
        <v>4</v>
      </c>
      <c r="AH1460">
        <v>3</v>
      </c>
      <c r="AI1460">
        <v>1</v>
      </c>
      <c r="AJ1460">
        <v>1</v>
      </c>
    </row>
    <row r="1461" spans="1:36" x14ac:dyDescent="0.3">
      <c r="A1461">
        <v>29</v>
      </c>
      <c r="B1461" t="s">
        <v>43</v>
      </c>
      <c r="C1461" s="6">
        <f t="shared" si="22"/>
        <v>0</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t="s">
        <v>35</v>
      </c>
      <c r="Y1461">
        <v>13</v>
      </c>
      <c r="Z1461">
        <v>3</v>
      </c>
      <c r="AA1461">
        <v>1</v>
      </c>
      <c r="AB1461">
        <v>80</v>
      </c>
      <c r="AC1461">
        <v>1</v>
      </c>
      <c r="AD1461">
        <v>10</v>
      </c>
      <c r="AE1461">
        <v>2</v>
      </c>
      <c r="AF1461">
        <v>3</v>
      </c>
      <c r="AG1461">
        <v>4</v>
      </c>
      <c r="AH1461">
        <v>3</v>
      </c>
      <c r="AI1461">
        <v>0</v>
      </c>
      <c r="AJ1461">
        <v>3</v>
      </c>
    </row>
    <row r="1462" spans="1:36" x14ac:dyDescent="0.3">
      <c r="A1462">
        <v>29</v>
      </c>
      <c r="B1462" t="s">
        <v>43</v>
      </c>
      <c r="C1462" s="6">
        <f t="shared" si="22"/>
        <v>0</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t="s">
        <v>43</v>
      </c>
      <c r="Y1462">
        <v>14</v>
      </c>
      <c r="Z1462">
        <v>3</v>
      </c>
      <c r="AA1462">
        <v>2</v>
      </c>
      <c r="AB1462">
        <v>80</v>
      </c>
      <c r="AC1462">
        <v>0</v>
      </c>
      <c r="AD1462">
        <v>5</v>
      </c>
      <c r="AE1462">
        <v>3</v>
      </c>
      <c r="AF1462">
        <v>1</v>
      </c>
      <c r="AG1462">
        <v>5</v>
      </c>
      <c r="AH1462">
        <v>4</v>
      </c>
      <c r="AI1462">
        <v>0</v>
      </c>
      <c r="AJ1462">
        <v>4</v>
      </c>
    </row>
    <row r="1463" spans="1:36" x14ac:dyDescent="0.3">
      <c r="A1463">
        <v>50</v>
      </c>
      <c r="B1463" t="s">
        <v>35</v>
      </c>
      <c r="C1463" s="6">
        <f t="shared" si="22"/>
        <v>1</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t="s">
        <v>35</v>
      </c>
      <c r="Y1463">
        <v>13</v>
      </c>
      <c r="Z1463">
        <v>3</v>
      </c>
      <c r="AA1463">
        <v>2</v>
      </c>
      <c r="AB1463">
        <v>80</v>
      </c>
      <c r="AC1463">
        <v>1</v>
      </c>
      <c r="AD1463">
        <v>20</v>
      </c>
      <c r="AE1463">
        <v>3</v>
      </c>
      <c r="AF1463">
        <v>3</v>
      </c>
      <c r="AG1463">
        <v>3</v>
      </c>
      <c r="AH1463">
        <v>2</v>
      </c>
      <c r="AI1463">
        <v>2</v>
      </c>
      <c r="AJ1463">
        <v>0</v>
      </c>
    </row>
    <row r="1464" spans="1:36" x14ac:dyDescent="0.3">
      <c r="A1464">
        <v>39</v>
      </c>
      <c r="B1464" t="s">
        <v>43</v>
      </c>
      <c r="C1464" s="6">
        <f t="shared" si="22"/>
        <v>0</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t="s">
        <v>43</v>
      </c>
      <c r="Y1464">
        <v>11</v>
      </c>
      <c r="Z1464">
        <v>3</v>
      </c>
      <c r="AA1464">
        <v>1</v>
      </c>
      <c r="AB1464">
        <v>80</v>
      </c>
      <c r="AC1464">
        <v>1</v>
      </c>
      <c r="AD1464">
        <v>21</v>
      </c>
      <c r="AE1464">
        <v>2</v>
      </c>
      <c r="AF1464">
        <v>2</v>
      </c>
      <c r="AG1464">
        <v>20</v>
      </c>
      <c r="AH1464">
        <v>9</v>
      </c>
      <c r="AI1464">
        <v>9</v>
      </c>
      <c r="AJ1464">
        <v>6</v>
      </c>
    </row>
    <row r="1465" spans="1:36" x14ac:dyDescent="0.3">
      <c r="A1465">
        <v>31</v>
      </c>
      <c r="B1465" t="s">
        <v>43</v>
      </c>
      <c r="C1465" s="6">
        <f t="shared" si="22"/>
        <v>0</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t="s">
        <v>43</v>
      </c>
      <c r="Y1465">
        <v>19</v>
      </c>
      <c r="Z1465">
        <v>3</v>
      </c>
      <c r="AA1465">
        <v>2</v>
      </c>
      <c r="AB1465">
        <v>80</v>
      </c>
      <c r="AC1465">
        <v>0</v>
      </c>
      <c r="AD1465">
        <v>10</v>
      </c>
      <c r="AE1465">
        <v>2</v>
      </c>
      <c r="AF1465">
        <v>3</v>
      </c>
      <c r="AG1465">
        <v>9</v>
      </c>
      <c r="AH1465">
        <v>4</v>
      </c>
      <c r="AI1465">
        <v>1</v>
      </c>
      <c r="AJ1465">
        <v>7</v>
      </c>
    </row>
    <row r="1466" spans="1:36" x14ac:dyDescent="0.3">
      <c r="A1466">
        <v>26</v>
      </c>
      <c r="B1466" t="s">
        <v>43</v>
      </c>
      <c r="C1466" s="6">
        <f t="shared" si="22"/>
        <v>0</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t="s">
        <v>43</v>
      </c>
      <c r="Y1466">
        <v>18</v>
      </c>
      <c r="Z1466">
        <v>3</v>
      </c>
      <c r="AA1466">
        <v>4</v>
      </c>
      <c r="AB1466">
        <v>80</v>
      </c>
      <c r="AC1466">
        <v>0</v>
      </c>
      <c r="AD1466">
        <v>5</v>
      </c>
      <c r="AE1466">
        <v>2</v>
      </c>
      <c r="AF1466">
        <v>3</v>
      </c>
      <c r="AG1466">
        <v>4</v>
      </c>
      <c r="AH1466">
        <v>2</v>
      </c>
      <c r="AI1466">
        <v>0</v>
      </c>
      <c r="AJ1466">
        <v>0</v>
      </c>
    </row>
    <row r="1467" spans="1:36" x14ac:dyDescent="0.3">
      <c r="A1467">
        <v>36</v>
      </c>
      <c r="B1467" t="s">
        <v>43</v>
      </c>
      <c r="C1467" s="6">
        <f t="shared" si="22"/>
        <v>0</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t="s">
        <v>43</v>
      </c>
      <c r="Y1467">
        <v>17</v>
      </c>
      <c r="Z1467">
        <v>3</v>
      </c>
      <c r="AA1467">
        <v>3</v>
      </c>
      <c r="AB1467">
        <v>80</v>
      </c>
      <c r="AC1467">
        <v>1</v>
      </c>
      <c r="AD1467">
        <v>17</v>
      </c>
      <c r="AE1467">
        <v>3</v>
      </c>
      <c r="AF1467">
        <v>3</v>
      </c>
      <c r="AG1467">
        <v>5</v>
      </c>
      <c r="AH1467">
        <v>2</v>
      </c>
      <c r="AI1467">
        <v>0</v>
      </c>
      <c r="AJ1467">
        <v>3</v>
      </c>
    </row>
    <row r="1468" spans="1:36" x14ac:dyDescent="0.3">
      <c r="A1468">
        <v>39</v>
      </c>
      <c r="B1468" t="s">
        <v>43</v>
      </c>
      <c r="C1468" s="6">
        <f t="shared" si="22"/>
        <v>0</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t="s">
        <v>43</v>
      </c>
      <c r="Y1468">
        <v>15</v>
      </c>
      <c r="Z1468">
        <v>3</v>
      </c>
      <c r="AA1468">
        <v>1</v>
      </c>
      <c r="AB1468">
        <v>80</v>
      </c>
      <c r="AC1468">
        <v>1</v>
      </c>
      <c r="AD1468">
        <v>9</v>
      </c>
      <c r="AE1468">
        <v>5</v>
      </c>
      <c r="AF1468">
        <v>3</v>
      </c>
      <c r="AG1468">
        <v>7</v>
      </c>
      <c r="AH1468">
        <v>7</v>
      </c>
      <c r="AI1468">
        <v>1</v>
      </c>
      <c r="AJ1468">
        <v>7</v>
      </c>
    </row>
    <row r="1469" spans="1:36" x14ac:dyDescent="0.3">
      <c r="A1469">
        <v>27</v>
      </c>
      <c r="B1469" t="s">
        <v>43</v>
      </c>
      <c r="C1469" s="6">
        <f t="shared" si="22"/>
        <v>0</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t="s">
        <v>35</v>
      </c>
      <c r="Y1469">
        <v>20</v>
      </c>
      <c r="Z1469">
        <v>4</v>
      </c>
      <c r="AA1469">
        <v>2</v>
      </c>
      <c r="AB1469">
        <v>80</v>
      </c>
      <c r="AC1469">
        <v>1</v>
      </c>
      <c r="AD1469">
        <v>6</v>
      </c>
      <c r="AE1469">
        <v>0</v>
      </c>
      <c r="AF1469">
        <v>3</v>
      </c>
      <c r="AG1469">
        <v>6</v>
      </c>
      <c r="AH1469">
        <v>2</v>
      </c>
      <c r="AI1469">
        <v>0</v>
      </c>
      <c r="AJ1469">
        <v>3</v>
      </c>
    </row>
    <row r="1470" spans="1:36" x14ac:dyDescent="0.3">
      <c r="A1470">
        <v>49</v>
      </c>
      <c r="B1470" t="s">
        <v>43</v>
      </c>
      <c r="C1470" s="6">
        <f t="shared" si="22"/>
        <v>0</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t="s">
        <v>43</v>
      </c>
      <c r="Y1470">
        <v>14</v>
      </c>
      <c r="Z1470">
        <v>3</v>
      </c>
      <c r="AA1470">
        <v>4</v>
      </c>
      <c r="AB1470">
        <v>80</v>
      </c>
      <c r="AC1470">
        <v>0</v>
      </c>
      <c r="AD1470">
        <v>17</v>
      </c>
      <c r="AE1470">
        <v>3</v>
      </c>
      <c r="AF1470">
        <v>2</v>
      </c>
      <c r="AG1470">
        <v>9</v>
      </c>
      <c r="AH1470">
        <v>6</v>
      </c>
      <c r="AI1470">
        <v>0</v>
      </c>
      <c r="AJ1470">
        <v>8</v>
      </c>
    </row>
    <row r="1471" spans="1:36" x14ac:dyDescent="0.3">
      <c r="A1471">
        <v>34</v>
      </c>
      <c r="B1471" t="s">
        <v>43</v>
      </c>
      <c r="C1471" s="6">
        <f t="shared" si="22"/>
        <v>0</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t="s">
        <v>43</v>
      </c>
      <c r="Y1471">
        <v>12</v>
      </c>
      <c r="Z1471">
        <v>3</v>
      </c>
      <c r="AA1471">
        <v>1</v>
      </c>
      <c r="AB1471">
        <v>80</v>
      </c>
      <c r="AC1471">
        <v>0</v>
      </c>
      <c r="AD1471">
        <v>6</v>
      </c>
      <c r="AE1471">
        <v>3</v>
      </c>
      <c r="AF1471">
        <v>4</v>
      </c>
      <c r="AG1471">
        <v>4</v>
      </c>
      <c r="AH1471">
        <v>3</v>
      </c>
      <c r="AI1471">
        <v>1</v>
      </c>
      <c r="AJ147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Attrition by Job Role</vt:lpstr>
      <vt:lpstr>Attrition Vs Overtime</vt:lpstr>
      <vt:lpstr>Attrition by Years At Company</vt:lpstr>
      <vt:lpstr>Attrition By Gender</vt:lpstr>
      <vt:lpstr>Attrition by Marital Status</vt:lpstr>
      <vt:lpstr>Attrition by Department</vt:lpstr>
      <vt:lpstr>KPI</vt:lpstr>
      <vt:lpstr>Job Satisfaction</vt:lpstr>
      <vt:lpstr>Slicer</vt:lpstr>
      <vt:lpstr>Dashboard</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Harale</cp:lastModifiedBy>
  <dcterms:created xsi:type="dcterms:W3CDTF">2026-01-23T13:33:50Z</dcterms:created>
  <dcterms:modified xsi:type="dcterms:W3CDTF">2026-02-14T16:02:34Z</dcterms:modified>
</cp:coreProperties>
</file>